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4b2ca273f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_Lists" sheetId="1" r:id="Rdda18d19256d4cd2"/>
    <x:sheet xmlns:r="http://schemas.openxmlformats.org/officeDocument/2006/relationships" name="Leads" sheetId="2" r:id="R90d40cbde4114b2a"/>
    <x:sheet xmlns:r="http://schemas.openxmlformats.org/officeDocument/2006/relationships" name="Quotations" sheetId="3" r:id="Rd05db3d796ae44ea"/>
    <x:sheet xmlns:r="http://schemas.openxmlformats.org/officeDocument/2006/relationships" name="Orders_PO" sheetId="4" r:id="R1538402eede24118"/>
    <x:sheet xmlns:r="http://schemas.openxmlformats.org/officeDocument/2006/relationships" name="Dashboard" sheetId="5" r:id="R5f6e593056fd4a71"/>
    <x:sheet xmlns:r="http://schemas.openxmlformats.org/officeDocument/2006/relationships" name="Import_Staging" sheetId="6" r:id="R8ceb2ffbb7df41da"/>
    <x:sheet xmlns:r="http://schemas.openxmlformats.org/officeDocument/2006/relationships" name="Media_Daily" sheetId="7" r:id="R944b8f58b8de493f"/>
    <x:sheet xmlns:r="http://schemas.openxmlformats.org/officeDocument/2006/relationships" name="Examples" sheetId="8" r:id="R8eeedc346671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yyyy-mm-dd hh:mm"/>
    <x:numFmt numFmtId="202" formatCode="#,##0.00;[Red](#,##0.00);0.00"/>
    <x:numFmt numFmtId="203" formatCode="#,##0"/>
    <x:numFmt numFmtId="204" formatCode="@"/>
    <x:numFmt numFmtId="205" formatCode="0.0%"/>
    <x:numFmt numFmtId="206" formatCode="#,##0.00"/>
  </x:numFmts>
  <x:fonts count="21">
    <x:font>
      <x:sz val="11"/>
      <x:name val="Carlito"/>
    </x:font>
    <x:font>
      <x:sz val="10"/>
      <x:color rgb="FF111827"/>
      <x:name val="Noto Sans Thai"/>
    </x:font>
    <x:font>
      <x:b/>
      <x:sz val="20"/>
      <x:color rgb="FFFFFFFF"/>
      <x:name val="Noto Sans Thai"/>
    </x:font>
    <x:font>
      <x:sz val="10"/>
      <x:color rgb="FF4B5563"/>
      <x:name val="Noto Sans Thai"/>
    </x:font>
    <x:font>
      <x:b/>
      <x:sz val="10"/>
      <x:color rgb="FFB42318"/>
      <x:name val="Noto Sans Thai"/>
    </x:font>
    <x:font>
      <x:b/>
      <x:sz val="10"/>
      <x:color rgb="FF067647"/>
      <x:name val="Noto Sans Thai"/>
    </x:font>
    <x:font>
      <x:b/>
      <x:sz val="11"/>
      <x:color rgb="FF111827"/>
      <x:name val="Noto Sans Thai"/>
    </x:font>
    <x:font>
      <x:sz val="8"/>
      <x:color rgb="FF4B5563"/>
      <x:name val="Calibri"/>
    </x:font>
    <x:font>
      <x:b/>
      <x:sz val="10"/>
      <x:color rgb="FFFFFFFF"/>
      <x:name val="Noto Sans Thai"/>
    </x:font>
    <x:font>
      <x:sz val="11"/>
      <x:color rgb="FF111827"/>
      <x:name val="Noto Sans Thai"/>
    </x:font>
    <x:font>
      <x:b/>
      <x:sz val="22"/>
      <x:color rgb="FFFFFFFF"/>
      <x:name val="Noto Sans Thai"/>
    </x:font>
    <x:font>
      <x:sz val="11"/>
      <x:color rgb="FF4B5563"/>
      <x:name val="Noto Sans Thai"/>
    </x:font>
    <x:font>
      <x:b/>
      <x:sz val="12"/>
      <x:color rgb="FF111827"/>
      <x:name val="Noto Sans Thai"/>
    </x:font>
    <x:font>
      <x:b/>
      <x:sz val="11"/>
      <x:color rgb="FF067647"/>
      <x:name val="Noto Sans Thai"/>
    </x:font>
    <x:font>
      <x:b/>
      <x:sz val="11"/>
      <x:color rgb="FFFFFFFF"/>
      <x:name val="Noto Sans Thai"/>
    </x:font>
    <x:font>
      <x:sz val="10"/>
      <x:color rgb="FF111827"/>
      <x:name val="Calibri"/>
    </x:font>
    <x:font>
      <x:sz val="10"/>
      <x:name val="Noto Sans Thai"/>
    </x:font>
    <x:font>
      <x:b/>
      <x:sz val="21"/>
      <x:color rgb="FFFFFFFF"/>
      <x:name val="Noto Sans Thai"/>
    </x:font>
    <x:font>
      <x:b/>
      <x:sz val="28"/>
      <x:color rgb="FF111827"/>
      <x:name val="Noto Sans Thai"/>
    </x:font>
    <x:font>
      <x:b/>
      <x:sz val="28"/>
      <x:color rgb="FFB42318"/>
      <x:name val="Noto Sans Thai"/>
    </x:font>
    <x:font>
      <x:sz val="9"/>
      <x:color rgb="FF4B5563"/>
      <x:name val="Noto Sans Thai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CC00"/>
      </x:patternFill>
    </x:fill>
    <x:fill>
      <x:patternFill patternType="solid">
        <x:fgColor rgb="FFF0F6F4"/>
      </x:patternFill>
    </x:fill>
    <x:fill>
      <x:patternFill patternType="solid">
        <x:fgColor rgb="FFFFF9E6"/>
      </x:patternFill>
    </x:fill>
    <x:fill>
      <x:patternFill patternType="solid">
        <x:fgColor rgb="FFF1F3F5"/>
      </x:patternFill>
    </x:fill>
    <x:fill>
      <x:patternFill patternType="solid">
        <x:fgColor rgb="FFFEECE9"/>
      </x:patternFill>
    </x:fill>
  </x:fills>
  <x:borders count="2">
    <x:border/>
    <x:border/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0"/>
    </x:xf>
    <x:xf numFmtId="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 wrapText="0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200" fontId="9" fillId="6" borderId="0" xfId="0" applyNumberFormat="1" applyFont="1" applyFill="1" applyBorder="1" applyAlignment="1">
      <x:alignment vertical="center" wrapText="1"/>
    </x:xf>
    <x:xf numFmtId="200" fontId="9" fillId="6" borderId="1" xfId="0" applyNumberFormat="1" applyFont="1" applyFill="1" applyBorder="1" applyAlignment="1">
      <x:alignment vertical="center" wrapText="1"/>
    </x:xf>
    <x:xf numFmtId="200" fontId="9" fillId="5" borderId="0" xfId="0" applyNumberFormat="1" applyFont="1" applyFill="1" applyBorder="1" applyAlignment="1">
      <x:alignment vertical="center" wrapText="1"/>
    </x:xf>
    <x:xf numFmtId="200" fontId="9" fillId="5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5" fillId="0" borderId="1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1" xfId="0" applyNumberFormat="1" applyFont="1" applyFill="1" applyBorder="1"/>
    <x:xf numFmtId="201" fontId="1" fillId="5" borderId="0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5" borderId="1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1" fontId="3" fillId="6" borderId="0" xfId="0" applyNumberFormat="1" applyFont="1" applyFill="1" applyBorder="1" applyAlignment="1">
      <x:alignment vertical="center" wrapText="1"/>
    </x:xf>
    <x:xf numFmtId="201" fontId="3" fillId="6" borderId="1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4" borderId="1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204" fontId="1" fillId="4" borderId="1" xfId="0" applyNumberFormat="1" applyFont="1" applyFill="1" applyBorder="1" applyAlignment="1">
      <x:alignment vertical="center" wrapText="1"/>
    </x:xf>
    <x:xf numFmtId="204" fontId="1" fillId="5" borderId="0" xfId="0" applyNumberFormat="1" applyFont="1" applyFill="1" applyBorder="1" applyAlignment="1">
      <x:alignment vertical="center" wrapText="1"/>
    </x:xf>
    <x:xf numFmtId="204" fontId="1" fillId="5" borderId="1" xfId="0" applyNumberFormat="1" applyFont="1" applyFill="1" applyBorder="1" applyAlignment="1">
      <x:alignment vertical="center" wrapText="1"/>
    </x:xf>
    <x:xf numFmtId="204" fontId="3" fillId="6" borderId="0" xfId="0" applyNumberFormat="1" applyFont="1" applyFill="1" applyBorder="1" applyAlignment="1">
      <x:alignment vertical="center" wrapText="1"/>
    </x:xf>
    <x:xf numFmtId="204" fontId="3" fillId="6" borderId="1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 applyAlignment="1">
      <x:alignment vertical="center" wrapText="1"/>
    </x:xf>
    <x:xf numFmtId="0" fontId="17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18" fillId="6" borderId="1" xfId="0" applyNumberFormat="1" applyFont="1" applyFill="1" applyBorder="1" applyAlignment="1">
      <x:alignment vertical="center" wrapText="1"/>
    </x:xf>
    <x:xf numFmtId="0" fontId="18" fillId="6" borderId="1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19" fillId="7" borderId="1" xfId="0" applyNumberFormat="1" applyFont="1" applyFill="1" applyBorder="1" applyAlignment="1">
      <x:alignment vertical="center" wrapText="1"/>
    </x:xf>
    <x:xf numFmtId="0" fontId="19" fillId="7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205" fontId="9" fillId="0" borderId="0" xfId="0" applyNumberFormat="1" applyFont="1" applyFill="1" applyBorder="1" applyAlignment="1">
      <x:alignment vertical="center" wrapText="1"/>
    </x:xf>
    <x:xf numFmtId="205" fontId="9" fillId="0" borderId="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right" vertical="center" wrapText="1"/>
    </x:xf>
    <x:xf numFmtId="0" fontId="9" fillId="6" borderId="1" xfId="0" applyNumberFormat="1" applyFont="1" applyFill="1" applyBorder="1" applyAlignment="1">
      <x:alignment horizontal="right" vertical="center" wrapText="1"/>
    </x:xf>
    <x:xf numFmtId="202" fontId="9" fillId="6" borderId="0" xfId="0" applyNumberFormat="1" applyFont="1" applyFill="1" applyBorder="1" applyAlignment="1">
      <x:alignment horizontal="right" vertical="center" wrapText="1"/>
    </x:xf>
    <x:xf numFmtId="202" fontId="9" fillId="6" borderId="1" xfId="0" applyNumberFormat="1" applyFont="1" applyFill="1" applyBorder="1" applyAlignment="1">
      <x:alignment horizontal="right" vertical="center" wrapText="1"/>
    </x:xf>
    <x:xf numFmtId="0" fontId="20" fillId="0" borderId="0" xfId="0" applyNumberFormat="1" applyFont="1" applyFill="1" applyBorder="1" applyAlignment="1">
      <x:alignment vertical="center" wrapText="1"/>
    </x:xf>
    <x:xf numFmtId="0" fontId="20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206" fontId="1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13">
    <x:dxf>
      <x:font>
        <x:b/>
        <x:color rgb="FFB42318"/>
      </x:font>
      <x:fill>
        <x:patternFill>
          <x:bgColor rgb="FFFEECE9"/>
        </x:patternFill>
      </x:fill>
    </x:dxf>
    <x:dxf>
      <x:font>
        <x:b/>
        <x:color rgb="FF111827"/>
      </x:font>
      <x:fill>
        <x:patternFill>
          <x:bgColor rgb="FFFFF9E6"/>
        </x:patternFill>
      </x:fill>
    </x:dxf>
    <x:dxf>
      <x:font>
        <x:b/>
        <x:color rgb="FFB42318"/>
      </x:font>
      <x:fill>
        <x:patternFill>
          <x:bgColor rgb="FFFFF9E6"/>
        </x:patternFill>
      </x:fill>
    </x:dxf>
    <x:dxf>
      <x:font>
        <x:b/>
        <x:color rgb="FF4B5563"/>
      </x:font>
      <x:fill>
        <x:patternFill>
          <x:bgColor rgb="FFF1F3F5"/>
        </x:patternFill>
      </x:fill>
    </x:dxf>
    <x:dxf>
      <x:font>
        <x:b/>
        <x:color rgb="FF067647"/>
      </x:font>
      <x:fill>
        <x:patternFill>
          <x:bgColor rgb="FFE8F4EE"/>
        </x:patternFill>
      </x:fill>
    </x:dxf>
    <x:dxf>
      <x:font>
        <x:b/>
        <x:color rgb="FF067647"/>
      </x:font>
      <x:fill>
        <x:patternFill>
          <x:bgColor rgb="FFE8F4EE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b/>
        <x:color rgb="FF067647"/>
      </x:font>
      <x:fill>
        <x:patternFill>
          <x:bgColor rgb="FFE8F4EE"/>
        </x:patternFill>
      </x:fill>
    </x:dxf>
    <x:dxf>
      <x:font>
        <x:color rgb="FFB42318"/>
      </x:font>
      <x:fill>
        <x:patternFill>
          <x:bgColor rgb="FFFEEC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2d4d822da4fc1" /><Relationship Type="http://schemas.openxmlformats.org/officeDocument/2006/relationships/theme" Target="/xl/theme/theme1.xml" Id="Rfb16e1decafd47fd" /><Relationship Type="http://schemas.openxmlformats.org/officeDocument/2006/relationships/sharedStrings" Target="/xl/sharedStrings.xml" Id="R13815a20c81446d7" /><Relationship Type="http://schemas.openxmlformats.org/officeDocument/2006/relationships/worksheet" Target="/xl/worksheets/sheet1.xml" Id="Rdda18d19256d4cd2" /><Relationship Type="http://schemas.openxmlformats.org/officeDocument/2006/relationships/worksheet" Target="/xl/worksheets/sheet2.xml" Id="R90d40cbde4114b2a" /><Relationship Type="http://schemas.openxmlformats.org/officeDocument/2006/relationships/worksheet" Target="/xl/worksheets/sheet3.xml" Id="Rd05db3d796ae44ea" /><Relationship Type="http://schemas.openxmlformats.org/officeDocument/2006/relationships/worksheet" Target="/xl/worksheets/sheet4.xml" Id="R1538402eede24118" /><Relationship Type="http://schemas.openxmlformats.org/officeDocument/2006/relationships/worksheet" Target="/xl/worksheets/sheet5.xml" Id="R5f6e593056fd4a71" /><Relationship Type="http://schemas.openxmlformats.org/officeDocument/2006/relationships/worksheet" Target="/xl/worksheets/sheet6.xml" Id="R8ceb2ffbb7df41da" /><Relationship Type="http://schemas.openxmlformats.org/officeDocument/2006/relationships/worksheet" Target="/xl/worksheets/sheet7.xml" Id="R944b8f58b8de493f" /><Relationship Type="http://schemas.openxmlformats.org/officeDocument/2006/relationships/worksheet" Target="/xl/worksheets/sheet8.xml" Id="R8eeedc3466714459" /></Relationships>
</file>

<file path=xl/tables/table1.xml><?xml version="1.0" encoding="utf-8"?>
<x:table xmlns:x="http://schemas.openxmlformats.org/spreadsheetml/2006/main" id="1" name="T_Leads" displayName="T_Leads" ref="A7:BA107" headerRowCount="1" totalsRowCount="0" totalsRowShown="0">
  <x:tableColumns count="53">
    <x:tableColumn id="1" name="รหัสอ้างอิง"/>
    <x:tableColumn id="2" name="ผู้ติดต่อ"/>
    <x:tableColumn id="3" name="บริษัท / แบรนด์"/>
    <x:tableColumn id="4" name="สินค้า / งานกล่อง"/>
    <x:tableColumn id="5" name="จำนวน (ใบ)"/>
    <x:tableColumn id="6" name="สถานะการขาย"/>
    <x:tableColumn id="7" name="ผลคัดกรอง"/>
    <x:tableColumn id="8" name="นัดติดตามถัดไป"/>
    <x:tableColumn id="9" name="สิ่งที่ต้องทำต่อ"/>
    <x:tableColumn id="10" name="เตือนติดตาม · สูตร"/>
    <x:tableColumn id="11" name="ช่องทางที่สะดวก"/>
    <x:tableColumn id="12" name="เบอร์โทร"/>
    <x:tableColumn id="13" name="LINE ID ลูกค้า"/>
    <x:tableColumn id="14" name="อีเมลลูกค้า"/>
    <x:tableColumn id="15" name="ติดต่อได้หรือไม่"/>
    <x:tableColumn id="16" name="ความสำคัญ"/>
    <x:tableColumn id="17" name="โอกาสสั่งซ้ำ"/>
    <x:tableColumn id="18" name="เหตุผลคัดกรอง"/>
    <x:tableColumn id="19" name="เริ่มพยายามติดต่อ"/>
    <x:tableColumn id="20" name="ติดต่อสำเร็จครั้งแรก"/>
    <x:tableColumn id="21" name="คัดกรองผ่านเมื่อ"/>
    <x:tableColumn id="22" name="ติดต่อล่าสุด"/>
    <x:tableColumn id="23" name="ปิด Lost เมื่อ"/>
    <x:tableColumn id="24" name="เหตุผล Lost"/>
    <x:tableColumn id="25" name="บันทึกงาน / ข้อมูลที่รอ"/>
    <x:tableColumn id="26" name="ผู้ดูแลงาน"/>
    <x:tableColumn id="27" name="ประเภทข้อมูล"/>
    <x:tableColumn id="28" name="ซ้ำกับ lead_id"/>
    <x:tableColumn id="29" name="อัปเดตเมื่อ"/>
    <x:tableColumn id="30" name="ผู้บันทึก"/>
    <x:tableColumn id="31" name="Lead ID · ห้ามเปลี่ยน"/>
    <x:tableColumn id="32" name="รับ Lead เมื่อ (เวลาไทย)"/>
    <x:tableColumn id="33" name="ช่องทางรับ Lead"/>
    <x:tableColumn id="34" name="จุดเริ่มของลูกค้า"/>
    <x:tableColumn id="35" name="จังหวัดจัดส่ง"/>
    <x:tableColumn id="36" name="วันต้องการใช้งาน"/>
    <x:tableColumn id="37" name="โจทย์ที่ได้รับจากลูกค้า"/>
    <x:tableColumn id="38" name="หน้าที่ส่งคำขอ"/>
    <x:tableColumn id="39" name="สถานะที่มา"/>
    <x:tableColumn id="40" name="แหล่งที่มา · ระบบ"/>
    <x:tableColumn id="41" name="ประเภทสื่อ · ระบบ"/>
    <x:tableColumn id="42" name="Campaign · ระบบ"/>
    <x:tableColumn id="43" name="Campaign ID · ระบบ"/>
    <x:tableColumn id="44" name="Keyword ที่ match · ระบบ"/>
    <x:tableColumn id="45" name="มี Click ID หรือไม่"/>
    <x:tableColumn id="46" name="Environment"/>
    <x:tableColumn id="47" name="นำเข้าเมื่อ"/>
    <x:tableColumn id="48" name="ส่งราคาครั้งแรก · สูตร"/>
    <x:tableColumn id="49" name="รับ PO แรก · สูตร"/>
    <x:tableColumn id="50" name="ใบราคาปัจจุบัน · สูตร"/>
    <x:tableColumn id="51" name="PO ที่รับทั้งหมด · สูตร"/>
    <x:tableColumn id="52" name="ตรวจข้อมูล · สูตร"/>
    <x:tableColumn id="53" name="นับรายงาน · สูต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Quotations" displayName="T_Quotations" ref="A7:P107" headerRowCount="1" totalsRowCount="0" totalsRowShown="0">
  <x:tableColumns count="16">
    <x:tableColumn id="1" name="ID รายการใบราคา"/>
    <x:tableColumn id="2" name="รหัสอ้างอิง Lead"/>
    <x:tableColumn id="3" name="เลขใบเสนอราคา"/>
    <x:tableColumn id="4" name="ฉบับแก้ไข (1,2,…)"/>
    <x:tableColumn id="5" name="วันที่ส่งให้ลูกค้า"/>
    <x:tableColumn id="6" name="มูลค่าที่เสนอ"/>
    <x:tableColumn id="7" name="สกุลเงิน"/>
    <x:tableColumn id="8" name="ฐานมูลค่า"/>
    <x:tableColumn id="9" name="ฉบับปัจจุบัน?"/>
    <x:tableColumn id="10" name="ที่เก็บ / ลิงก์เอกสาร"/>
    <x:tableColumn id="11" name="หมายเหตุ"/>
    <x:tableColumn id="12" name="Lead ID · สูตร"/>
    <x:tableColumn id="13" name="ประเภทข้อมูล · สูตร"/>
    <x:tableColumn id="14" name="ตรวจข้อมูล · สูตร"/>
    <x:tableColumn id="15" name="เอกสารตรวจผ่าน · สูตร"/>
    <x:tableColumn id="16" name="มูลค่าครบ · สูตร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Orders_PO" displayName="T_Orders_PO" ref="A7:R107" headerRowCount="1" totalsRowCount="0" totalsRowShown="0">
  <x:tableColumns count="18">
    <x:tableColumn id="1" name="Order ID · ไม่ซ้ำ"/>
    <x:tableColumn id="2" name="รหัสอ้างอิง Lead"/>
    <x:tableColumn id="3" name="บริษัทผู้ออก PO"/>
    <x:tableColumn id="4" name="เลข PO"/>
    <x:tableColumn id="5" name="วันที่ได้รับ PO"/>
    <x:tableColumn id="6" name="มูลค่า PO"/>
    <x:tableColumn id="7" name="สกุลเงิน"/>
    <x:tableColumn id="8" name="ฐานมูลค่า"/>
    <x:tableColumn id="9" name="สถานะ PO"/>
    <x:tableColumn id="10" name="ที่เก็บ / ลิงก์ PO"/>
    <x:tableColumn id="11" name="วันที่ยกเลิก"/>
    <x:tableColumn id="12" name="เหตุผลยกเลิก"/>
    <x:tableColumn id="13" name="หมายเหตุ"/>
    <x:tableColumn id="14" name="Lead ID · สูตร"/>
    <x:tableColumn id="15" name="ประเภทข้อมูล · สูตร"/>
    <x:tableColumn id="16" name="ตรวจข้อมูล · สูตร"/>
    <x:tableColumn id="17" name="PO ตรวจผ่าน · สูตร"/>
    <x:tableColumn id="18" name="มูลค่าครบ · สูต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Import_Staging" displayName="T_Import_Staging" ref="A7:AB107" headerRowCount="1" totalsRowCount="0" totalsRowShown="0">
  <x:tableColumns count="28">
    <x:tableColumn id="1" name="Lead ID"/>
    <x:tableColumn id="2" name="รหัสอ้างอิง"/>
    <x:tableColumn id="3" name="รับ Lead เมื่อ (เวลาไทย)"/>
    <x:tableColumn id="4" name="ช่องทางรับ Lead"/>
    <x:tableColumn id="5" name="ผู้ติดต่อ"/>
    <x:tableColumn id="6" name="บริษัท / แบรนด์"/>
    <x:tableColumn id="7" name="ช่องทางที่สะดวก"/>
    <x:tableColumn id="8" name="เบอร์โทร"/>
    <x:tableColumn id="9" name="LINE ID ลูกค้า"/>
    <x:tableColumn id="10" name="อีเมลลูกค้า"/>
    <x:tableColumn id="11" name="จุดเริ่มของลูกค้า"/>
    <x:tableColumn id="12" name="สินค้า / งานกล่อง"/>
    <x:tableColumn id="13" name="จำนวน (ใบ)"/>
    <x:tableColumn id="14" name="จังหวัดจัดส่ง"/>
    <x:tableColumn id="15" name="วันต้องการใช้งาน"/>
    <x:tableColumn id="16" name="โจทย์ที่ได้รับ"/>
    <x:tableColumn id="17" name="หน้าที่ส่งคำขอ"/>
    <x:tableColumn id="18" name="สถานะที่มา"/>
    <x:tableColumn id="19" name="แหล่งที่มา"/>
    <x:tableColumn id="20" name="ประเภทสื่อ"/>
    <x:tableColumn id="21" name="Campaign"/>
    <x:tableColumn id="22" name="Campaign ID"/>
    <x:tableColumn id="23" name="Keyword ที่ match"/>
    <x:tableColumn id="24" name="มี Click ID หรือไม่"/>
    <x:tableColumn id="25" name="Environment"/>
    <x:tableColumn id="26" name="เวลาส่งออก"/>
    <x:tableColumn id="27" name="ผลตรวจนำเข้า · สูตร"/>
    <x:tableColumn id="28" name="ข้อมูลเดิมเปลี่ยน? · สูตร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Media_Daily" displayName="T_Media_Daily" ref="A7:K107" headerRowCount="1" totalsRowCount="0" totalsRowShown="0">
  <x:tableColumns count="11">
    <x:tableColumn id="1" name="วันที่รายงาน (เวลาไทย)"/>
    <x:tableColumn id="2" name="แพลตฟอร์ม"/>
    <x:tableColumn id="3" name="Campaign ID"/>
    <x:tableColumn id="4" name="ชื่อ Campaign"/>
    <x:tableColumn id="5" name="ค่าโฆษณาจริง"/>
    <x:tableColumn id="6" name="สกุลเงิน"/>
    <x:tableColumn id="7" name="Impressions"/>
    <x:tableColumn id="8" name="Clicks"/>
    <x:tableColumn id="9" name="ที่เก็บรายงานต้นทาง"/>
    <x:tableColumn id="10" name="นำเข้าเมื่อ"/>
    <x:tableColumn id="11" name="ตรวจข้อมูล · สูตร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335e72aa0d43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bed43e620e4e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9733a14eda4d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74fd15fe56444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e3518664dd84f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16" hidden="0" customWidth="1"/>
    <x:col min="4" max="4" width="18" hidden="0" customWidth="1"/>
    <x:col min="5" max="5" width="24" hidden="0" customWidth="1"/>
    <x:col min="6" max="6" width="18" hidden="0" customWidth="1"/>
    <x:col min="7" max="7" width="16" hidden="0" customWidth="1"/>
    <x:col min="8" max="8" width="20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  <x:col min="33" max="33" width="26" hidden="0" customWidth="1"/>
    <x:col min="34" max="34" width="26" hidden="0" customWidth="1"/>
    <x:col min="35" max="35" width="26" hidden="0" customWidth="1"/>
    <x:col min="36" max="36" width="26" hidden="0" customWidth="1"/>
    <x:col min="37" max="37" width="26" hidden="0" customWidth="1"/>
    <x:col min="38" max="38" width="26" hidden="0" customWidth="1"/>
    <x:col min="39" max="39" width="26" hidden="0" customWidth="1"/>
    <x:col min="40" max="40" width="26" hidden="0" customWidth="1"/>
    <x:col min="41" max="41" width="26" hidden="0" customWidth="1"/>
    <x:col min="42" max="42" width="26" hidden="0" customWidth="1"/>
    <x:col min="43" max="43" width="26" hidden="0" customWidth="1"/>
    <x:col min="44" max="44" width="26" hidden="0" customWidth="1"/>
  </x:cols>
  <x:sheetData>
    <x:row r="1" ht="28" customHeight="1">
      <x:c r="A1" s="51" t="str">
        <x:v>DD BOX  |  คู่มือรับ Lead สำหรับคุณเปิ้ล</x:v>
      </x:c>
      <x:c r="B1" s="51"/>
      <x:c r="C1" s="51"/>
      <x:c r="D1" s="51"/>
      <x:c r="E1" s="51"/>
      <x:c r="F1" s="51"/>
      <x:c r="G1" s="51"/>
      <x:c r="H1" s="51"/>
      <x:c r="AA1" s="80" t="str">
        <x:v>sales_status</x:v>
      </x:c>
      <x:c r="AB1" s="80" t="str">
        <x:v>qualification</x:v>
      </x:c>
      <x:c r="AC1" s="80" t="str">
        <x:v>contactability</x:v>
      </x:c>
      <x:c r="AD1" s="80" t="str">
        <x:v>priority</x:v>
      </x:c>
      <x:c r="AE1" s="80" t="str">
        <x:v>repeat</x:v>
      </x:c>
      <x:c r="AF1" s="80" t="str">
        <x:v>record_class</x:v>
      </x:c>
      <x:c r="AG1" s="80" t="str">
        <x:v>owner</x:v>
      </x:c>
      <x:c r="AH1" s="80" t="str">
        <x:v>contact</x:v>
      </x:c>
      <x:c r="AI1" s="80" t="str">
        <x:v>origin</x:v>
      </x:c>
      <x:c r="AJ1" s="80" t="str">
        <x:v>path</x:v>
      </x:c>
      <x:c r="AK1" s="80" t="str">
        <x:v>attribution</x:v>
      </x:c>
      <x:c r="AL1" s="80" t="str">
        <x:v>yesno</x:v>
      </x:c>
      <x:c r="AM1" s="80" t="str">
        <x:v>environment</x:v>
      </x:c>
      <x:c r="AN1" s="80" t="str">
        <x:v>basis</x:v>
      </x:c>
      <x:c r="AO1" s="80" t="str">
        <x:v>currency</x:v>
      </x:c>
      <x:c r="AP1" s="80" t="str">
        <x:v>po_status</x:v>
      </x:c>
      <x:c r="AQ1" s="80" t="str">
        <x:v>platform</x:v>
      </x:c>
      <x:c r="AR1" s="80" t="str">
        <x:v>tests</x:v>
      </x:c>
    </x:row>
    <x:row r="2" ht="28" customHeight="1">
      <x:c r="A2" s="51"/>
      <x:c r="B2" s="51"/>
      <x:c r="C2" s="51"/>
      <x:c r="D2" s="51"/>
      <x:c r="E2" s="51"/>
      <x:c r="F2" s="51"/>
      <x:c r="G2" s="51"/>
      <x:c r="H2" s="51"/>
      <x:c r="AA2" s="80" t="str">
        <x:v>New Lead</x:v>
      </x:c>
      <x:c r="AB2" s="80" t="str">
        <x:v>Pending</x:v>
      </x:c>
      <x:c r="AC2" s="80" t="str">
        <x:v>Unknown</x:v>
      </x:c>
      <x:c r="AD2" s="80" t="str">
        <x:v>A</x:v>
      </x:c>
      <x:c r="AE2" s="80" t="str">
        <x:v>ยังไม่ทราบ</x:v>
      </x:c>
      <x:c r="AF2" s="80" t="str">
        <x:v>Real</x:v>
      </x:c>
      <x:c r="AG2" s="80" t="str">
        <x:v>คุณเปิ้ล</x:v>
      </x:c>
      <x:c r="AH2" s="80" t="str">
        <x:v>phone</x:v>
      </x:c>
      <x:c r="AI2" s="80" t="str">
        <x:v>website_form</x:v>
      </x:c>
      <x:c r="AJ2" s="80" t="str">
        <x:v>has_specifications</x:v>
      </x:c>
      <x:c r="AK2" s="80" t="str">
        <x:v>captured</x:v>
      </x:c>
      <x:c r="AL2" s="80" t="str">
        <x:v>Yes</x:v>
      </x:c>
      <x:c r="AM2" s="80" t="str">
        <x:v>production</x:v>
      </x:c>
      <x:c r="AN2" s="80" t="str">
        <x:v>ไม่รวม VAT</x:v>
      </x:c>
      <x:c r="AO2" s="80" t="str">
        <x:v>THB</x:v>
      </x:c>
      <x:c r="AP2" s="80" t="str">
        <x:v>Active</x:v>
      </x:c>
      <x:c r="AQ2" s="80" t="str">
        <x:v>Google Ads</x:v>
      </x:c>
      <x:c r="AR2" s="80" t="str">
        <x:v>DD-DA98EC8633</x:v>
      </x:c>
    </x:row>
    <x:row r="3" ht="30" customHeight="1">
      <x:c r="A3" s="54" t="str">
        <x:v>Excel CRM v1.0 • เริ่มใช้ได้โดยกรอกเอง • ยังไม่เชื่อมเว็บไซต์ / Google Ads / LINE อัตโนมัติ</x:v>
      </x:c>
      <x:c r="B3" s="54"/>
      <x:c r="C3" s="54"/>
      <x:c r="D3" s="54"/>
      <x:c r="E3" s="54"/>
      <x:c r="F3" s="54"/>
      <x:c r="G3" s="54"/>
      <x:c r="H3" s="54"/>
      <x:c r="AA3" s="80" t="str">
        <x:v>Contacting</x:v>
      </x:c>
      <x:c r="AB3" s="80" t="str">
        <x:v>Qualified</x:v>
      </x:c>
      <x:c r="AC3" s="80" t="str">
        <x:v>Contactable</x:v>
      </x:c>
      <x:c r="AD3" s="80" t="str">
        <x:v>B</x:v>
      </x:c>
      <x:c r="AE3" s="80" t="str">
        <x:v>ใช้ครั้งเดียว</x:v>
      </x:c>
      <x:c r="AF3" s="80" t="str">
        <x:v>Test</x:v>
      </x:c>
      <x:c r="AG3" s="80" t="str">
        <x:v>เปา</x:v>
      </x:c>
      <x:c r="AH3" s="80" t="str">
        <x:v>line</x:v>
      </x:c>
      <x:c r="AI3" s="80" t="str">
        <x:v>line_oa</x:v>
      </x:c>
      <x:c r="AJ3" s="80" t="str">
        <x:v>needs_guidance</x:v>
      </x:c>
      <x:c r="AK3" s="80" t="str">
        <x:v>consent_denied</x:v>
      </x:c>
      <x:c r="AL3" s="80" t="str">
        <x:v>No</x:v>
      </x:c>
      <x:c r="AM3" s="80" t="str">
        <x:v>test</x:v>
      </x:c>
      <x:c r="AN3" s="80" t="str">
        <x:v>รวม VAT</x:v>
      </x:c>
      <x:c r="AO3" s="80" t="str">
        <x:v>USD</x:v>
      </x:c>
      <x:c r="AP3" s="80" t="str">
        <x:v>Cancelled</x:v>
      </x:c>
      <x:c r="AQ3" s="80" t="str">
        <x:v>Meta Ads</x:v>
      </x:c>
      <x:c r="AR3" s="80" t="str">
        <x:v>DD-23EB845C07</x:v>
      </x:c>
    </x:row>
    <x:row r="4" ht="26" customHeight="1">
      <x:c r="A4" s="46" t="str">
        <x:v>วันที่ใช้ตรวจงาน</x:v>
      </x:c>
      <x:c r="B4" s="58" t="n">
        <x:f>IF(ISNUMBER(F4),F4,TODAY())</x:f>
        <x:v>46275</x:v>
      </x:c>
      <x:c r="C4" s="58"/>
      <x:c r="D4" s="46" t="str">
        <x:v>ตรวจย้อนหลัง: ใส่วันที่ →</x:v>
      </x:c>
      <x:c r="E4" s="46"/>
      <x:c r="F4" s="60"/>
      <x:c r="G4" s="60"/>
      <x:c r="H4" s="60"/>
      <x:c r="AA4" s="80" t="str">
        <x:v>Contacted</x:v>
      </x:c>
      <x:c r="AB4" s="80" t="str">
        <x:v>Unqualified</x:v>
      </x:c>
      <x:c r="AC4" s="80" t="str">
        <x:v>Unreachable</x:v>
      </x:c>
      <x:c r="AD4" s="80" t="str">
        <x:v>C</x:v>
      </x:c>
      <x:c r="AE4" s="80" t="str">
        <x:v>มีโอกาสสั่งซ้ำ</x:v>
      </x:c>
      <x:c r="AF4" s="80" t="str">
        <x:v>Spam</x:v>
      </x:c>
      <x:c r="AH4" s="80" t="str">
        <x:v>email</x:v>
      </x:c>
      <x:c r="AI4" s="80" t="str">
        <x:v>phone</x:v>
      </x:c>
      <x:c r="AK4" s="80" t="str">
        <x:v>no_valid_touch</x:v>
      </x:c>
      <x:c r="AN4" s="80" t="str">
        <x:v>ไม่ทราบ</x:v>
      </x:c>
      <x:c r="AO4" s="80" t="str">
        <x:v>EUR</x:v>
      </x:c>
      <x:c r="AQ4" s="80" t="str">
        <x:v>อื่นๆ</x:v>
      </x:c>
      <x:c r="AR4" s="80" t="str">
        <x:v>DD-450744E67B</x:v>
      </x:c>
    </x:row>
    <x:row r="5" ht="26" customHeight="1">
      <x:c r="A5" s="46" t="str">
        <x:v>ผู้ดูแลหลัก</x:v>
      </x:c>
      <x:c r="B5" s="46" t="str">
        <x:v>คุณเปิ้ล</x:v>
      </x:c>
      <x:c r="C5" s="46"/>
      <x:c r="D5" s="46" t="str">
        <x:v>ใช้เวลาไทย (Asia/Bangkok) • กรอกปี ค.ศ. เช่น 2026-09-10 14:30</x:v>
      </x:c>
      <x:c r="E5" s="46"/>
      <x:c r="F5" s="46"/>
      <x:c r="G5" s="46"/>
      <x:c r="H5" s="46"/>
      <x:c r="AA5" s="80" t="str">
        <x:v>Awaiting Information</x:v>
      </x:c>
      <x:c r="AD5" s="80" t="str">
        <x:v>ยังไม่จัดลำดับ</x:v>
      </x:c>
      <x:c r="AE5" s="80" t="str">
        <x:v>สั่งเป็นประจำ</x:v>
      </x:c>
      <x:c r="AF5" s="80" t="str">
        <x:v>Duplicate</x:v>
      </x:c>
      <x:c r="AI5" s="80" t="str">
        <x:v>facebook_messenger</x:v>
      </x:c>
      <x:c r="AK5" s="80" t="str">
        <x:v>expired</x:v>
      </x:c>
      <x:c r="AO5" s="80" t="str">
        <x:v>อื่นๆ</x:v>
      </x:c>
    </x:row>
    <x:row r="6" ht="26" customHeight="1">
      <x:c r="A6" s="46" t="str">
        <x:v>พื้นที่เตรียมไว้</x:v>
      </x:c>
      <x:c r="B6" s="46" t="str">
        <x:v>100 รายการ / ตาราง</x:v>
      </x:c>
      <x:c r="C6" s="46"/>
      <x:c r="D6" s="46" t="str">
        <x:v>ข้อมูลจริงเริ่มแถว 8 ถึง 107 • เกิน 100 แถวให้เปาขยายสูตรและ Validation ก่อน</x:v>
      </x:c>
      <x:c r="E6" s="46"/>
      <x:c r="F6" s="46"/>
      <x:c r="G6" s="46"/>
      <x:c r="H6" s="46"/>
      <x:c r="AA6" s="80" t="str">
        <x:v>Qualified</x:v>
      </x:c>
      <x:c r="AI6" s="80" t="str">
        <x:v>email</x:v>
      </x:c>
      <x:c r="AK6" s="80" t="str">
        <x:v>invalid</x:v>
      </x:c>
    </x:row>
    <x:row r="7" ht="26" customHeight="1">
      <x:c r="A7" s="46"/>
      <x:c r="B7" s="46"/>
      <x:c r="C7" s="46"/>
      <x:c r="D7" s="46"/>
      <x:c r="E7" s="46"/>
      <x:c r="F7" s="46"/>
      <x:c r="G7" s="46"/>
      <x:c r="H7" s="46"/>
      <x:c r="AA7" s="80" t="str">
        <x:v>Unqualified</x:v>
      </x:c>
      <x:c r="AI7" s="80" t="str">
        <x:v>referral</x:v>
      </x:c>
      <x:c r="AK7" s="80" t="str">
        <x:v>unavailable</x:v>
      </x:c>
    </x:row>
    <x:row r="8" ht="30" customHeight="1">
      <x:c r="A8" s="63" t="str">
        <x:v>เริ่มจาก 3 ชีต — ไม่ต้องกรอกทุกช่องตั้งแต่รับ Lead</x:v>
      </x:c>
      <x:c r="B8" s="63"/>
      <x:c r="C8" s="63"/>
      <x:c r="D8" s="63"/>
      <x:c r="E8" s="63"/>
      <x:c r="F8" s="63"/>
      <x:c r="G8" s="63"/>
      <x:c r="H8" s="63"/>
      <x:c r="AA8" s="80" t="str">
        <x:v>Quotation Preparing</x:v>
      </x:c>
      <x:c r="AI8" s="80" t="str">
        <x:v>sales_created</x:v>
      </x:c>
      <x:c r="AK8" s="80" t="str">
        <x:v>legacy_unknown</x:v>
      </x:c>
    </x:row>
    <x:row r="9" ht="54" customHeight="1">
      <x:c r="A9" s="66" t="str">
        <x:v>01  รับงานใหม่</x:v>
      </x:c>
      <x:c r="B9" s="46" t="str">
        <x:v>Leads → ตรวจรหัสอ้างอิง ผู้ติดต่อ งาน/จำนวน และช่องทางติดต่อ → เลือกผู้ดูแล คุณเปิ้ล / Real / New Lead / Pending → ใส่นัดติดตามและสิ่งที่ทำต่อ</x:v>
      </x:c>
      <x:c r="C9" s="46"/>
      <x:c r="D9" s="46"/>
      <x:c r="E9" s="46"/>
      <x:c r="F9" s="46"/>
      <x:c r="G9" s="46"/>
      <x:c r="H9" s="46"/>
      <x:c r="AA9" s="80" t="str">
        <x:v>Quotation Sent</x:v>
      </x:c>
      <x:c r="AI9" s="80" t="str">
        <x:v>other</x:v>
      </x:c>
    </x:row>
    <x:row r="10" ht="54" customHeight="1">
      <x:c r="A10" s="66" t="str">
        <x:v>02  ส่งใบเสนอราคา</x:v>
      </x:c>
      <x:c r="B10" s="46" t="str">
        <x:v>Quotations → กรอก ID รายการ รหัสอ้างอิง Lead เลขเอกสาร revision วันที่ส่ง มูลค่า ฐาน VAT และหลักฐาน → กลับ Leads เลือก Quotation Sent</x:v>
      </x:c>
      <x:c r="C10" s="46"/>
      <x:c r="D10" s="46"/>
      <x:c r="E10" s="46"/>
      <x:c r="F10" s="46"/>
      <x:c r="G10" s="46"/>
      <x:c r="H10" s="46"/>
      <x:c r="AA10" s="80" t="str">
        <x:v>Sample / Mockup</x:v>
      </x:c>
      <x:c r="AI10" s="80" t="str">
        <x:v>unknown</x:v>
      </x:c>
    </x:row>
    <x:row r="11" ht="54" customHeight="1">
      <x:c r="A11" s="66" t="str">
        <x:v>03  รับ PO</x:v>
      </x:c>
      <x:c r="B11" s="46" t="str">
        <x:v>Orders_PO → กรอก Order ID รหัส Lead บริษัทผู้ออก เลข PO วันรับ มูลค่า ฐาน VAT และหลักฐาน → กลับ Leads เลือก Won เฉพาะเมื่อได้รับ PO แล้ว</x:v>
      </x:c>
      <x:c r="C11" s="46"/>
      <x:c r="D11" s="46"/>
      <x:c r="E11" s="46"/>
      <x:c r="F11" s="46"/>
      <x:c r="G11" s="46"/>
      <x:c r="H11" s="46"/>
      <x:c r="AA11" s="80" t="str">
        <x:v>Negotiation</x:v>
      </x:c>
    </x:row>
    <x:row r="12" ht="27" customHeight="1">
      <x:c r="A12" s="68" t="str">
        <x:v>เปิดแท็บ Leads — รับงานและอัปเดตสถานะ ด้านล่าง</x:v>
      </x:c>
      <x:c r="B12" s="68"/>
      <x:c r="C12" s="68"/>
      <x:c r="D12" s="68"/>
      <x:c r="E12" s="68"/>
      <x:c r="F12" s="68"/>
      <x:c r="G12" s="68"/>
      <x:c r="H12" s="68"/>
      <x:c r="AA12" s="80" t="str">
        <x:v>Won</x:v>
      </x:c>
    </x:row>
    <x:row r="13" ht="27" customHeight="1">
      <x:c r="A13" s="68" t="str">
        <x:v>เปิดแท็บ Quotations — บันทึกใบเสนอราคา ด้านล่าง</x:v>
      </x:c>
      <x:c r="B13" s="68"/>
      <x:c r="C13" s="68"/>
      <x:c r="D13" s="68"/>
      <x:c r="E13" s="68"/>
      <x:c r="F13" s="68"/>
      <x:c r="G13" s="68"/>
      <x:c r="H13" s="68"/>
      <x:c r="AA13" s="80" t="str">
        <x:v>Lost</x:v>
      </x:c>
    </x:row>
    <x:row r="14" ht="27" customHeight="1">
      <x:c r="A14" s="68" t="str">
        <x:v>เปิดแท็บ Orders_PO — บันทึก PO ที่ได้รับ ด้านล่าง</x:v>
      </x:c>
      <x:c r="B14" s="68"/>
      <x:c r="C14" s="68"/>
      <x:c r="D14" s="68"/>
      <x:c r="E14" s="68"/>
      <x:c r="F14" s="68"/>
      <x:c r="G14" s="68"/>
      <x:c r="H14" s="68"/>
    </x:row>
    <x:row r="15" ht="27" customHeight="1">
      <x:c r="A15" s="68" t="str">
        <x:v>เปิดแท็บ Dashboard — ภาพรวมงานติดตาม ด้านล่าง</x:v>
      </x:c>
      <x:c r="B15" s="68"/>
      <x:c r="C15" s="68"/>
      <x:c r="D15" s="68"/>
      <x:c r="E15" s="68"/>
      <x:c r="F15" s="68"/>
      <x:c r="G15" s="68"/>
      <x:c r="H15" s="68"/>
    </x:row>
    <x:row r="16" ht="27" customHeight="1">
      <x:c r="A16" s="68" t="str">
        <x:v>เปิดแท็บ Examples — ดูตัวอย่างการกรอก ด้านล่าง</x:v>
      </x:c>
      <x:c r="B16" s="68"/>
      <x:c r="C16" s="68"/>
      <x:c r="D16" s="68"/>
      <x:c r="E16" s="68"/>
      <x:c r="F16" s="68"/>
      <x:c r="G16" s="68"/>
      <x:c r="H16" s="68"/>
    </x:row>
    <x:row r="17" ht="26" customHeight="1">
      <x:c r="A17" s="46"/>
      <x:c r="B17" s="46"/>
      <x:c r="C17" s="46"/>
      <x:c r="D17" s="46"/>
      <x:c r="E17" s="46"/>
      <x:c r="F17" s="46"/>
      <x:c r="G17" s="46"/>
      <x:c r="H17" s="46"/>
    </x:row>
    <x:row r="18" ht="30" customHeight="1">
      <x:c r="A18" s="63" t="str">
        <x:v>สีและช่องกรอก</x:v>
      </x:c>
      <x:c r="B18" s="63"/>
      <x:c r="C18" s="63"/>
      <x:c r="D18" s="63"/>
      <x:c r="E18" s="63"/>
      <x:c r="F18" s="63"/>
      <x:c r="G18" s="63"/>
      <x:c r="H18" s="63"/>
    </x:row>
    <x:row r="19" ht="40" customHeight="1">
      <x:c r="A19" s="70" t="str">
        <x:v>สีครีม = คุณเปิ้ลกรอก</x:v>
      </x:c>
      <x:c r="B19" s="46" t="str">
        <x:v>สถานะ คัดกรอง นัดติดตาม ผลการคุย ใบเสนอราคา และ PO • ค่าจาก dropdown ใช้คำตามรายการเพื่อให้สูตรนับถูก</x:v>
      </x:c>
      <x:c r="C19" s="46"/>
      <x:c r="D19" s="46"/>
      <x:c r="E19" s="46"/>
      <x:c r="F19" s="46"/>
      <x:c r="G19" s="46"/>
      <x:c r="H19" s="46"/>
    </x:row>
    <x:row r="20" ht="40" customHeight="1">
      <x:c r="A20" s="72" t="str">
        <x:v>สีเขียวอ่อน = รับเข้า</x:v>
      </x:c>
      <x:c r="B20" s="46" t="str">
        <x:v>คัดลอกจากข้อมูล Lead / เปานำเข้าให้ • ห้ามเดา UTM, GCLID, Campaign หรือ Lead ID • แก้ข้อมูลติดต่อที่ผิดโดยบันทึกเหตุผลให้เปาทราบ</x:v>
      </x:c>
      <x:c r="C20" s="46"/>
      <x:c r="D20" s="46"/>
      <x:c r="E20" s="46"/>
      <x:c r="F20" s="46"/>
      <x:c r="G20" s="46"/>
      <x:c r="H20" s="46"/>
    </x:row>
    <x:row r="21" ht="40" customHeight="1">
      <x:c r="A21" s="74" t="str">
        <x:v>สีเทา = สูตร</x:v>
      </x:c>
      <x:c r="B21" s="46" t="str">
        <x:v>ตัวเตือน จำนวนเอกสาร และวันที่ milestone • ไม่ต้องพิมพ์ทับ • สีเป็นตัวช่วย มีข้อความอธิบายสถานะร่วมด้วย</x:v>
      </x:c>
      <x:c r="C21" s="46"/>
      <x:c r="D21" s="46"/>
      <x:c r="E21" s="46"/>
      <x:c r="F21" s="46"/>
      <x:c r="G21" s="46"/>
      <x:c r="H21" s="46"/>
    </x:row>
    <x:row r="22" ht="40" customHeight="1">
      <x:c r="A22" s="66" t="str">
        <x:v>ข้อมูลไม่ทราบ</x:v>
      </x:c>
      <x:c r="B22" s="46" t="str">
        <x:v>เว้นว่างหรือเลือก Unknown / Pending ตามช่อง • ห้ามแทนจำนวน มูลค่า หรือที่มาที่ไม่ทราบด้วย 0 หรือ Direct</x:v>
      </x:c>
      <x:c r="C22" s="46"/>
      <x:c r="D22" s="46"/>
      <x:c r="E22" s="46"/>
      <x:c r="F22" s="46"/>
      <x:c r="G22" s="46"/>
      <x:c r="H22" s="46"/>
    </x:row>
    <x:row r="23" ht="44" customHeight="1">
      <x:c r="A23" s="66" t="str">
        <x:v>วันที่และรหัส</x:v>
      </x:c>
      <x:c r="B23" s="46" t="str">
        <x:v>ใช้วันเวลาที่เกิดจริง ไม่ใช้ NOW() เป็นเวลาอัปเดตถาวร • เบอร์โทร รหัสเอกสาร Campaign ID และ Lead ID จัดเป็น Text ไว้แล้ว</x:v>
      </x:c>
      <x:c r="C23" s="46"/>
      <x:c r="D23" s="46"/>
      <x:c r="E23" s="46"/>
      <x:c r="F23" s="46"/>
      <x:c r="G23" s="46"/>
      <x:c r="H23" s="46"/>
    </x:row>
    <x:row r="24" ht="26" customHeight="1">
      <x:c r="A24" s="46"/>
      <x:c r="B24" s="46"/>
      <x:c r="C24" s="46"/>
      <x:c r="D24" s="46"/>
      <x:c r="E24" s="46"/>
      <x:c r="F24" s="46"/>
      <x:c r="G24" s="46"/>
      <x:c r="H24" s="46"/>
    </x:row>
    <x:row r="25" ht="30" customHeight="1">
      <x:c r="A25" s="63" t="str">
        <x:v>Leads — กรอกตามจังหวะทำงาน</x:v>
      </x:c>
      <x:c r="B25" s="63"/>
      <x:c r="C25" s="63"/>
      <x:c r="D25" s="63"/>
      <x:c r="E25" s="63"/>
      <x:c r="F25" s="63"/>
      <x:c r="G25" s="63"/>
      <x:c r="H25" s="63"/>
    </x:row>
    <x:row r="26" ht="28" customHeight="1">
      <x:c r="A26" s="76" t="str">
        <x:v>เมื่อไร</x:v>
      </x:c>
      <x:c r="B26" s="76" t="str">
        <x:v>คอลัมน์</x:v>
      </x:c>
      <x:c r="C26" s="76" t="str">
        <x:v>รายการหลัก</x:v>
      </x:c>
      <x:c r="D26" s="76" t="str">
        <x:v>ข้อควรระวัง</x:v>
      </x:c>
      <x:c r="E26" s="76"/>
      <x:c r="F26" s="76"/>
      <x:c r="G26" s="76"/>
      <x:c r="H26" s="76"/>
    </x:row>
    <x:row r="27" ht="59" customHeight="1">
      <x:c r="A27" s="46" t="str">
        <x:v>รับใหม่</x:v>
      </x:c>
      <x:c r="B27" s="46" t="str">
        <x:v>A:E, K:N, Z:AA, AE:AG, AT</x:v>
      </x:c>
      <x:c r="C27" s="46" t="str">
        <x:v>ข้อมูลติดต่อ / ผู้ดูแล / ประเภท / ID / วันรับ</x:v>
      </x:c>
      <x:c r="D27" s="46"/>
      <x:c r="E27" s="46"/>
      <x:c r="F27" s="46" t="str">
        <x:v>เริ่มตอบ LINE ได้ก่อนรอบ import แต่ให้เปาจับคู่ ID ภายในรอบงาน</x:v>
      </x:c>
      <x:c r="G27" s="46"/>
      <x:c r="H27" s="46"/>
    </x:row>
    <x:row r="28" ht="59" customHeight="1">
      <x:c r="A28" s="46" t="str">
        <x:v>วางแผนติดตาม</x:v>
      </x:c>
      <x:c r="B28" s="46" t="str">
        <x:v>F:I</x:v>
      </x:c>
      <x:c r="C28" s="46" t="str">
        <x:v>New Lead / Pending / นัด / งานถัดไป</x:v>
      </x:c>
      <x:c r="D28" s="46"/>
      <x:c r="E28" s="46"/>
      <x:c r="F28" s="46" t="str">
        <x:v>กรองคอลัมน์ J เพื่อดู เกินกำหนด / วันนี้ / ยังไม่นัด</x:v>
      </x:c>
      <x:c r="G28" s="46"/>
      <x:c r="H28" s="46"/>
    </x:row>
    <x:row r="29" ht="59" customHeight="1">
      <x:c r="A29" s="46" t="str">
        <x:v>หลังคุย</x:v>
      </x:c>
      <x:c r="B29" s="46" t="str">
        <x:v>O:R, S:V, Y, AC:AD</x:v>
      </x:c>
      <x:c r="C29" s="46" t="str">
        <x:v>ติดต่อได้ / Priority / สั่งซ้ำ / เหตุผล / เวลา / บันทึก</x:v>
      </x:c>
      <x:c r="D29" s="46"/>
      <x:c r="E29" s="46"/>
      <x:c r="F29" s="46" t="str">
        <x:v>โทรไม่รับครั้งเดียวไม่ใช่ Lost; เก็บ qualified_at แม้ไป Won/Lost</x:v>
      </x:c>
      <x:c r="G29" s="46"/>
      <x:c r="H29" s="46"/>
    </x:row>
    <x:row r="30" ht="59" customHeight="1">
      <x:c r="A30" s="46" t="str">
        <x:v>ส่งราคา</x:v>
      </x:c>
      <x:c r="B30" s="46" t="str">
        <x:v>Quotations, F</x:v>
      </x:c>
      <x:c r="C30" s="46" t="str">
        <x:v>เอกสารจริง + Quotation Sent</x:v>
      </x:c>
      <x:c r="D30" s="46"/>
      <x:c r="E30" s="46"/>
      <x:c r="F30" s="46" t="str">
        <x:v>ใบราคาแก้รุ่นใหม่ไม่เพิ่ม Lead; ตั้งฉบับเก่าเป็น No</x:v>
      </x:c>
      <x:c r="G30" s="46"/>
      <x:c r="H30" s="46"/>
    </x:row>
    <x:row r="31" ht="59" customHeight="1">
      <x:c r="A31" s="46" t="str">
        <x:v>รับ PO</x:v>
      </x:c>
      <x:c r="B31" s="46" t="str">
        <x:v>Orders_PO, F</x:v>
      </x:c>
      <x:c r="C31" s="46" t="str">
        <x:v>หลักฐานจริง + Won</x:v>
      </x:c>
      <x:c r="D31" s="46"/>
      <x:c r="E31" s="46"/>
      <x:c r="F31" s="46" t="str">
        <x:v>มูลค่า PO ≠ รายได้ทางบัญชี ≠ เงินรับจริง</x:v>
      </x:c>
      <x:c r="G31" s="46"/>
      <x:c r="H31" s="46"/>
    </x:row>
    <x:row r="32" ht="59" customHeight="1">
      <x:c r="A32" s="46" t="str">
        <x:v>ปิดไม่สำเร็จ</x:v>
      </x:c>
      <x:c r="B32" s="46" t="str">
        <x:v>F, W:X, AC:AD</x:v>
      </x:c>
      <x:c r="C32" s="46" t="str">
        <x:v>Lost / วันปิด / เหตุผล / เวลาอัปเดต</x:v>
      </x:c>
      <x:c r="D32" s="46"/>
      <x:c r="E32" s="46"/>
      <x:c r="F32" s="46" t="str">
        <x:v>ห้ามลบ Lead เพื่อให้ตัวเลขดูดี</x:v>
      </x:c>
      <x:c r="G32" s="46"/>
      <x:c r="H32" s="46"/>
    </x:row>
    <x:row r="33" ht="59" customHeight="1">
      <x:c r="A33" s="46" t="str">
        <x:v>ก่อนจบวัน</x:v>
      </x:c>
      <x:c r="B33" s="46" t="str">
        <x:v>J, AZ และ Dashboard</x:v>
      </x:c>
      <x:c r="C33" s="46" t="str">
        <x:v>งานถึงกำหนด / ตรวจข้อมูล / ข้อมูลที่ยังไม่ครบ</x:v>
      </x:c>
      <x:c r="D33" s="46"/>
      <x:c r="E33" s="46"/>
      <x:c r="F33" s="46" t="str">
        <x:v>เติม next action และนัดให้ทุกงานที่ยังเดินต่อ</x:v>
      </x:c>
      <x:c r="G33" s="46"/>
      <x:c r="H33" s="46"/>
    </x:row>
    <x:row r="34" ht="26" customHeight="1">
      <x:c r="A34" s="46"/>
      <x:c r="B34" s="46"/>
      <x:c r="C34" s="46"/>
      <x:c r="D34" s="46"/>
      <x:c r="E34" s="46"/>
      <x:c r="F34" s="46"/>
      <x:c r="G34" s="46"/>
      <x:c r="H34" s="46"/>
    </x:row>
    <x:row r="35" ht="30" customHeight="1">
      <x:c r="A35" s="63" t="str">
        <x:v>คำแปลสถานะการขาย — เลือกค่า English ใน dropdown</x:v>
      </x:c>
      <x:c r="B35" s="63"/>
      <x:c r="C35" s="63"/>
      <x:c r="D35" s="63"/>
      <x:c r="E35" s="63"/>
      <x:c r="F35" s="63"/>
      <x:c r="G35" s="63"/>
      <x:c r="H35" s="63"/>
    </x:row>
    <x:row r="36" ht="30" customHeight="1">
      <x:c r="A36" s="66" t="str">
        <x:v>New Lead</x:v>
      </x:c>
      <x:c r="B36" s="46" t="str">
        <x:v>รับคำขอแล้ว ยังไม่เริ่มติดตาม</x:v>
      </x:c>
      <x:c r="C36" s="46"/>
      <x:c r="D36" s="46"/>
      <x:c r="E36" s="46"/>
      <x:c r="F36" s="46"/>
      <x:c r="G36" s="46"/>
      <x:c r="H36" s="46"/>
    </x:row>
    <x:row r="37" ht="30" customHeight="1">
      <x:c r="A37" s="66" t="str">
        <x:v>Contacting</x:v>
      </x:c>
      <x:c r="B37" s="46" t="str">
        <x:v>กำลังพยายามติดต่อ; บันทึกเวลาเริ่มและนัดถัดไป</x:v>
      </x:c>
      <x:c r="C37" s="46"/>
      <x:c r="D37" s="46"/>
      <x:c r="E37" s="46"/>
      <x:c r="F37" s="46"/>
      <x:c r="G37" s="46"/>
      <x:c r="H37" s="46"/>
    </x:row>
    <x:row r="38" ht="30" customHeight="1">
      <x:c r="A38" s="66" t="str">
        <x:v>Contacted</x:v>
      </x:c>
      <x:c r="B38" s="46" t="str">
        <x:v>ติดต่อสำเร็จแล้ว; บันทึกเวลาและช่องทาง</x:v>
      </x:c>
      <x:c r="C38" s="46"/>
      <x:c r="D38" s="46"/>
      <x:c r="E38" s="46"/>
      <x:c r="F38" s="46"/>
      <x:c r="G38" s="46"/>
      <x:c r="H38" s="46"/>
    </x:row>
    <x:row r="39" ht="30" customHeight="1">
      <x:c r="A39" s="66" t="str">
        <x:v>Awaiting Information</x:v>
      </x:c>
      <x:c r="B39" s="46" t="str">
        <x:v>รอข้อมูล เช่น จำนวน ขนาด หรือ Artwork ทาง LINE</x:v>
      </x:c>
      <x:c r="C39" s="46"/>
      <x:c r="D39" s="46"/>
      <x:c r="E39" s="46"/>
      <x:c r="F39" s="46"/>
      <x:c r="G39" s="46"/>
      <x:c r="H39" s="46"/>
    </x:row>
    <x:row r="40" ht="30" customHeight="1">
      <x:c r="A40" s="66" t="str">
        <x:v>Qualified</x:v>
      </x:c>
      <x:c r="B40" s="46" t="str">
        <x:v>ตรวจแล้วเป็นโอกาสที่ตรงบริการ; ต้องมีเหตุผลและวันที่ผ่าน</x:v>
      </x:c>
      <x:c r="C40" s="46"/>
      <x:c r="D40" s="46"/>
      <x:c r="E40" s="46"/>
      <x:c r="F40" s="46"/>
      <x:c r="G40" s="46"/>
      <x:c r="H40" s="46"/>
    </x:row>
    <x:row r="41" ht="30" customHeight="1">
      <x:c r="A41" s="66" t="str">
        <x:v>Unqualified</x:v>
      </x:c>
      <x:c r="B41" s="46" t="str">
        <x:v>ไม่เหมาะกับบริการ/งานนี้; ต้องบันทึกเหตุผล</x:v>
      </x:c>
      <x:c r="C41" s="46"/>
      <x:c r="D41" s="46"/>
      <x:c r="E41" s="46"/>
      <x:c r="F41" s="46"/>
      <x:c r="G41" s="46"/>
      <x:c r="H41" s="46"/>
    </x:row>
    <x:row r="42" ht="30" customHeight="1">
      <x:c r="A42" s="66" t="str">
        <x:v>Quotation Preparing</x:v>
      </x:c>
      <x:c r="B42" s="46" t="str">
        <x:v>กำลังประเมินหรือเตรียมราคา</x:v>
      </x:c>
      <x:c r="C42" s="46"/>
      <x:c r="D42" s="46"/>
      <x:c r="E42" s="46"/>
      <x:c r="F42" s="46"/>
      <x:c r="G42" s="46"/>
      <x:c r="H42" s="46"/>
    </x:row>
    <x:row r="43" ht="30" customHeight="1">
      <x:c r="A43" s="66" t="str">
        <x:v>Quotation Sent</x:v>
      </x:c>
      <x:c r="B43" s="46" t="str">
        <x:v>ส่งใบเสนอราคาให้ลูกค้าจริงแล้ว</x:v>
      </x:c>
      <x:c r="C43" s="46"/>
      <x:c r="D43" s="46"/>
      <x:c r="E43" s="46"/>
      <x:c r="F43" s="46"/>
      <x:c r="G43" s="46"/>
      <x:c r="H43" s="46"/>
    </x:row>
    <x:row r="44" ht="30" customHeight="1">
      <x:c r="A44" s="66" t="str">
        <x:v>Sample / Mockup</x:v>
      </x:c>
      <x:c r="B44" s="46" t="str">
        <x:v>อยู่ขั้นตัวอย่างตามขอบเขตที่ตกลง ไม่ได้แปลว่าฟรี</x:v>
      </x:c>
      <x:c r="C44" s="46"/>
      <x:c r="D44" s="46"/>
      <x:c r="E44" s="46"/>
      <x:c r="F44" s="46"/>
      <x:c r="G44" s="46"/>
      <x:c r="H44" s="46"/>
    </x:row>
    <x:row r="45" ht="30" customHeight="1">
      <x:c r="A45" s="66" t="str">
        <x:v>Negotiation</x:v>
      </x:c>
      <x:c r="B45" s="46" t="str">
        <x:v>กำลังคุยเงื่อนไข / รอ PO / รอการตัดสินใจ</x:v>
      </x:c>
      <x:c r="C45" s="46"/>
      <x:c r="D45" s="46"/>
      <x:c r="E45" s="46"/>
      <x:c r="F45" s="46"/>
      <x:c r="G45" s="46"/>
      <x:c r="H45" s="46"/>
    </x:row>
    <x:row r="46" ht="30" customHeight="1">
      <x:c r="A46" s="66" t="str">
        <x:v>Won</x:v>
      </x:c>
      <x:c r="B46" s="46" t="str">
        <x:v>ได้รับ PO แล้ว มีเลข PO วันรับ บริษัทผู้ออก และหลักฐาน</x:v>
      </x:c>
      <x:c r="C46" s="46"/>
      <x:c r="D46" s="46"/>
      <x:c r="E46" s="46"/>
      <x:c r="F46" s="46"/>
      <x:c r="G46" s="46"/>
      <x:c r="H46" s="46"/>
    </x:row>
    <x:row r="47" ht="30" customHeight="1">
      <x:c r="A47" s="66" t="str">
        <x:v>Lost</x:v>
      </x:c>
      <x:c r="B47" s="46" t="str">
        <x:v>ยืนยันไม่เดินต่อ/ไม่เลือก/ยกเลิก; มีวันปิดและเหตุผล</x:v>
      </x:c>
      <x:c r="C47" s="46"/>
      <x:c r="D47" s="46"/>
      <x:c r="E47" s="46"/>
      <x:c r="F47" s="46"/>
      <x:c r="G47" s="46"/>
      <x:c r="H47" s="46"/>
    </x:row>
    <x:row r="48" ht="44" customHeight="1">
      <x:c r="A48" s="66" t="str">
        <x:v>หลังได้ PO</x:v>
      </x:c>
      <x:c r="B48" s="46" t="str">
        <x:v>Production / Delivered / Claim และ Reorder ไม่ใช้แทนการลบประวัติ Won; เก็บแยกในขั้นถัดไปของระบบ</x:v>
      </x:c>
      <x:c r="C48" s="46"/>
      <x:c r="D48" s="46"/>
      <x:c r="E48" s="46"/>
      <x:c r="F48" s="46"/>
      <x:c r="G48" s="46"/>
      <x:c r="H48" s="46"/>
    </x:row>
    <x:row r="49" ht="26" customHeight="1">
      <x:c r="A49" s="46"/>
      <x:c r="B49" s="46"/>
      <x:c r="C49" s="46"/>
      <x:c r="D49" s="46"/>
      <x:c r="E49" s="46"/>
      <x:c r="F49" s="46"/>
      <x:c r="G49" s="46"/>
      <x:c r="H49" s="46"/>
    </x:row>
    <x:row r="50" ht="30" customHeight="1">
      <x:c r="A50" s="63" t="str">
        <x:v>คัดกรองคุณภาพ — ข้อเสนอจากแผน รอคุณเปิ้ลยืนยันการใช้จริง</x:v>
      </x:c>
      <x:c r="B50" s="63"/>
      <x:c r="C50" s="63"/>
      <x:c r="D50" s="63"/>
      <x:c r="E50" s="63"/>
      <x:c r="F50" s="63"/>
      <x:c r="G50" s="63"/>
      <x:c r="H50" s="63"/>
    </x:row>
    <x:row r="51" ht="54" customHeight="1">
      <x:c r="A51" s="66" t="str">
        <x:v>Qualified</x:v>
      </x:c>
      <x:c r="B51" s="46" t="str">
        <x:v>คำขอจริง ติดต่อได้ งานอยู่ในบริการ ข้อมูลพอประเมิน/จัด brief มีความต้องการและช่วงเวลา และมีแนวทางส่งมอบได้; ไม่ตัดสินจากจำนวน ≥500 เพียงอย่างเดียว</x:v>
      </x:c>
      <x:c r="C51" s="46"/>
      <x:c r="D51" s="46"/>
      <x:c r="E51" s="46"/>
      <x:c r="F51" s="46"/>
      <x:c r="G51" s="46"/>
      <x:c r="H51" s="46"/>
    </x:row>
    <x:row r="52" ht="44" customHeight="1">
      <x:c r="A52" s="66" t="str">
        <x:v>ผลคัดกรอง</x:v>
      </x:c>
      <x:c r="B52" s="46" t="str">
        <x:v>Pending = ยังไม่สรุป / Qualified = ผ่าน / Unqualified = ไม่ผ่าน • แยกจากสถานะขายและไม่ลบ milestone เมื่อสถานะคืบหน้า</x:v>
      </x:c>
      <x:c r="C52" s="46"/>
      <x:c r="D52" s="46"/>
      <x:c r="E52" s="46"/>
      <x:c r="F52" s="46"/>
      <x:c r="G52" s="46"/>
      <x:c r="H52" s="46"/>
    </x:row>
    <x:row r="53" ht="44" customHeight="1">
      <x:c r="A53" s="66" t="str">
        <x:v>Priority / สั่งซ้ำ</x:v>
      </x:c>
      <x:c r="B53" s="46" t="str">
        <x:v>A / B / C = จัดลำดับตามการคุย ไม่ใช่เกณฑ์อัตโนมัติ • โอกาสสั่งซ้ำเลือก ยังไม่ทราบ / ใช้ครั้งเดียว / มีโอกาสสั่งซ้ำ / สั่งเป็นประจำ</x:v>
      </x:c>
      <x:c r="C53" s="46"/>
      <x:c r="D53" s="46"/>
      <x:c r="E53" s="46"/>
      <x:c r="F53" s="46"/>
      <x:c r="G53" s="46"/>
      <x:c r="H53" s="46"/>
    </x:row>
    <x:row r="54" ht="44" customHeight="1">
      <x:c r="A54" s="66" t="str">
        <x:v>เวลาตอบกลับ</x:v>
      </x:c>
      <x:c r="B54" s="46" t="str">
        <x:v>ยังไม่ได้ยืนยันเวลาทำการและผู้สำรอง จึงไม่มีสูตรตัดสินผิด SLA ชั่วโมงทำการ • ตัวเตือนใช้วันที่นัด ไม่ใช่ SLA</x:v>
      </x:c>
      <x:c r="C54" s="46"/>
      <x:c r="D54" s="46"/>
      <x:c r="E54" s="46"/>
      <x:c r="F54" s="46"/>
      <x:c r="G54" s="46"/>
      <x:c r="H54" s="46"/>
    </x:row>
    <x:row r="55" ht="26" customHeight="1">
      <x:c r="A55" s="46"/>
      <x:c r="B55" s="46"/>
      <x:c r="C55" s="46"/>
      <x:c r="D55" s="46"/>
      <x:c r="E55" s="46"/>
      <x:c r="F55" s="46"/>
      <x:c r="G55" s="46"/>
      <x:c r="H55" s="46"/>
    </x:row>
    <x:row r="56" ht="30" customHeight="1">
      <x:c r="A56" s="63" t="str">
        <x:v>ใบเสนอราคา / PO / ตัวเลขที่สรุป</x:v>
      </x:c>
      <x:c r="B56" s="63"/>
      <x:c r="C56" s="63"/>
      <x:c r="D56" s="63"/>
      <x:c r="E56" s="63"/>
      <x:c r="F56" s="63"/>
      <x:c r="G56" s="63"/>
      <x:c r="H56" s="63"/>
    </x:row>
    <x:row r="57" ht="44" customHeight="1">
      <x:c r="A57" s="66" t="str">
        <x:v>หลักฐาน</x:v>
      </x:c>
      <x:c r="B57" s="46" t="str">
        <x:v>บันทึกที่อยู่ไฟล์หรือลิงก์ภายในที่ทีมมีสิทธิ์เปิดจริง; ห้ามใส่รหัสผ่าน/token หรือทำลิงก์ Anyone with link ให้ข้อมูลลูกค้า</x:v>
      </x:c>
      <x:c r="C57" s="46"/>
      <x:c r="D57" s="46"/>
      <x:c r="E57" s="46"/>
      <x:c r="F57" s="46"/>
      <x:c r="G57" s="46"/>
      <x:c r="H57" s="46"/>
    </x:row>
    <x:row r="58" ht="44" customHeight="1">
      <x:c r="A58" s="66" t="str">
        <x:v>การแก้ราคา</x:v>
      </x:c>
      <x:c r="B58" s="46" t="str">
        <x:v>1 แถวต่อ quotation_record_id + revision; เลขใบราคาเดิมรุ่นก่อนเป็น is_current=No และรุ่นล่าสุด Yes • ระบบเตือนกรณี Yes ซ้อน</x:v>
      </x:c>
      <x:c r="C58" s="46"/>
      <x:c r="D58" s="46"/>
      <x:c r="E58" s="46"/>
      <x:c r="F58" s="46"/>
      <x:c r="G58" s="46"/>
      <x:c r="H58" s="46"/>
    </x:row>
    <x:row r="59" ht="54" customHeight="1">
      <x:c r="A59" s="66" t="str">
        <x:v>การรับ PO</x:v>
      </x:c>
      <x:c r="B59" s="46" t="str">
        <x:v>หนึ่ง PO ต่อ Order ID ที่ไม่ซ้ำ; ลูกค้าต่างรายใช้เลข PO เหมือนกันได้ จึงไม่ใช้ po_number เดี่ยวเป็น ID • PO เดิมอย่าแยกเป็นหลายแถวเพียงเพราะมีหลายสินค้า</x:v>
      </x:c>
      <x:c r="C59" s="46"/>
      <x:c r="D59" s="46"/>
      <x:c r="E59" s="46"/>
      <x:c r="F59" s="46"/>
      <x:c r="G59" s="46"/>
      <x:c r="H59" s="46"/>
    </x:row>
    <x:row r="60" ht="44" customHeight="1">
      <x:c r="A60" s="66" t="str">
        <x:v>การยกเลิก PO</x:v>
      </x:c>
      <x:c r="B60" s="46" t="str">
        <x:v>เปลี่ยน order_status เป็น Cancelled พร้อมวัน/เหตุผล; ไม่ลบประวัติรับ PO • รายงานแยกทั้งหมด / ยกเลิก / ยัง Active</x:v>
      </x:c>
      <x:c r="C60" s="46"/>
      <x:c r="D60" s="46"/>
      <x:c r="E60" s="46"/>
      <x:c r="F60" s="46"/>
      <x:c r="G60" s="46"/>
      <x:c r="H60" s="46"/>
    </x:row>
    <x:row r="61" ht="54" customHeight="1">
      <x:c r="A61" s="66" t="str">
        <x:v>ฐานมูลค่า</x:v>
      </x:c>
      <x:c r="B61" s="46" t="str">
        <x:v>กรอกตามเอกสาร: ไม่รวม VAT / รวม VAT / ไม่ทราบ และ Currency ทุกครั้ง • Dashboard แยกฐานและรวมเฉพาะ THB ไม่มีการคำนวณ VAT หรือแปลงค่าเงินให้</x:v>
      </x:c>
      <x:c r="C61" s="46"/>
      <x:c r="D61" s="46"/>
      <x:c r="E61" s="46"/>
      <x:c r="F61" s="46"/>
      <x:c r="G61" s="46"/>
      <x:c r="H61" s="46"/>
    </x:row>
    <x:row r="62" ht="54" customHeight="1">
      <x:c r="A62" s="66" t="str">
        <x:v>สูตรวัน/จำนวน</x:v>
      </x:c>
      <x:c r="B62" s="46" t="str">
        <x:v>AV:AY ใน Leads อ้างเอกสารที่เชื่อม Lead ถูกและมีหลักฐาน • วันที่รับ PO แรกยังคงอยู่แม้ PO ยกเลิก • สูตรวันที่ใช้ MINIFS; ตรวจการคำนวณหลังเปิดในแอปที่ใช้งานจริง</x:v>
      </x:c>
      <x:c r="C62" s="46"/>
      <x:c r="D62" s="46"/>
      <x:c r="E62" s="46"/>
      <x:c r="F62" s="46"/>
      <x:c r="G62" s="46"/>
      <x:c r="H62" s="46"/>
    </x:row>
    <x:row r="63" ht="54" customHeight="1">
      <x:c r="A63" s="66" t="str">
        <x:v>ความหมาย Dashboard</x:v>
      </x:c>
      <x:c r="B63" s="46" t="str">
        <x:v>นับทุกคำขอ Real + production + ID/Reference ไม่ซ้ำในไฟล์; ไม่ใช่ distinct customer • ค่าเงินที่ไม่ครบจะแสดงเตือน ไม่ถือว่า 0 • ไม่คำนวณ ROAS หรือ CPQL จากข้อมูลคนละช่วง</x:v>
      </x:c>
      <x:c r="C63" s="46"/>
      <x:c r="D63" s="46"/>
      <x:c r="E63" s="46"/>
      <x:c r="F63" s="46"/>
      <x:c r="G63" s="46"/>
      <x:c r="H63" s="46"/>
    </x:row>
    <x:row r="64" ht="26" customHeight="1">
      <x:c r="A64" s="46"/>
      <x:c r="B64" s="46"/>
      <x:c r="C64" s="46"/>
      <x:c r="D64" s="46"/>
      <x:c r="E64" s="46"/>
      <x:c r="F64" s="46"/>
      <x:c r="G64" s="46"/>
      <x:c r="H64" s="46"/>
    </x:row>
    <x:row r="65" ht="30" customHeight="1">
      <x:c r="A65" s="63" t="str">
        <x:v>การนำเข้าข้อมูล — เปาดูแล ไม่ให้สถานะคุณเปิ้ลหาย</x:v>
      </x:c>
      <x:c r="B65" s="63"/>
      <x:c r="C65" s="63"/>
      <x:c r="D65" s="63"/>
      <x:c r="E65" s="63"/>
      <x:c r="F65" s="63"/>
      <x:c r="G65" s="63"/>
      <x:c r="H65" s="63"/>
    </x:row>
    <x:row r="66" ht="44" customHeight="1">
      <x:c r="A66" s="66" t="str">
        <x:v>ก่อนนำเข้า</x:v>
      </x:c>
      <x:c r="B66" s="46" t="str">
        <x:v>เก็บ backup ของ master และให้คุณเปิ้ลหยุดแก้ชั่วคราว • ขณะยังไม่มี export ให้เปาช่วยลงข้อมูลรับเข้า/ID จากหลักฐานจริง</x:v>
      </x:c>
      <x:c r="C66" s="46"/>
      <x:c r="D66" s="46"/>
      <x:c r="E66" s="46"/>
      <x:c r="F66" s="46"/>
      <x:c r="G66" s="46"/>
      <x:c r="H66" s="46"/>
    </x:row>
    <x:row r="67" ht="54" customHeight="1">
      <x:c r="A67" s="66" t="str">
        <x:v>Import_Staging</x:v>
      </x:c>
      <x:c r="B67" s="46" t="str">
        <x:v>วาง export เฉพาะ A:Z แบบ Paste values ตามชื่อ field แถว 6 → ดู AA=NEW / EXISTS / DUPLICATE_IN_IMPORT / CHECK_INPUT / TEST_DO_NOT_IMPORT</x:v>
      </x:c>
      <x:c r="C67" s="46"/>
      <x:c r="D67" s="46"/>
      <x:c r="E67" s="46"/>
      <x:c r="F67" s="46"/>
      <x:c r="G67" s="46"/>
      <x:c r="H67" s="46"/>
    </x:row>
    <x:row r="68" ht="54" customHeight="1">
      <x:c r="A68" s="66" t="str">
        <x:v>NEW เท่านั้น</x:v>
      </x:c>
      <x:c r="B68" s="46" t="str">
        <x:v>คัดค่าแต่ละ field ไปท้าย Leads ตามแผนผังคอลัมน์ด้านล่าง ไม่วางทั้งแถวข้ามชีตเพราะลำดับต่างกัน; ตั้ง Real, New Lead, Pending และ owner ตามจริง</x:v>
      </x:c>
      <x:c r="C68" s="46"/>
      <x:c r="D68" s="46"/>
      <x:c r="E68" s="46"/>
      <x:c r="F68" s="46"/>
      <x:c r="G68" s="46"/>
      <x:c r="H68" s="46"/>
    </x:row>
    <x:row r="69" ht="44" customHeight="1">
      <x:c r="A69" s="66" t="str">
        <x:v>EXISTS / ข้อมูลต่าง</x:v>
      </x:c>
      <x:c r="B69" s="46" t="str">
        <x:v>ห้ามทับ Sales fields; คอลัมน์ AB ตรวจ field ที่ส่งออกครบตาม schema ถ้าต่างให้ตรวจรายแถว • ไม่ทำ merge อัตโนมัติ</x:v>
      </x:c>
      <x:c r="C69" s="46"/>
      <x:c r="D69" s="46"/>
      <x:c r="E69" s="46"/>
      <x:c r="F69" s="46"/>
      <x:c r="G69" s="46"/>
      <x:c r="H69" s="46"/>
    </x:row>
    <x:row r="70" ht="44" customHeight="1">
      <x:c r="A70" s="66" t="str">
        <x:v>รอบนำเข้า</x:v>
      </x:c>
      <x:c r="B70" s="46" t="str">
        <x:v>ตรวจจำนวนเดิม + NEW = จำนวนหลังนำเข้า; บันทึก imported_at ใน Leads และใช้ master ชุดเดียว • Spreadsheet นี้ไม่ดึง API เอง</x:v>
      </x:c>
      <x:c r="C70" s="46"/>
      <x:c r="D70" s="46"/>
      <x:c r="E70" s="46"/>
      <x:c r="F70" s="46"/>
      <x:c r="G70" s="46"/>
      <x:c r="H70" s="46"/>
    </x:row>
    <x:row r="71" ht="44" customHeight="1">
      <x:c r="A71" s="66" t="str">
        <x:v>Lead จาก LINE โดยตรง</x:v>
      </x:c>
      <x:c r="B71" s="46" t="str">
        <x:v>ติดต่อได้ทันที แต่ไม่เดาว่าเป็น Google Ads • ให้เปากำหนดรหัส manual เช่น MAN-20260910-001 โดยไม่ปลอมเป็น canonical DD-… ของระบบ</x:v>
      </x:c>
      <x:c r="C71" s="46"/>
      <x:c r="D71" s="46"/>
      <x:c r="E71" s="46"/>
      <x:c r="F71" s="46"/>
      <x:c r="G71" s="46"/>
      <x:c r="H71" s="46"/>
    </x:row>
    <x:row r="72" ht="54" customHeight="1">
      <x:c r="A72" s="66" t="str">
        <x:v>ข้อมูลการตลาด</x:v>
      </x:c>
      <x:c r="B72" s="46" t="str">
        <x:v>ไม่มี raw GCLID ในไฟล์ขาย • source/medium/campaign เป็น last eligible tagged touch ตามแผน • first-touch/raw IDs อยู่ backend; ที่มาว่างไม่เท่ากับ Direct</x:v>
      </x:c>
      <x:c r="C72" s="46"/>
      <x:c r="D72" s="46"/>
      <x:c r="E72" s="46"/>
      <x:c r="F72" s="46"/>
      <x:c r="G72" s="46"/>
      <x:c r="H72" s="46"/>
    </x:row>
    <x:row r="73" ht="26" customHeight="1">
      <x:c r="A73" s="46"/>
      <x:c r="B73" s="46"/>
      <x:c r="C73" s="46"/>
      <x:c r="D73" s="46"/>
      <x:c r="E73" s="46"/>
      <x:c r="F73" s="46"/>
      <x:c r="G73" s="46"/>
      <x:c r="H73" s="46"/>
    </x:row>
    <x:row r="74" ht="30" customHeight="1">
      <x:c r="A74" s="63" t="str">
        <x:v>ข้อมูลทดสอบและการเก็บรักษา</x:v>
      </x:c>
      <x:c r="B74" s="63"/>
      <x:c r="C74" s="63"/>
      <x:c r="D74" s="63"/>
      <x:c r="E74" s="63"/>
      <x:c r="F74" s="63"/>
      <x:c r="G74" s="63"/>
      <x:c r="H74" s="63"/>
    </x:row>
    <x:row r="75" ht="44" customHeight="1">
      <x:c r="A75" s="66" t="str">
        <x:v>Known TEST references</x:v>
      </x:c>
      <x:c r="B75" s="46" t="str">
        <x:v>DD-DA98EC8633 / DD-23EB845C07 / DD-450744E67B — สูตรจะกันจากรายงานแม้เผลอเลือก Real; เมื่อได้รับจริงให้จัด record_class=Test</x:v>
      </x:c>
      <x:c r="C75" s="46"/>
      <x:c r="D75" s="46"/>
      <x:c r="E75" s="46"/>
      <x:c r="F75" s="46"/>
      <x:c r="G75" s="46"/>
      <x:c r="H75" s="46"/>
    </x:row>
    <x:row r="76" ht="40" customHeight="1">
      <x:c r="A76" s="66" t="str">
        <x:v>Examples</x:v>
      </x:c>
      <x:c r="B76" s="46" t="str">
        <x:v>ข้อมูลตัวอย่างอยู่เฉพาะชีต Examples ไม่มีลูกค้าหรือยอดขายจริง และไม่ถูกนำไปคำนวณ Dashboard</x:v>
      </x:c>
      <x:c r="C76" s="46"/>
      <x:c r="D76" s="46"/>
      <x:c r="E76" s="46"/>
      <x:c r="F76" s="46"/>
      <x:c r="G76" s="46"/>
      <x:c r="H76" s="46"/>
    </x:row>
    <x:row r="77" ht="44" customHeight="1">
      <x:c r="A77" s="66" t="str">
        <x:v>สิทธิ์ / สำรองไฟล์</x:v>
      </x:c>
      <x:c r="B77" s="46" t="str">
        <x:v>ไฟล์มีข้อมูลลูกค้า ให้เก็บในพื้นที่บริษัทควบคุม สำรองก่อนนำเข้า และจำกัดผู้เข้าถึง • สีเทาไม่ใช่การเข้ารหัสหรือระบบสิทธิ์</x:v>
      </x:c>
      <x:c r="C77" s="46"/>
      <x:c r="D77" s="46"/>
      <x:c r="E77" s="46"/>
      <x:c r="F77" s="46"/>
      <x:c r="G77" s="46"/>
      <x:c r="H77" s="46"/>
    </x:row>
    <x:row r="78" ht="40" customHeight="1">
      <x:c r="A78" s="66" t="str">
        <x:v>อย่าเพิ่มความเสี่ยง</x:v>
      </x:c>
      <x:c r="B78" s="46" t="str">
        <x:v>ไม่มี macro / VBA / automation ส่งข้อความ • ไม่กรอกเลขบัตร รหัสผ่าน OTP หรือข้อมูลส่วนตัวที่ไม่เกี่ยวกับงาน</x:v>
      </x:c>
      <x:c r="C78" s="46"/>
      <x:c r="D78" s="46"/>
      <x:c r="E78" s="46"/>
      <x:c r="F78" s="46"/>
      <x:c r="G78" s="46"/>
      <x:c r="H78" s="46"/>
    </x:row>
    <x:row r="79" ht="44" customHeight="1">
      <x:c r="A79" s="66" t="str">
        <x:v>Google Sheets</x:v>
      </x:c>
      <x:c r="B79" s="46" t="str">
        <x:v>ไฟล์นี้จัดทำและตรวจเป็น .xlsx ไม่ได้สร้าง Google Sheets ออนไลน์; หากนำเข้าบริการอื่นให้ตรวจสูตร dropdown วันเวลา และรูปแบบก่อนใช้เป็น master</x:v>
      </x:c>
      <x:c r="C79" s="46"/>
      <x:c r="D79" s="46"/>
      <x:c r="E79" s="46"/>
      <x:c r="F79" s="46"/>
      <x:c r="G79" s="46"/>
      <x:c r="H79" s="46"/>
    </x:row>
    <x:row r="80" ht="26" customHeight="1">
      <x:c r="A80" s="46"/>
      <x:c r="B80" s="46"/>
      <x:c r="C80" s="46"/>
      <x:c r="D80" s="46"/>
      <x:c r="E80" s="46"/>
      <x:c r="F80" s="46"/>
      <x:c r="G80" s="46"/>
      <x:c r="H80" s="46"/>
    </x:row>
    <x:row r="81" ht="30" customHeight="1">
      <x:c r="A81" s="63" t="str">
        <x:v>แผนผังคอลัมน์นำเข้า — ใช้ field เป็นตัวจับคู่ ไม่ใช้เลขแถว</x:v>
      </x:c>
      <x:c r="B81" s="63"/>
      <x:c r="C81" s="63"/>
      <x:c r="D81" s="63"/>
      <x:c r="E81" s="63"/>
      <x:c r="F81" s="63"/>
      <x:c r="G81" s="63"/>
      <x:c r="H81" s="63"/>
    </x:row>
    <x:row r="82" ht="28" customHeight="1">
      <x:c r="A82" s="76" t="str">
        <x:v>ชื่อ field</x:v>
      </x:c>
      <x:c r="B82" s="76" t="str">
        <x:v>Import_Staging</x:v>
      </x:c>
      <x:c r="C82" s="76" t="str">
        <x:v>Leads</x:v>
      </x:c>
      <x:c r="D82" s="76" t="str">
        <x:v>หมายเหตุ</x:v>
      </x:c>
      <x:c r="E82" s="76"/>
      <x:c r="F82" s="76"/>
      <x:c r="G82" s="76"/>
      <x:c r="H82" s="76"/>
    </x:row>
    <x:row r="83" ht="34" customHeight="1">
      <x:c r="A83" s="78" t="str">
        <x:v>lead_id</x:v>
      </x:c>
      <x:c r="B83" s="46" t="str">
        <x:v>A</x:v>
      </x:c>
      <x:c r="C83" s="46" t="str">
        <x:v>AE</x:v>
      </x:c>
      <x:c r="D83" s="46" t="str">
        <x:v>Paste values เฉพาะช่องข้อมูลรับเข้า</x:v>
      </x:c>
      <x:c r="E83" s="46"/>
      <x:c r="F83" s="46"/>
      <x:c r="G83" s="46"/>
      <x:c r="H83" s="46"/>
    </x:row>
    <x:row r="84" ht="34" customHeight="1">
      <x:c r="A84" s="78" t="str">
        <x:v>lead_reference</x:v>
      </x:c>
      <x:c r="B84" s="46" t="str">
        <x:v>B</x:v>
      </x:c>
      <x:c r="C84" s="46" t="str">
        <x:v>A</x:v>
      </x:c>
      <x:c r="D84" s="46" t="str">
        <x:v>Paste values เฉพาะช่องข้อมูลรับเข้า</x:v>
      </x:c>
      <x:c r="E84" s="46"/>
      <x:c r="F84" s="46"/>
      <x:c r="G84" s="46"/>
      <x:c r="H84" s="46"/>
    </x:row>
    <x:row r="85" ht="34" customHeight="1">
      <x:c r="A85" s="78" t="str">
        <x:v>received_at_th</x:v>
      </x:c>
      <x:c r="B85" s="46" t="str">
        <x:v>C</x:v>
      </x:c>
      <x:c r="C85" s="46" t="str">
        <x:v>AF</x:v>
      </x:c>
      <x:c r="D85" s="46" t="str">
        <x:v>Paste values เฉพาะช่องข้อมูลรับเข้า</x:v>
      </x:c>
      <x:c r="E85" s="46"/>
      <x:c r="F85" s="46"/>
      <x:c r="G85" s="46"/>
      <x:c r="H85" s="46"/>
    </x:row>
    <x:row r="86" ht="34" customHeight="1">
      <x:c r="A86" s="78" t="str">
        <x:v>lead_origin</x:v>
      </x:c>
      <x:c r="B86" s="46" t="str">
        <x:v>D</x:v>
      </x:c>
      <x:c r="C86" s="46" t="str">
        <x:v>AG</x:v>
      </x:c>
      <x:c r="D86" s="46" t="str">
        <x:v>Paste values เฉพาะช่องข้อมูลรับเข้า</x:v>
      </x:c>
      <x:c r="E86" s="46"/>
      <x:c r="F86" s="46"/>
      <x:c r="G86" s="46"/>
      <x:c r="H86" s="46"/>
    </x:row>
    <x:row r="87" ht="34" customHeight="1">
      <x:c r="A87" s="78" t="str">
        <x:v>contact_name</x:v>
      </x:c>
      <x:c r="B87" s="46" t="str">
        <x:v>E</x:v>
      </x:c>
      <x:c r="C87" s="46" t="str">
        <x:v>B</x:v>
      </x:c>
      <x:c r="D87" s="46" t="str">
        <x:v>Paste values เฉพาะช่องข้อมูลรับเข้า</x:v>
      </x:c>
      <x:c r="E87" s="46"/>
      <x:c r="F87" s="46"/>
      <x:c r="G87" s="46"/>
      <x:c r="H87" s="46"/>
    </x:row>
    <x:row r="88" ht="34" customHeight="1">
      <x:c r="A88" s="78" t="str">
        <x:v>company</x:v>
      </x:c>
      <x:c r="B88" s="46" t="str">
        <x:v>F</x:v>
      </x:c>
      <x:c r="C88" s="46" t="str">
        <x:v>C</x:v>
      </x:c>
      <x:c r="D88" s="46" t="str">
        <x:v>Paste values เฉพาะช่องข้อมูลรับเข้า</x:v>
      </x:c>
      <x:c r="E88" s="46"/>
      <x:c r="F88" s="46"/>
      <x:c r="G88" s="46"/>
      <x:c r="H88" s="46"/>
    </x:row>
    <x:row r="89" ht="34" customHeight="1">
      <x:c r="A89" s="78" t="str">
        <x:v>preferred_contact</x:v>
      </x:c>
      <x:c r="B89" s="46" t="str">
        <x:v>G</x:v>
      </x:c>
      <x:c r="C89" s="46" t="str">
        <x:v>K</x:v>
      </x:c>
      <x:c r="D89" s="46" t="str">
        <x:v>Paste values เฉพาะช่องข้อมูลรับเข้า</x:v>
      </x:c>
      <x:c r="E89" s="46"/>
      <x:c r="F89" s="46"/>
      <x:c r="G89" s="46"/>
      <x:c r="H89" s="46"/>
    </x:row>
    <x:row r="90" ht="34" customHeight="1">
      <x:c r="A90" s="78" t="str">
        <x:v>phone</x:v>
      </x:c>
      <x:c r="B90" s="46" t="str">
        <x:v>H</x:v>
      </x:c>
      <x:c r="C90" s="46" t="str">
        <x:v>L</x:v>
      </x:c>
      <x:c r="D90" s="46" t="str">
        <x:v>Paste values เฉพาะช่องข้อมูลรับเข้า</x:v>
      </x:c>
      <x:c r="E90" s="46"/>
      <x:c r="F90" s="46"/>
      <x:c r="G90" s="46"/>
      <x:c r="H90" s="46"/>
    </x:row>
    <x:row r="91" ht="34" customHeight="1">
      <x:c r="A91" s="78" t="str">
        <x:v>line_id</x:v>
      </x:c>
      <x:c r="B91" s="46" t="str">
        <x:v>I</x:v>
      </x:c>
      <x:c r="C91" s="46" t="str">
        <x:v>M</x:v>
      </x:c>
      <x:c r="D91" s="46" t="str">
        <x:v>Paste values เฉพาะช่องข้อมูลรับเข้า</x:v>
      </x:c>
      <x:c r="E91" s="46"/>
      <x:c r="F91" s="46"/>
      <x:c r="G91" s="46"/>
      <x:c r="H91" s="46"/>
    </x:row>
    <x:row r="92" ht="34" customHeight="1">
      <x:c r="A92" s="78" t="str">
        <x:v>email</x:v>
      </x:c>
      <x:c r="B92" s="46" t="str">
        <x:v>J</x:v>
      </x:c>
      <x:c r="C92" s="46" t="str">
        <x:v>N</x:v>
      </x:c>
      <x:c r="D92" s="46" t="str">
        <x:v>Paste values เฉพาะช่องข้อมูลรับเข้า</x:v>
      </x:c>
      <x:c r="E92" s="46"/>
      <x:c r="F92" s="46"/>
      <x:c r="G92" s="46"/>
      <x:c r="H92" s="46"/>
    </x:row>
    <x:row r="93" ht="34" customHeight="1">
      <x:c r="A93" s="78" t="str">
        <x:v>customer_path</x:v>
      </x:c>
      <x:c r="B93" s="46" t="str">
        <x:v>K</x:v>
      </x:c>
      <x:c r="C93" s="46" t="str">
        <x:v>AH</x:v>
      </x:c>
      <x:c r="D93" s="46" t="str">
        <x:v>Paste values เฉพาะช่องข้อมูลรับเข้า</x:v>
      </x:c>
      <x:c r="E93" s="46"/>
      <x:c r="F93" s="46"/>
      <x:c r="G93" s="46"/>
      <x:c r="H93" s="46"/>
    </x:row>
    <x:row r="94" ht="34" customHeight="1">
      <x:c r="A94" s="78" t="str">
        <x:v>product_type</x:v>
      </x:c>
      <x:c r="B94" s="46" t="str">
        <x:v>L</x:v>
      </x:c>
      <x:c r="C94" s="46" t="str">
        <x:v>D</x:v>
      </x:c>
      <x:c r="D94" s="46" t="str">
        <x:v>Paste values เฉพาะช่องข้อมูลรับเข้า</x:v>
      </x:c>
      <x:c r="E94" s="46"/>
      <x:c r="F94" s="46"/>
      <x:c r="G94" s="46"/>
      <x:c r="H94" s="46"/>
    </x:row>
    <x:row r="95" ht="34" customHeight="1">
      <x:c r="A95" s="78" t="str">
        <x:v>quantity</x:v>
      </x:c>
      <x:c r="B95" s="46" t="str">
        <x:v>M</x:v>
      </x:c>
      <x:c r="C95" s="46" t="str">
        <x:v>E</x:v>
      </x:c>
      <x:c r="D95" s="46" t="str">
        <x:v>Paste values เฉพาะช่องข้อมูลรับเข้า</x:v>
      </x:c>
      <x:c r="E95" s="46"/>
      <x:c r="F95" s="46"/>
      <x:c r="G95" s="46"/>
      <x:c r="H95" s="46"/>
    </x:row>
    <x:row r="96" ht="34" customHeight="1">
      <x:c r="A96" s="78" t="str">
        <x:v>delivery_province</x:v>
      </x:c>
      <x:c r="B96" s="46" t="str">
        <x:v>N</x:v>
      </x:c>
      <x:c r="C96" s="46" t="str">
        <x:v>AI</x:v>
      </x:c>
      <x:c r="D96" s="46" t="str">
        <x:v>Paste values เฉพาะช่องข้อมูลรับเข้า</x:v>
      </x:c>
      <x:c r="E96" s="46"/>
      <x:c r="F96" s="46"/>
      <x:c r="G96" s="46"/>
      <x:c r="H96" s="46"/>
    </x:row>
    <x:row r="97" ht="34" customHeight="1">
      <x:c r="A97" s="78" t="str">
        <x:v>required_date</x:v>
      </x:c>
      <x:c r="B97" s="46" t="str">
        <x:v>O</x:v>
      </x:c>
      <x:c r="C97" s="46" t="str">
        <x:v>AJ</x:v>
      </x:c>
      <x:c r="D97" s="46" t="str">
        <x:v>Paste values เฉพาะช่องข้อมูลรับเข้า</x:v>
      </x:c>
      <x:c r="E97" s="46"/>
      <x:c r="F97" s="46"/>
      <x:c r="G97" s="46"/>
      <x:c r="H97" s="46"/>
    </x:row>
    <x:row r="98" ht="34" customHeight="1">
      <x:c r="A98" s="78" t="str">
        <x:v>project_details</x:v>
      </x:c>
      <x:c r="B98" s="46" t="str">
        <x:v>P</x:v>
      </x:c>
      <x:c r="C98" s="46" t="str">
        <x:v>AK</x:v>
      </x:c>
      <x:c r="D98" s="46" t="str">
        <x:v>Paste values เฉพาะช่องข้อมูลรับเข้า</x:v>
      </x:c>
      <x:c r="E98" s="46"/>
      <x:c r="F98" s="46"/>
      <x:c r="G98" s="46"/>
      <x:c r="H98" s="46"/>
    </x:row>
    <x:row r="99" ht="34" customHeight="1">
      <x:c r="A99" s="78" t="str">
        <x:v>submission_path</x:v>
      </x:c>
      <x:c r="B99" s="46" t="str">
        <x:v>Q</x:v>
      </x:c>
      <x:c r="C99" s="46" t="str">
        <x:v>AL</x:v>
      </x:c>
      <x:c r="D99" s="46" t="str">
        <x:v>Paste values เฉพาะช่องข้อมูลรับเข้า</x:v>
      </x:c>
      <x:c r="E99" s="46"/>
      <x:c r="F99" s="46"/>
      <x:c r="G99" s="46"/>
      <x:c r="H99" s="46"/>
    </x:row>
    <x:row r="100" ht="34" customHeight="1">
      <x:c r="A100" s="78" t="str">
        <x:v>attribution_status</x:v>
      </x:c>
      <x:c r="B100" s="46" t="str">
        <x:v>R</x:v>
      </x:c>
      <x:c r="C100" s="46" t="str">
        <x:v>AM</x:v>
      </x:c>
      <x:c r="D100" s="46" t="str">
        <x:v>Paste values เฉพาะช่องข้อมูลรับเข้า</x:v>
      </x:c>
      <x:c r="E100" s="46"/>
      <x:c r="F100" s="46"/>
      <x:c r="G100" s="46"/>
      <x:c r="H100" s="46"/>
    </x:row>
    <x:row r="101" ht="34" customHeight="1">
      <x:c r="A101" s="78" t="str">
        <x:v>last_utm_source</x:v>
      </x:c>
      <x:c r="B101" s="46" t="str">
        <x:v>S</x:v>
      </x:c>
      <x:c r="C101" s="46" t="str">
        <x:v>AN</x:v>
      </x:c>
      <x:c r="D101" s="46" t="str">
        <x:v>Paste values เฉพาะช่องข้อมูลรับเข้า</x:v>
      </x:c>
      <x:c r="E101" s="46"/>
      <x:c r="F101" s="46"/>
      <x:c r="G101" s="46"/>
      <x:c r="H101" s="46"/>
    </x:row>
    <x:row r="102" ht="34" customHeight="1">
      <x:c r="A102" s="78" t="str">
        <x:v>last_utm_medium</x:v>
      </x:c>
      <x:c r="B102" s="46" t="str">
        <x:v>T</x:v>
      </x:c>
      <x:c r="C102" s="46" t="str">
        <x:v>AO</x:v>
      </x:c>
      <x:c r="D102" s="46" t="str">
        <x:v>Paste values เฉพาะช่องข้อมูลรับเข้า</x:v>
      </x:c>
      <x:c r="E102" s="46"/>
      <x:c r="F102" s="46"/>
      <x:c r="G102" s="46"/>
      <x:c r="H102" s="46"/>
    </x:row>
    <x:row r="103" ht="34" customHeight="1">
      <x:c r="A103" s="78" t="str">
        <x:v>last_utm_campaign</x:v>
      </x:c>
      <x:c r="B103" s="46" t="str">
        <x:v>U</x:v>
      </x:c>
      <x:c r="C103" s="46" t="str">
        <x:v>AP</x:v>
      </x:c>
      <x:c r="D103" s="46" t="str">
        <x:v>Paste values เฉพาะช่องข้อมูลรับเข้า</x:v>
      </x:c>
      <x:c r="E103" s="46"/>
      <x:c r="F103" s="46"/>
      <x:c r="G103" s="46"/>
      <x:c r="H103" s="46"/>
    </x:row>
    <x:row r="104" ht="34" customHeight="1">
      <x:c r="A104" s="78" t="str">
        <x:v>last_utm_id</x:v>
      </x:c>
      <x:c r="B104" s="46" t="str">
        <x:v>V</x:v>
      </x:c>
      <x:c r="C104" s="46" t="str">
        <x:v>AQ</x:v>
      </x:c>
      <x:c r="D104" s="46" t="str">
        <x:v>Paste values เฉพาะช่องข้อมูลรับเข้า</x:v>
      </x:c>
      <x:c r="E104" s="46"/>
      <x:c r="F104" s="46"/>
      <x:c r="G104" s="46"/>
      <x:c r="H104" s="46"/>
    </x:row>
    <x:row r="105" ht="34" customHeight="1">
      <x:c r="A105" s="78" t="str">
        <x:v>last_utm_term</x:v>
      </x:c>
      <x:c r="B105" s="46" t="str">
        <x:v>W</x:v>
      </x:c>
      <x:c r="C105" s="46" t="str">
        <x:v>AR</x:v>
      </x:c>
      <x:c r="D105" s="46" t="str">
        <x:v>Paste values เฉพาะช่องข้อมูลรับเข้า</x:v>
      </x:c>
      <x:c r="E105" s="46"/>
      <x:c r="F105" s="46"/>
      <x:c r="G105" s="46"/>
      <x:c r="H105" s="46"/>
    </x:row>
    <x:row r="106" ht="34" customHeight="1">
      <x:c r="A106" s="78" t="str">
        <x:v>gclid_present</x:v>
      </x:c>
      <x:c r="B106" s="46" t="str">
        <x:v>X</x:v>
      </x:c>
      <x:c r="C106" s="46" t="str">
        <x:v>AS</x:v>
      </x:c>
      <x:c r="D106" s="46" t="str">
        <x:v>Paste values เฉพาะช่องข้อมูลรับเข้า</x:v>
      </x:c>
      <x:c r="E106" s="46"/>
      <x:c r="F106" s="46"/>
      <x:c r="G106" s="46"/>
      <x:c r="H106" s="46"/>
    </x:row>
    <x:row r="107" ht="34" customHeight="1">
      <x:c r="A107" s="78" t="str">
        <x:v>source_environment</x:v>
      </x:c>
      <x:c r="B107" s="46" t="str">
        <x:v>Y</x:v>
      </x:c>
      <x:c r="C107" s="46" t="str">
        <x:v>AT</x:v>
      </x:c>
      <x:c r="D107" s="46" t="str">
        <x:v>Paste values เฉพาะช่องข้อมูลรับเข้า</x:v>
      </x:c>
      <x:c r="E107" s="46"/>
      <x:c r="F107" s="46"/>
      <x:c r="G107" s="46"/>
      <x:c r="H107" s="46"/>
    </x:row>
    <x:row r="108" ht="34" customHeight="1">
      <x:c r="A108" s="78" t="str">
        <x:v>exported_at</x:v>
      </x:c>
      <x:c r="B108" s="46" t="str">
        <x:v>Z</x:v>
      </x:c>
      <x:c r="C108" s="46" t="str">
        <x:v>AU</x:v>
      </x:c>
      <x:c r="D108" s="46" t="str">
        <x:v>เวลา exported_at ใช้ระบุรอบ import; ใส่เวลานำเข้าจริงใน Leads</x:v>
      </x:c>
      <x:c r="E108" s="46"/>
      <x:c r="F108" s="46"/>
      <x:c r="G108" s="46"/>
      <x:c r="H108" s="46"/>
    </x:row>
    <x:row r="109" ht="26" customHeight="1">
      <x:c r="A109" s="46"/>
      <x:c r="B109" s="46"/>
      <x:c r="C109" s="46"/>
      <x:c r="D109" s="46"/>
      <x:c r="E109" s="46"/>
      <x:c r="F109" s="46"/>
      <x:c r="G109" s="46"/>
      <x:c r="H109" s="46"/>
    </x:row>
    <x:row r="110" ht="26" customHeight="1">
      <x:c r="A110" s="46"/>
      <x:c r="B110" s="46"/>
      <x:c r="C110" s="46"/>
      <x:c r="D110" s="46"/>
      <x:c r="E110" s="46"/>
      <x:c r="F110" s="46"/>
      <x:c r="G110" s="46"/>
      <x:c r="H110" s="46"/>
    </x:row>
    <x:row r="111" ht="30" customHeight="1">
      <x:c r="A111" s="63" t="str">
        <x:v>แหล่งที่มา / ขอบเขต / สิ่งที่ต้องตกลงก่อนใช้จริง</x:v>
      </x:c>
      <x:c r="B111" s="63"/>
      <x:c r="C111" s="63"/>
      <x:c r="D111" s="63"/>
      <x:c r="E111" s="63"/>
      <x:c r="F111" s="63"/>
      <x:c r="G111" s="63"/>
      <x:c r="H111" s="63"/>
    </x:row>
    <x:row r="112" ht="48" customHeight="1">
      <x:c r="A112" s="66" t="str">
        <x:v>แผนต้นทาง</x:v>
      </x:c>
      <x:c r="B112" s="46" t="str">
        <x:v>Analysis-CRM-plan.md v1.0 — ส่วน 2.1–2.7 และ 5.4; workbook นี้นำ logical structure มาจัดเป็นแบบกรอก ไม่ใช่ข้อมูลจาก Excel เดิมของบริษัท</x:v>
      </x:c>
      <x:c r="C112" s="46"/>
      <x:c r="D112" s="46"/>
      <x:c r="E112" s="46"/>
      <x:c r="F112" s="46"/>
      <x:c r="G112" s="46"/>
      <x:c r="H112" s="46"/>
    </x:row>
    <x:row r="113" ht="48" customHeight="1">
      <x:c r="A113" s="66" t="str">
        <x:v>ข้อยืนยันผู้ใช้</x:v>
      </x:c>
      <x:c r="B113" s="46" t="str">
        <x:v>Excel / คุณเปิ้ลอัปเดตเอง / Won เมื่อได้รับ PO / Google Core 45 วัน เฉลี่ย 250 บาทต่อวัน • ไม่กำหนดวันเริ่มหรือเปิดแอดจากไฟล์นี้</x:v>
      </x:c>
      <x:c r="C113" s="46"/>
      <x:c r="D113" s="46"/>
      <x:c r="E113" s="46"/>
      <x:c r="F113" s="46"/>
      <x:c r="G113" s="46"/>
      <x:c r="H113" s="46"/>
    </x:row>
    <x:row r="114" ht="40" customHeight="1">
      <x:c r="A114" s="66" t="str">
        <x:v>CI / ออกแบบ</x:v>
      </x:c>
      <x:c r="B114" s="46" t="str">
        <x:v>DESIGN.md — เหลือง #FFCC00, ตัวอักษรเข้ม #111827, พื้นครีม #FFF9E6; ใช้การแบ่งส่วนและข้อความช่วย ไม่ใช้สีอย่างเดียว</x:v>
      </x:c>
      <x:c r="C114" s="46"/>
      <x:c r="D114" s="46"/>
      <x:c r="E114" s="46"/>
      <x:c r="F114" s="46"/>
      <x:c r="G114" s="46"/>
      <x:c r="H114" s="46"/>
    </x:row>
    <x:row r="115" ht="40" customHeight="1">
      <x:c r="A115" s="66" t="str">
        <x:v>Repository อ้างอิง</x:v>
      </x:c>
      <x:c r="B115" s="46" t="str">
        <x:v>https://github.com/chonlathan-cloud/P-Project-package-P-ples</x:v>
      </x:c>
      <x:c r="C115" s="46"/>
      <x:c r="D115" s="46"/>
      <x:c r="E115" s="46"/>
      <x:c r="F115" s="46"/>
      <x:c r="G115" s="46"/>
      <x:c r="H115" s="46"/>
    </x:row>
    <x:row r="116" ht="48" customHeight="1">
      <x:c r="A116" s="66" t="str">
        <x:v>รอยืนยัน</x:v>
      </x:c>
      <x:c r="B116" s="46" t="str">
        <x:v>ตำแหน่ง master/backup, เวลาทำการและผู้สำรอง, ฐาน VAT ที่ฝ่ายบัญชีใช้, หัวตาราง Excel เดิม, และสิทธิ์ผู้เห็นข้อมูล; ไม่มีการเดาค่าเหล่านี้แทน</x:v>
      </x:c>
      <x:c r="C116" s="46"/>
      <x:c r="D116" s="46"/>
      <x:c r="E116" s="46"/>
      <x:c r="F116" s="46"/>
      <x:c r="G116" s="46"/>
      <x:c r="H116" s="46"/>
    </x:row>
    <x:row r="117" ht="48" customHeight="1">
      <x:c r="A117" s="66" t="str">
        <x:v>ข้อเสนอเพิ่มในไฟล์</x:v>
      </x:c>
      <x:c r="B117" s="46" t="str">
        <x:v>Dashboard / Examples / สูตรตรวจเอกสาร / dropdown Active–Cancelled / ธงเตือนข้อมูล เป็นรายละเอียดการใช้งานที่เพิ่มให้จากแผน ไม่ใช่การรับรองนโยบายหรือผลธุรกิจ</x:v>
      </x:c>
      <x:c r="C117" s="46"/>
      <x:c r="D117" s="46"/>
      <x:c r="E117" s="46"/>
      <x:c r="F117" s="46"/>
      <x:c r="G117" s="46"/>
      <x:c r="H117" s="46"/>
    </x:row>
    <x:row r="118" ht="26" customHeight="1">
      <x:c r="A118" s="46"/>
      <x:c r="B118" s="46"/>
      <x:c r="C118" s="46"/>
      <x:c r="D118" s="46"/>
      <x:c r="E118" s="46"/>
      <x:c r="F118" s="46"/>
      <x:c r="G118" s="46"/>
      <x:c r="H118" s="46"/>
    </x:row>
    <x:row r="119" ht="26" customHeight="1">
      <x:c r="A119" s="46"/>
      <x:c r="B119" s="46"/>
      <x:c r="C119" s="46"/>
      <x:c r="D119" s="46"/>
      <x:c r="E119" s="46"/>
      <x:c r="F119" s="46"/>
      <x:c r="G119" s="46"/>
      <x:c r="H119" s="46"/>
    </x:row>
    <x:row r="120" ht="26" customHeight="1">
      <x:c r="A120" s="46"/>
      <x:c r="B120" s="46"/>
      <x:c r="C120" s="46"/>
      <x:c r="D120" s="46"/>
      <x:c r="E120" s="46"/>
      <x:c r="F120" s="46"/>
      <x:c r="G120" s="46"/>
      <x:c r="H120" s="46"/>
    </x:row>
    <x:row r="121" ht="26" customHeight="1">
      <x:c r="A121" s="46"/>
      <x:c r="B121" s="46"/>
      <x:c r="C121" s="46"/>
      <x:c r="D121" s="46"/>
      <x:c r="E121" s="46"/>
      <x:c r="F121" s="46"/>
      <x:c r="G121" s="46"/>
      <x:c r="H121" s="46"/>
    </x:row>
    <x:row r="122" ht="26" customHeight="1">
      <x:c r="A122" s="46"/>
      <x:c r="B122" s="46"/>
      <x:c r="C122" s="46"/>
      <x:c r="D122" s="46"/>
      <x:c r="E122" s="46"/>
      <x:c r="F122" s="46"/>
      <x:c r="G122" s="46"/>
      <x:c r="H122" s="46"/>
    </x:row>
    <x:row r="123" ht="26" customHeight="1">
      <x:c r="A123" s="46"/>
      <x:c r="B123" s="46"/>
      <x:c r="C123" s="46"/>
      <x:c r="D123" s="46"/>
      <x:c r="E123" s="46"/>
      <x:c r="F123" s="46"/>
      <x:c r="G123" s="46"/>
      <x:c r="H123" s="46"/>
    </x:row>
    <x:row r="124" ht="26" customHeight="1">
      <x:c r="A124" s="46"/>
      <x:c r="B124" s="46"/>
      <x:c r="C124" s="46"/>
      <x:c r="D124" s="46"/>
      <x:c r="E124" s="46"/>
      <x:c r="F124" s="46"/>
      <x:c r="G124" s="46"/>
      <x:c r="H124" s="46"/>
    </x:row>
    <x:row r="125" ht="26" customHeight="1">
      <x:c r="A125" s="46"/>
      <x:c r="B125" s="46"/>
      <x:c r="C125" s="46"/>
      <x:c r="D125" s="46"/>
      <x:c r="E125" s="46"/>
      <x:c r="F125" s="46"/>
      <x:c r="G125" s="46"/>
      <x:c r="H125" s="46"/>
    </x:row>
    <x:row r="126" ht="26" customHeight="1">
      <x:c r="A126" s="46"/>
      <x:c r="B126" s="46"/>
      <x:c r="C126" s="46"/>
      <x:c r="D126" s="46"/>
      <x:c r="E126" s="46"/>
      <x:c r="F126" s="46"/>
      <x:c r="G126" s="46"/>
      <x:c r="H126" s="46"/>
    </x:row>
    <x:row r="127" ht="26" customHeight="1">
      <x:c r="A127" s="46"/>
      <x:c r="B127" s="46"/>
      <x:c r="C127" s="46"/>
      <x:c r="D127" s="46"/>
      <x:c r="E127" s="46"/>
      <x:c r="F127" s="46"/>
      <x:c r="G127" s="46"/>
      <x:c r="H127" s="46"/>
    </x:row>
    <x:row r="128" ht="26" customHeight="1">
      <x:c r="A128" s="46"/>
      <x:c r="B128" s="46"/>
      <x:c r="C128" s="46"/>
      <x:c r="D128" s="46"/>
      <x:c r="E128" s="46"/>
      <x:c r="F128" s="46"/>
      <x:c r="G128" s="46"/>
      <x:c r="H128" s="46"/>
    </x:row>
    <x:row r="129" ht="26" customHeight="1">
      <x:c r="A129" s="46"/>
      <x:c r="B129" s="46"/>
      <x:c r="C129" s="46"/>
      <x:c r="D129" s="46"/>
      <x:c r="E129" s="46"/>
      <x:c r="F129" s="46"/>
      <x:c r="G129" s="46"/>
      <x:c r="H129" s="46"/>
    </x:row>
    <x:row r="130" ht="26" customHeight="1">
      <x:c r="A130" s="46"/>
      <x:c r="B130" s="46"/>
      <x:c r="C130" s="46"/>
      <x:c r="D130" s="46"/>
      <x:c r="E130" s="46"/>
      <x:c r="F130" s="46"/>
      <x:c r="G130" s="46"/>
      <x:c r="H130" s="46"/>
    </x:row>
    <x:row r="131" ht="26" customHeight="1">
      <x:c r="A131" s="46"/>
      <x:c r="B131" s="46"/>
      <x:c r="C131" s="46"/>
      <x:c r="D131" s="46"/>
      <x:c r="E131" s="46"/>
      <x:c r="F131" s="46"/>
      <x:c r="G131" s="46"/>
      <x:c r="H131" s="46"/>
    </x:row>
    <x:row r="132" ht="26" customHeight="1">
      <x:c r="A132" s="46"/>
      <x:c r="B132" s="46"/>
      <x:c r="C132" s="46"/>
      <x:c r="D132" s="46"/>
      <x:c r="E132" s="46"/>
      <x:c r="F132" s="46"/>
      <x:c r="G132" s="46"/>
      <x:c r="H132" s="46"/>
    </x:row>
    <x:row r="133" ht="26" customHeight="1">
      <x:c r="A133" s="46"/>
      <x:c r="B133" s="46"/>
      <x:c r="C133" s="46"/>
      <x:c r="D133" s="46"/>
      <x:c r="E133" s="46"/>
      <x:c r="F133" s="46"/>
      <x:c r="G133" s="46"/>
      <x:c r="H133" s="46"/>
    </x:row>
    <x:row r="134" ht="26" customHeight="1">
      <x:c r="A134" s="46"/>
      <x:c r="B134" s="46"/>
      <x:c r="C134" s="46"/>
      <x:c r="D134" s="46"/>
      <x:c r="E134" s="46"/>
      <x:c r="F134" s="46"/>
      <x:c r="G134" s="46"/>
      <x:c r="H134" s="46"/>
    </x:row>
    <x:row r="135" ht="26" customHeight="1">
      <x:c r="A135" s="46"/>
      <x:c r="B135" s="46"/>
      <x:c r="C135" s="46"/>
      <x:c r="D135" s="46"/>
      <x:c r="E135" s="46"/>
      <x:c r="F135" s="46"/>
      <x:c r="G135" s="46"/>
      <x:c r="H135" s="46"/>
    </x:row>
    <x:row r="136" ht="26" customHeight="1">
      <x:c r="A136" s="46"/>
      <x:c r="B136" s="46"/>
      <x:c r="C136" s="46"/>
      <x:c r="D136" s="46"/>
      <x:c r="E136" s="46"/>
      <x:c r="F136" s="46"/>
      <x:c r="G136" s="46"/>
      <x:c r="H136" s="46"/>
    </x:row>
    <x:row r="137" ht="26" customHeight="1">
      <x:c r="A137" s="46"/>
      <x:c r="B137" s="46"/>
      <x:c r="C137" s="46"/>
      <x:c r="D137" s="46"/>
      <x:c r="E137" s="46"/>
      <x:c r="F137" s="46"/>
      <x:c r="G137" s="46"/>
      <x:c r="H137" s="46"/>
    </x:row>
    <x:row r="138" ht="26" customHeight="1">
      <x:c r="A138" s="46"/>
      <x:c r="B138" s="46"/>
      <x:c r="C138" s="46"/>
      <x:c r="D138" s="46"/>
      <x:c r="E138" s="46"/>
      <x:c r="F138" s="46"/>
      <x:c r="G138" s="46"/>
      <x:c r="H138" s="46"/>
    </x:row>
    <x:row r="139" ht="26" customHeight="1">
      <x:c r="A139" s="46"/>
      <x:c r="B139" s="46"/>
      <x:c r="C139" s="46"/>
      <x:c r="D139" s="46"/>
      <x:c r="E139" s="46"/>
      <x:c r="F139" s="46"/>
      <x:c r="G139" s="46"/>
      <x:c r="H139" s="46"/>
    </x:row>
    <x:row r="140" ht="26" customHeight="1">
      <x:c r="A140" s="46"/>
      <x:c r="B140" s="46"/>
      <x:c r="C140" s="46"/>
      <x:c r="D140" s="46"/>
      <x:c r="E140" s="46"/>
      <x:c r="F140" s="46"/>
      <x:c r="G140" s="46"/>
      <x:c r="H140" s="46"/>
    </x:row>
    <x:row r="141" ht="26" customHeight="1">
      <x:c r="A141" s="46"/>
      <x:c r="B141" s="46"/>
      <x:c r="C141" s="46"/>
      <x:c r="D141" s="46"/>
      <x:c r="E141" s="46"/>
      <x:c r="F141" s="46"/>
      <x:c r="G141" s="46"/>
      <x:c r="H141" s="46"/>
    </x:row>
    <x:row r="142" ht="26" customHeight="1">
      <x:c r="A142" s="46"/>
      <x:c r="B142" s="46"/>
      <x:c r="C142" s="46"/>
      <x:c r="D142" s="46"/>
      <x:c r="E142" s="46"/>
      <x:c r="F142" s="46"/>
      <x:c r="G142" s="46"/>
      <x:c r="H142" s="46"/>
    </x:row>
    <x:row r="143" ht="26" customHeight="1">
      <x:c r="A143" s="46"/>
      <x:c r="B143" s="46"/>
      <x:c r="C143" s="46"/>
      <x:c r="D143" s="46"/>
      <x:c r="E143" s="46"/>
      <x:c r="F143" s="46"/>
      <x:c r="G143" s="46"/>
      <x:c r="H143" s="46"/>
    </x:row>
    <x:row r="144" ht="26" customHeight="1">
      <x:c r="A144" s="46"/>
      <x:c r="B144" s="46"/>
      <x:c r="C144" s="46"/>
      <x:c r="D144" s="46"/>
      <x:c r="E144" s="46"/>
      <x:c r="F144" s="46"/>
      <x:c r="G144" s="46"/>
      <x:c r="H144" s="46"/>
    </x:row>
    <x:row r="145" ht="26" customHeight="1">
      <x:c r="A145" s="46"/>
      <x:c r="B145" s="46"/>
      <x:c r="C145" s="46"/>
      <x:c r="D145" s="46"/>
      <x:c r="E145" s="46"/>
      <x:c r="F145" s="46"/>
      <x:c r="G145" s="46"/>
      <x:c r="H145" s="46"/>
    </x:row>
    <x:row r="146" ht="26" customHeight="1">
      <x:c r="A146" s="46"/>
      <x:c r="B146" s="46"/>
      <x:c r="C146" s="46"/>
      <x:c r="D146" s="46"/>
      <x:c r="E146" s="46"/>
      <x:c r="F146" s="46"/>
      <x:c r="G146" s="46"/>
      <x:c r="H146" s="46"/>
    </x:row>
    <x:row r="147" ht="26" customHeight="1">
      <x:c r="A147" s="46"/>
      <x:c r="B147" s="46"/>
      <x:c r="C147" s="46"/>
      <x:c r="D147" s="46"/>
      <x:c r="E147" s="46"/>
      <x:c r="F147" s="46"/>
      <x:c r="G147" s="46"/>
      <x:c r="H147" s="46"/>
    </x:row>
    <x:row r="148" ht="26" customHeight="1">
      <x:c r="A148" s="46"/>
      <x:c r="B148" s="46"/>
      <x:c r="C148" s="46"/>
      <x:c r="D148" s="46"/>
      <x:c r="E148" s="46"/>
      <x:c r="F148" s="46"/>
      <x:c r="G148" s="46"/>
      <x:c r="H148" s="46"/>
    </x:row>
    <x:row r="149" ht="26" customHeight="1">
      <x:c r="A149" s="46"/>
      <x:c r="B149" s="46"/>
      <x:c r="C149" s="46"/>
      <x:c r="D149" s="46"/>
      <x:c r="E149" s="46"/>
      <x:c r="F149" s="46"/>
      <x:c r="G149" s="46"/>
      <x:c r="H149" s="46"/>
    </x:row>
    <x:row r="150" ht="26" customHeight="1">
      <x:c r="A150" s="46"/>
      <x:c r="B150" s="46"/>
      <x:c r="C150" s="46"/>
      <x:c r="D150" s="46"/>
      <x:c r="E150" s="46"/>
      <x:c r="F150" s="46"/>
      <x:c r="G150" s="46"/>
      <x:c r="H150" s="46"/>
    </x:row>
    <x:row r="151" ht="26" customHeight="1">
      <x:c r="A151" s="46"/>
      <x:c r="B151" s="46"/>
      <x:c r="C151" s="46"/>
      <x:c r="D151" s="46"/>
      <x:c r="E151" s="46"/>
      <x:c r="F151" s="46"/>
      <x:c r="G151" s="46"/>
      <x:c r="H151" s="46"/>
    </x:row>
    <x:row r="152" ht="26" customHeight="1">
      <x:c r="A152" s="46"/>
      <x:c r="B152" s="46"/>
      <x:c r="C152" s="46"/>
      <x:c r="D152" s="46"/>
      <x:c r="E152" s="46"/>
      <x:c r="F152" s="46"/>
      <x:c r="G152" s="46"/>
      <x:c r="H152" s="46"/>
    </x:row>
    <x:row r="153" ht="26" customHeight="1">
      <x:c r="A153" s="46"/>
      <x:c r="B153" s="46"/>
      <x:c r="C153" s="46"/>
      <x:c r="D153" s="46"/>
      <x:c r="E153" s="46"/>
      <x:c r="F153" s="46"/>
      <x:c r="G153" s="46"/>
      <x:c r="H153" s="46"/>
    </x:row>
    <x:row r="154" ht="26" customHeight="1">
      <x:c r="A154" s="46"/>
      <x:c r="B154" s="46"/>
      <x:c r="C154" s="46"/>
      <x:c r="D154" s="46"/>
      <x:c r="E154" s="46"/>
      <x:c r="F154" s="46"/>
      <x:c r="G154" s="46"/>
      <x:c r="H154" s="46"/>
    </x:row>
    <x:row r="155" ht="26" customHeight="1">
      <x:c r="A155" s="46"/>
      <x:c r="B155" s="46"/>
      <x:c r="C155" s="46"/>
      <x:c r="D155" s="46"/>
      <x:c r="E155" s="46"/>
      <x:c r="F155" s="46"/>
      <x:c r="G155" s="46"/>
      <x:c r="H155" s="46"/>
    </x:row>
  </x:sheetData>
  <x:mergeCells>
    <x:mergeCell ref="A1:H2"/>
    <x:mergeCell ref="A3:H3"/>
    <x:mergeCell ref="B4:C4"/>
    <x:mergeCell ref="D4:E4"/>
    <x:mergeCell ref="F4:H4"/>
    <x:mergeCell ref="B5:C5"/>
    <x:mergeCell ref="D5:H5"/>
    <x:mergeCell ref="B6:C6"/>
    <x:mergeCell ref="D6:H6"/>
    <x:mergeCell ref="A8:H8"/>
    <x:mergeCell ref="B9:H9"/>
    <x:mergeCell ref="B10:H10"/>
    <x:mergeCell ref="B11:H11"/>
    <x:mergeCell ref="A12:H12"/>
    <x:mergeCell ref="A13:H13"/>
    <x:mergeCell ref="A14:H14"/>
    <x:mergeCell ref="A15:H15"/>
    <x:mergeCell ref="A16:H16"/>
    <x:mergeCell ref="A18:H18"/>
    <x:mergeCell ref="B19:H19"/>
    <x:mergeCell ref="B20:H20"/>
    <x:mergeCell ref="B21:H21"/>
    <x:mergeCell ref="B22:H22"/>
    <x:mergeCell ref="B23:H23"/>
    <x:mergeCell ref="A25:H25"/>
    <x:mergeCell ref="C27:E27"/>
    <x:mergeCell ref="F27:H27"/>
    <x:mergeCell ref="C28:E28"/>
    <x:mergeCell ref="F28:H28"/>
    <x:mergeCell ref="C29:E29"/>
    <x:mergeCell ref="F29:H29"/>
    <x:mergeCell ref="C30:E30"/>
    <x:mergeCell ref="F30:H30"/>
    <x:mergeCell ref="C31:E31"/>
    <x:mergeCell ref="F31:H31"/>
    <x:mergeCell ref="C32:E32"/>
    <x:mergeCell ref="F32:H32"/>
    <x:mergeCell ref="C33:E33"/>
    <x:mergeCell ref="F33:H33"/>
    <x:mergeCell ref="A35:H35"/>
    <x:mergeCell ref="B36:H36"/>
    <x:mergeCell ref="B37:H37"/>
    <x:mergeCell ref="B38:H38"/>
    <x:mergeCell ref="B39:H39"/>
    <x:mergeCell ref="B40:H40"/>
    <x:mergeCell ref="B41:H41"/>
    <x:mergeCell ref="B42:H42"/>
    <x:mergeCell ref="B43:H43"/>
    <x:mergeCell ref="B44:H44"/>
    <x:mergeCell ref="B45:H45"/>
    <x:mergeCell ref="B46:H46"/>
    <x:mergeCell ref="B47:H47"/>
    <x:mergeCell ref="B48:H48"/>
    <x:mergeCell ref="A50:H50"/>
    <x:mergeCell ref="B51:H51"/>
    <x:mergeCell ref="B52:H52"/>
    <x:mergeCell ref="B53:H53"/>
    <x:mergeCell ref="B54:H54"/>
    <x:mergeCell ref="A56:H56"/>
    <x:mergeCell ref="B57:H57"/>
    <x:mergeCell ref="B58:H58"/>
    <x:mergeCell ref="B59:H59"/>
    <x:mergeCell ref="B60:H60"/>
    <x:mergeCell ref="B61:H61"/>
    <x:mergeCell ref="B62:H62"/>
    <x:mergeCell ref="B63:H63"/>
    <x:mergeCell ref="A65:H65"/>
    <x:mergeCell ref="B66:H66"/>
    <x:mergeCell ref="B67:H67"/>
    <x:mergeCell ref="B68:H68"/>
    <x:mergeCell ref="B69:H69"/>
    <x:mergeCell ref="B70:H70"/>
    <x:mergeCell ref="B71:H71"/>
    <x:mergeCell ref="B72:H72"/>
    <x:mergeCell ref="A74:H74"/>
    <x:mergeCell ref="B75:H75"/>
    <x:mergeCell ref="B76:H76"/>
    <x:mergeCell ref="B77:H77"/>
    <x:mergeCell ref="B78:H78"/>
    <x:mergeCell ref="B79:H79"/>
    <x:mergeCell ref="A81:H81"/>
    <x:mergeCell ref="D83:H83"/>
    <x:mergeCell ref="D84:H84"/>
    <x:mergeCell ref="D85:H85"/>
    <x:mergeCell ref="D86:H86"/>
    <x:mergeCell ref="D87:H87"/>
    <x:mergeCell ref="D88:H88"/>
    <x:mergeCell ref="D89:H89"/>
    <x:mergeCell ref="D90:H90"/>
    <x:mergeCell ref="D91:H91"/>
    <x:mergeCell ref="D92:H92"/>
    <x:mergeCell ref="D93:H93"/>
    <x:mergeCell ref="D94:H94"/>
    <x:mergeCell ref="D95:H95"/>
    <x:mergeCell ref="D96:H96"/>
    <x:mergeCell ref="D97:H97"/>
    <x:mergeCell ref="D98:H98"/>
    <x:mergeCell ref="D99:H99"/>
    <x:mergeCell ref="D100:H100"/>
    <x:mergeCell ref="D101:H101"/>
    <x:mergeCell ref="D102:H102"/>
    <x:mergeCell ref="D103:H103"/>
    <x:mergeCell ref="D104:H104"/>
    <x:mergeCell ref="D105:H105"/>
    <x:mergeCell ref="D106:H106"/>
    <x:mergeCell ref="D107:H107"/>
    <x:mergeCell ref="D108:H108"/>
    <x:mergeCell ref="A111:H111"/>
    <x:mergeCell ref="B112:H112"/>
    <x:mergeCell ref="B113:H113"/>
    <x:mergeCell ref="B114:H114"/>
    <x:mergeCell ref="B115:H115"/>
    <x:mergeCell ref="B116:H116"/>
    <x:mergeCell ref="B117:H1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4" hidden="0" customWidth="1"/>
    <x:col min="4" max="4" width="26" hidden="0" customWidth="1"/>
    <x:col min="5" max="5" width="12" hidden="0" customWidth="1"/>
    <x:col min="6" max="6" width="23" hidden="0" customWidth="1"/>
    <x:col min="7" max="7" width="18" hidden="0" customWidth="1"/>
    <x:col min="8" max="8" width="21" hidden="0" customWidth="1"/>
    <x:col min="9" max="9" width="35" hidden="0" customWidth="1"/>
    <x:col min="10" max="10" width="23" hidden="0" customWidth="1"/>
    <x:col min="11" max="11" width="18" hidden="0" customWidth="1"/>
    <x:col min="12" max="12" width="19" hidden="0" customWidth="1"/>
    <x:col min="13" max="13" width="21" hidden="0" customWidth="1"/>
    <x:col min="14" max="14" width="29" hidden="0" customWidth="1"/>
    <x:col min="15" max="15" width="18" hidden="0" customWidth="1"/>
    <x:col min="16" max="16" width="14" hidden="0" customWidth="1"/>
    <x:col min="17" max="17" width="20" hidden="0" customWidth="1"/>
    <x:col min="18" max="18" width="38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30" hidden="0" customWidth="1"/>
    <x:col min="25" max="25" width="40" hidden="0" customWidth="1"/>
    <x:col min="26" max="26" width="17" hidden="0" customWidth="1"/>
    <x:col min="27" max="27" width="17" hidden="0" customWidth="1"/>
    <x:col min="28" max="28" width="30" hidden="0" customWidth="1"/>
    <x:col min="29" max="29" width="22" hidden="0" customWidth="1"/>
    <x:col min="30" max="30" width="17" hidden="0" customWidth="1"/>
    <x:col min="31" max="31" width="35" hidden="0" customWidth="1"/>
    <x:col min="32" max="32" width="24" hidden="0" customWidth="1"/>
    <x:col min="33" max="33" width="21" hidden="0" customWidth="1"/>
    <x:col min="34" max="34" width="24" hidden="0" customWidth="1"/>
    <x:col min="35" max="35" width="20" hidden="0" customWidth="1"/>
    <x:col min="36" max="36" width="21" hidden="0" customWidth="1"/>
    <x:col min="37" max="37" width="40" hidden="0" customWidth="1"/>
    <x:col min="38" max="38" width="26" hidden="0" customWidth="1"/>
    <x:col min="39" max="39" width="21" hidden="0" customWidth="1"/>
    <x:col min="40" max="40" width="23" hidden="0" customWidth="1"/>
    <x:col min="41" max="41" width="20" hidden="0" customWidth="1"/>
    <x:col min="42" max="42" width="36" hidden="0" customWidth="1"/>
    <x:col min="43" max="43" width="27" hidden="0" customWidth="1"/>
    <x:col min="44" max="44" width="33" hidden="0" customWidth="1"/>
    <x:col min="45" max="45" width="21" hidden="0" customWidth="1"/>
    <x:col min="46" max="46" width="19" hidden="0" customWidth="1"/>
    <x:col min="47" max="47" width="22" hidden="0" customWidth="1"/>
    <x:col min="48" max="48" width="23" hidden="0" customWidth="1"/>
    <x:col min="49" max="49" width="23" hidden="0" customWidth="1"/>
    <x:col min="50" max="50" width="21" hidden="0" customWidth="1"/>
    <x:col min="51" max="51" width="23" hidden="0" customWidth="1"/>
    <x:col min="52" max="52" width="45" hidden="0" customWidth="1"/>
    <x:col min="53" max="53" width="18" hidden="0" customWidth="1"/>
  </x:cols>
  <x:sheetData>
    <x:row r="1" ht="25" customHeight="1">
      <x:c r="A1" s="7" t="str">
        <x:v>DD BOX  |  ทะเบียน Lead และงานติดตาม</x:v>
      </x:c>
      <x:c r="B1" s="7"/>
      <x:c r="C1" s="7"/>
      <x:c r="D1" s="7"/>
      <x:c r="E1" s="7"/>
      <x:c r="F1" s="7"/>
      <x:c r="G1" s="7"/>
      <x:c r="H1" s="7"/>
      <x:c r="I1" s="7"/>
      <x:c r="J1" s="7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</x:row>
    <x:row r="3" ht="40" customHeight="1">
      <x:c r="A3" s="11" t="str">
        <x:v>คุณเปิ้ลใช้ชีตนี้เป็นหลัก • 1 แถวต่อ 1 คำขอ • กรอกช่องสีครีม • สีเขียวอ่อนคือข้อมูลรับเข้า • สีเทาเป็นสูตร ไม่ต้องพิมพ์ทับ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</x:row>
    <x:row r="4" ht="24" customHeight="1">
      <x:c r="A4" s="14" t="str">
        <x:v>วิธีใช้: เปิดแท็บ Guide_Lists</x:v>
      </x:c>
      <x:c r="B4" s="14"/>
      <x:c r="C4" s="14"/>
      <x:c r="D4" s="16" t="str">
        <x:v>ภาพรวม: เปิดแท็บ Dashboard</x:v>
      </x:c>
      <x:c r="E4" s="16"/>
      <x:c r="F4" s="16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</x:row>
    <x:row r="5" ht="27" customHeight="1">
      <x:c r="A5" s="19" t="str">
        <x:v>01  ข้อมูลที่รับมา</x:v>
      </x:c>
      <x:c r="B5" s="19"/>
      <x:c r="C5" s="19"/>
      <x:c r="D5" s="19"/>
      <x:c r="E5" s="19"/>
      <x:c r="F5" s="19" t="str">
        <x:v>02  งานประจำวัน</x:v>
      </x:c>
      <x:c r="G5" s="19"/>
      <x:c r="H5" s="19"/>
      <x:c r="I5" s="19"/>
      <x:c r="J5" s="19"/>
      <x:c r="K5" s="19" t="str">
        <x:v>03  ช่องทางติดต่อ</x:v>
      </x:c>
      <x:c r="L5" s="19"/>
      <x:c r="M5" s="19"/>
      <x:c r="N5" s="19"/>
      <x:c r="O5" s="19" t="str">
        <x:v>04  คัดกรองและประวัติติดตาม</x:v>
      </x:c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 t="str">
        <x:v>05  ผู้รับผิดชอบ / ควบคุมข้อมูล</x:v>
      </x:c>
      <x:c r="AA5" s="19"/>
      <x:c r="AB5" s="19"/>
      <x:c r="AC5" s="19"/>
      <x:c r="AD5" s="19"/>
      <x:c r="AE5" s="19" t="str">
        <x:v>06  ข้อมูลระบบ — เปาดูแล</x:v>
      </x:c>
      <x:c r="AF5" s="19"/>
      <x:c r="AG5" s="19"/>
      <x:c r="AH5" s="19"/>
      <x:c r="AI5" s="19"/>
      <x:c r="AJ5" s="19"/>
      <x:c r="AK5" s="19"/>
      <x:c r="AL5" s="19"/>
      <x:c r="AM5" s="19"/>
      <x:c r="AN5" s="19"/>
      <x:c r="AO5" s="19"/>
      <x:c r="AP5" s="19"/>
      <x:c r="AQ5" s="19"/>
      <x:c r="AR5" s="19"/>
      <x:c r="AS5" s="19"/>
      <x:c r="AT5" s="19"/>
      <x:c r="AU5" s="19"/>
      <x:c r="AV5" s="19" t="str">
        <x:v>07  ผลเอกสารและตัวตรวจ — สูตร</x:v>
      </x:c>
      <x:c r="AW5" s="19"/>
      <x:c r="AX5" s="19"/>
      <x:c r="AY5" s="19"/>
      <x:c r="AZ5" s="19"/>
      <x:c r="BA5" s="19"/>
    </x:row>
    <x:row r="6" ht="22" customHeight="1">
      <x:c r="A6" s="23" t="str">
        <x:v>lead_reference</x:v>
      </x:c>
      <x:c r="B6" s="23" t="str">
        <x:v>contact_name</x:v>
      </x:c>
      <x:c r="C6" s="23" t="str">
        <x:v>company</x:v>
      </x:c>
      <x:c r="D6" s="23" t="str">
        <x:v>product_type</x:v>
      </x:c>
      <x:c r="E6" s="23" t="str">
        <x:v>quantity</x:v>
      </x:c>
      <x:c r="F6" s="23" t="str">
        <x:v>sales_status</x:v>
      </x:c>
      <x:c r="G6" s="23" t="str">
        <x:v>qualification_result</x:v>
      </x:c>
      <x:c r="H6" s="23" t="str">
        <x:v>next_follow_up_at</x:v>
      </x:c>
      <x:c r="I6" s="23" t="str">
        <x:v>next_action</x:v>
      </x:c>
      <x:c r="J6" s="23" t="str">
        <x:v>follow_up_flag</x:v>
      </x:c>
      <x:c r="K6" s="23" t="str">
        <x:v>preferred_contact</x:v>
      </x:c>
      <x:c r="L6" s="23" t="str">
        <x:v>phone</x:v>
      </x:c>
      <x:c r="M6" s="23" t="str">
        <x:v>line_id</x:v>
      </x:c>
      <x:c r="N6" s="23" t="str">
        <x:v>email</x:v>
      </x:c>
      <x:c r="O6" s="23" t="str">
        <x:v>contactability</x:v>
      </x:c>
      <x:c r="P6" s="23" t="str">
        <x:v>priority</x:v>
      </x:c>
      <x:c r="Q6" s="23" t="str">
        <x:v>repeat_potential</x:v>
      </x:c>
      <x:c r="R6" s="23" t="str">
        <x:v>qualification_reason</x:v>
      </x:c>
      <x:c r="S6" s="23" t="str">
        <x:v>first_contact_attempt_at</x:v>
      </x:c>
      <x:c r="T6" s="23" t="str">
        <x:v>contacted_at</x:v>
      </x:c>
      <x:c r="U6" s="23" t="str">
        <x:v>qualified_at</x:v>
      </x:c>
      <x:c r="V6" s="23" t="str">
        <x:v>last_contact_at</x:v>
      </x:c>
      <x:c r="W6" s="23" t="str">
        <x:v>lost_at</x:v>
      </x:c>
      <x:c r="X6" s="23" t="str">
        <x:v>lost_reason</x:v>
      </x:c>
      <x:c r="Y6" s="23" t="str">
        <x:v>notes</x:v>
      </x:c>
      <x:c r="Z6" s="23" t="str">
        <x:v>owner</x:v>
      </x:c>
      <x:c r="AA6" s="23" t="str">
        <x:v>record_class</x:v>
      </x:c>
      <x:c r="AB6" s="23" t="str">
        <x:v>duplicate_of</x:v>
      </x:c>
      <x:c r="AC6" s="23" t="str">
        <x:v>updated_at</x:v>
      </x:c>
      <x:c r="AD6" s="23" t="str">
        <x:v>updated_by</x:v>
      </x:c>
      <x:c r="AE6" s="23" t="str">
        <x:v>lead_id</x:v>
      </x:c>
      <x:c r="AF6" s="23" t="str">
        <x:v>received_at_th</x:v>
      </x:c>
      <x:c r="AG6" s="23" t="str">
        <x:v>lead_origin</x:v>
      </x:c>
      <x:c r="AH6" s="23" t="str">
        <x:v>customer_path</x:v>
      </x:c>
      <x:c r="AI6" s="23" t="str">
        <x:v>delivery_province</x:v>
      </x:c>
      <x:c r="AJ6" s="23" t="str">
        <x:v>required_date</x:v>
      </x:c>
      <x:c r="AK6" s="23" t="str">
        <x:v>project_details</x:v>
      </x:c>
      <x:c r="AL6" s="23" t="str">
        <x:v>submission_path</x:v>
      </x:c>
      <x:c r="AM6" s="23" t="str">
        <x:v>attribution_status</x:v>
      </x:c>
      <x:c r="AN6" s="23" t="str">
        <x:v>last_utm_source</x:v>
      </x:c>
      <x:c r="AO6" s="23" t="str">
        <x:v>last_utm_medium</x:v>
      </x:c>
      <x:c r="AP6" s="23" t="str">
        <x:v>last_utm_campaign</x:v>
      </x:c>
      <x:c r="AQ6" s="23" t="str">
        <x:v>last_utm_id</x:v>
      </x:c>
      <x:c r="AR6" s="23" t="str">
        <x:v>last_utm_term</x:v>
      </x:c>
      <x:c r="AS6" s="23" t="str">
        <x:v>gclid_present</x:v>
      </x:c>
      <x:c r="AT6" s="23" t="str">
        <x:v>source_environment</x:v>
      </x:c>
      <x:c r="AU6" s="23" t="str">
        <x:v>imported_at</x:v>
      </x:c>
      <x:c r="AV6" s="23" t="str">
        <x:v>quotation_first_sent_at</x:v>
      </x:c>
      <x:c r="AW6" s="23" t="str">
        <x:v>won_at</x:v>
      </x:c>
      <x:c r="AX6" s="23" t="str">
        <x:v>quotation_current_count</x:v>
      </x:c>
      <x:c r="AY6" s="23" t="str">
        <x:v>valid_po_count</x:v>
      </x:c>
      <x:c r="AZ6" s="23" t="str">
        <x:v>row_checks</x:v>
      </x:c>
      <x:c r="BA6" s="23" t="str">
        <x:v>report_eligible</x:v>
      </x:c>
    </x:row>
    <x:row r="7" ht="40" customHeight="1">
      <x:c r="A7" s="27" t="str">
        <x:v>รหัสอ้างอิง</x:v>
      </x:c>
      <x:c r="B7" s="27" t="str">
        <x:v>ผู้ติดต่อ</x:v>
      </x:c>
      <x:c r="C7" s="27" t="str">
        <x:v>บริษัท / แบรนด์</x:v>
      </x:c>
      <x:c r="D7" s="27" t="str">
        <x:v>สินค้า / งานกล่อง</x:v>
      </x:c>
      <x:c r="E7" s="27" t="str">
        <x:v>จำนวน (ใบ)</x:v>
      </x:c>
      <x:c r="F7" s="27" t="str">
        <x:v>สถานะการขาย</x:v>
      </x:c>
      <x:c r="G7" s="27" t="str">
        <x:v>ผลคัดกรอง</x:v>
      </x:c>
      <x:c r="H7" s="27" t="str">
        <x:v>นัดติดตามถัดไป</x:v>
      </x:c>
      <x:c r="I7" s="27" t="str">
        <x:v>สิ่งที่ต้องทำต่อ</x:v>
      </x:c>
      <x:c r="J7" s="27" t="str">
        <x:v>เตือนติดตาม · สูตร</x:v>
      </x:c>
      <x:c r="K7" s="27" t="str">
        <x:v>ช่องทางที่สะดวก</x:v>
      </x:c>
      <x:c r="L7" s="27" t="str">
        <x:v>เบอร์โทร</x:v>
      </x:c>
      <x:c r="M7" s="27" t="str">
        <x:v>LINE ID ลูกค้า</x:v>
      </x:c>
      <x:c r="N7" s="27" t="str">
        <x:v>อีเมลลูกค้า</x:v>
      </x:c>
      <x:c r="O7" s="27" t="str">
        <x:v>ติดต่อได้หรือไม่</x:v>
      </x:c>
      <x:c r="P7" s="27" t="str">
        <x:v>ความสำคัญ</x:v>
      </x:c>
      <x:c r="Q7" s="27" t="str">
        <x:v>โอกาสสั่งซ้ำ</x:v>
      </x:c>
      <x:c r="R7" s="27" t="str">
        <x:v>เหตุผลคัดกรอง</x:v>
      </x:c>
      <x:c r="S7" s="27" t="str">
        <x:v>เริ่มพยายามติดต่อ</x:v>
      </x:c>
      <x:c r="T7" s="27" t="str">
        <x:v>ติดต่อสำเร็จครั้งแรก</x:v>
      </x:c>
      <x:c r="U7" s="27" t="str">
        <x:v>คัดกรองผ่านเมื่อ</x:v>
      </x:c>
      <x:c r="V7" s="27" t="str">
        <x:v>ติดต่อล่าสุด</x:v>
      </x:c>
      <x:c r="W7" s="27" t="str">
        <x:v>ปิด Lost เมื่อ</x:v>
      </x:c>
      <x:c r="X7" s="27" t="str">
        <x:v>เหตุผล Lost</x:v>
      </x:c>
      <x:c r="Y7" s="27" t="str">
        <x:v>บันทึกงาน / ข้อมูลที่รอ</x:v>
      </x:c>
      <x:c r="Z7" s="27" t="str">
        <x:v>ผู้ดูแลงาน</x:v>
      </x:c>
      <x:c r="AA7" s="27" t="str">
        <x:v>ประเภทข้อมูล</x:v>
      </x:c>
      <x:c r="AB7" s="27" t="str">
        <x:v>ซ้ำกับ lead_id</x:v>
      </x:c>
      <x:c r="AC7" s="27" t="str">
        <x:v>อัปเดตเมื่อ</x:v>
      </x:c>
      <x:c r="AD7" s="27" t="str">
        <x:v>ผู้บันทึก</x:v>
      </x:c>
      <x:c r="AE7" s="27" t="str">
        <x:v>Lead ID · ห้ามเปลี่ยน</x:v>
      </x:c>
      <x:c r="AF7" s="27" t="str">
        <x:v>รับ Lead เมื่อ (เวลาไทย)</x:v>
      </x:c>
      <x:c r="AG7" s="27" t="str">
        <x:v>ช่องทางรับ Lead</x:v>
      </x:c>
      <x:c r="AH7" s="27" t="str">
        <x:v>จุดเริ่มของลูกค้า</x:v>
      </x:c>
      <x:c r="AI7" s="27" t="str">
        <x:v>จังหวัดจัดส่ง</x:v>
      </x:c>
      <x:c r="AJ7" s="27" t="str">
        <x:v>วันต้องการใช้งาน</x:v>
      </x:c>
      <x:c r="AK7" s="27" t="str">
        <x:v>โจทย์ที่ได้รับจากลูกค้า</x:v>
      </x:c>
      <x:c r="AL7" s="27" t="str">
        <x:v>หน้าที่ส่งคำขอ</x:v>
      </x:c>
      <x:c r="AM7" s="27" t="str">
        <x:v>สถานะที่มา</x:v>
      </x:c>
      <x:c r="AN7" s="27" t="str">
        <x:v>แหล่งที่มา · ระบบ</x:v>
      </x:c>
      <x:c r="AO7" s="27" t="str">
        <x:v>ประเภทสื่อ · ระบบ</x:v>
      </x:c>
      <x:c r="AP7" s="27" t="str">
        <x:v>Campaign · ระบบ</x:v>
      </x:c>
      <x:c r="AQ7" s="27" t="str">
        <x:v>Campaign ID · ระบบ</x:v>
      </x:c>
      <x:c r="AR7" s="27" t="str">
        <x:v>Keyword ที่ match · ระบบ</x:v>
      </x:c>
      <x:c r="AS7" s="27" t="str">
        <x:v>มี Click ID หรือไม่</x:v>
      </x:c>
      <x:c r="AT7" s="27" t="str">
        <x:v>Environment</x:v>
      </x:c>
      <x:c r="AU7" s="27" t="str">
        <x:v>นำเข้าเมื่อ</x:v>
      </x:c>
      <x:c r="AV7" s="27" t="str">
        <x:v>ส่งราคาครั้งแรก · สูตร</x:v>
      </x:c>
      <x:c r="AW7" s="27" t="str">
        <x:v>รับ PO แรก · สูตร</x:v>
      </x:c>
      <x:c r="AX7" s="27" t="str">
        <x:v>ใบราคาปัจจุบัน · สูตร</x:v>
      </x:c>
      <x:c r="AY7" s="27" t="str">
        <x:v>PO ที่รับทั้งหมด · สูตร</x:v>
      </x:c>
      <x:c r="AZ7" s="27" t="str">
        <x:v>ตรวจข้อมูล · สูตร</x:v>
      </x:c>
      <x:c r="BA7" s="27" t="str">
        <x:v>นับรายงาน · สูตร</x:v>
      </x:c>
    </x:row>
    <x:row r="8" ht="30" customHeight="1">
      <x:c r="A8" s="94"/>
      <x:c r="B8" s="32"/>
      <x:c r="C8" s="32"/>
      <x:c r="D8" s="32"/>
      <x:c r="E8" s="92"/>
      <x:c r="F8" s="36"/>
      <x:c r="G8" s="36"/>
      <x:c r="H8" s="82"/>
      <x:c r="I8" s="36"/>
      <x:c r="J8" s="42" t="str">
        <x:f>IF($A8="","",IF(OR($AA8="Test",$AA8="Spam",$AA8="Duplicate",COUNTIF('Guide_Lists'!$AR$2:$AR$4,$A8)&gt;0),"ไม่นับผลธุรกิจ",IF($AA8&lt;&gt;"Real","ระบุประเภทข้อมูล",IF(OR($F8="Won",$F8="Lost",$F8="Unqualified"),"ปิดงานขาย",IF($H8="","ยังไม่นัด",IF(NOT(ISNUMBER($H8)),"ตรวจวันนัด",IF(INT($H8)&lt;'Guide_Lists'!$B$4,"เกินกำหนด",IF(INT($H8)='Guide_Lists'!$B$4,"ติดตามวันนี้","รอนัด"))))))))</x:f>
      </x:c>
      <x:c r="K8" s="32"/>
      <x:c r="L8" s="94"/>
      <x:c r="M8" s="94"/>
      <x:c r="N8" s="94"/>
      <x:c r="O8" s="36"/>
      <x:c r="P8" s="36"/>
      <x:c r="Q8" s="36"/>
      <x:c r="R8" s="36"/>
      <x:c r="S8" s="82"/>
      <x:c r="T8" s="82"/>
      <x:c r="U8" s="82"/>
      <x:c r="V8" s="82"/>
      <x:c r="W8" s="82"/>
      <x:c r="X8" s="36"/>
      <x:c r="Y8" s="36"/>
      <x:c r="Z8" s="36"/>
      <x:c r="AA8" s="36"/>
      <x:c r="AB8" s="96"/>
      <x:c r="AC8" s="82"/>
      <x:c r="AD8" s="36"/>
      <x:c r="AE8" s="94"/>
      <x:c r="AF8" s="86"/>
      <x:c r="AG8" s="32"/>
      <x:c r="AH8" s="32"/>
      <x:c r="AI8" s="32"/>
      <x:c r="AJ8" s="88"/>
      <x:c r="AK8" s="32"/>
      <x:c r="AL8" s="32"/>
      <x:c r="AM8" s="32"/>
      <x:c r="AN8" s="32"/>
      <x:c r="AO8" s="32"/>
      <x:c r="AP8" s="32"/>
      <x:c r="AQ8" s="94"/>
      <x:c r="AR8" s="32"/>
      <x:c r="AS8" s="32"/>
      <x:c r="AT8" s="32"/>
      <x:c r="AU8" s="86"/>
      <x:c r="AV8" s="90" t="str">
        <x:f>IF($A8="","",IF(COUNTIFS('Quotations'!$L$8:$L$107,$AE8,'Quotations'!$O$8:$O$107,1)=0,"",MINIFS('Quotations'!$E$8:$E$107,'Quotations'!$L$8:$L$107,$AE8,'Quotations'!$O$8:$O$107,1)))</x:f>
      </x:c>
      <x:c r="AW8" s="90" t="str">
        <x:f>IF($A8="","",IF(COUNTIFS('Orders_PO'!$N$8:$N$107,$AE8,'Orders_PO'!$Q$8:$Q$107,1)=0,"",MINIFS('Orders_PO'!$E$8:$E$107,'Orders_PO'!$N$8:$N$107,$AE8,'Orders_PO'!$Q$8:$Q$107,1)))</x:f>
      </x:c>
      <x:c r="AX8" s="42" t="str">
        <x:f>IF($A8="","",COUNTIFS('Quotations'!$L$8:$L$107,$AE8,'Quotations'!$O$8:$O$107,1,'Quotations'!$I$8:$I$107,"Yes"))</x:f>
      </x:c>
      <x:c r="AY8" s="42" t="str">
        <x:f>IF($A8="","",COUNTIFS('Orders_PO'!$N$8:$N$107,$AE8,'Orders_PO'!$Q$8:$Q$107,1))</x:f>
      </x:c>
      <x:c r="AZ8" s="42" t="str">
        <x:f>IF($A8="","",IF((IF($AE8="","ขาด Lead ID; ","")&amp;IF(AND($AE8&lt;&gt;"",COUNTIF('Leads'!$AE$8:$AE$107,$AE8)&gt;1),"Lead ID ซ้ำ; ","")&amp;IF(COUNTIF('Leads'!$A$8:$A$107,$A8)&gt;1,"Reference ซ้ำ; ","")&amp;IF(COUNTIF('Guide_Lists'!$AR$2:$AR$4,$A8)&gt;0,"Known TEST — ห้ามนับผล; ","")&amp;IF(OR($B8="",$D8=""),"ขาดชื่อ/งาน; ","")&amp;IF(AND($L8="",$M8="",$N8=""),"ขาดช่องทางติดต่อ; ","")&amp;IF(OR($Z8="",$AA8="",$F8="",$G8="",$AT8=""),"ขาดผู้ดูแล/ประเภท/สถานะ/Environment; ","")&amp;IF(NOT(ISNUMBER($AF8)),"ขาดเวลารับ Lead; ","")&amp;IF(AND($AA8="Duplicate",$AB8=""),"ขาด duplicate_of; ","")&amp;IF(AND($G8="Qualified",OR($R8="",$U8="")),"Qualified ขาดเหตุผล/วันที่; ","")&amp;IF(AND($G8="Unqualified",$R8=""),"Unqualified ขาดเหตุผล; ","")&amp;IF(AND($F8="Qualified",$G8&lt;&gt;"Qualified"),"สถานะ/ผลคัดกรองไม่ตรง; ","")&amp;IF(AND($F8="Unqualified",$G8&lt;&gt;"Unqualified"),"สถานะ/ผลคัดกรองไม่ตรง; ","")&amp;IF(AND($F8="Contacting",$S8=""),"ขาดเวลาพยายามติดต่อ; ","")&amp;IF(AND($O8="Contactable",$T8=""),"ขาดเวลาติดต่อสำเร็จ; ","")&amp;IF(AND($F8="Quotation Sent",$AV8=""),"ยังไม่มีใบราคาที่ตรวจผ่าน; ","")&amp;IF(AND($F8="Won",$AY8=0),"Won ยังไม่มี PO ที่ตรวจผ่าน; ","")&amp;IF(AND($AY8&gt;0,$F8&lt;&gt;"Won"),"มี PO แล้ว—ตรวจสถานะ; ","")&amp;IF(AND($F8="Lost",OR($W8="",$X8="")),"Lost ขาดวัน/เหตุผล; ","")&amp;IF(AND($AA8="Real",NOT(OR($F8="Won",$F8="Lost",$F8="Unqualified")),OR($H8="",$I8="")),"ขาดนัด/งานถัดไป; ","")&amp;IF(OR($AC8="",$AD8=""),"ขาดเวลา/ผู้บันทึก; ","")&amp;IF(AND(ISNUMBER($S8),ISNUMBER($AF8),$S8&lt;$AF8),"ตรวจเวลา attempt ก่อนรับ Lead; ",""))="","ครบ",IF($AE8="","ขาด Lead ID; ","")&amp;IF(AND($AE8&lt;&gt;"",COUNTIF('Leads'!$AE$8:$AE$107,$AE8)&gt;1),"Lead ID ซ้ำ; ","")&amp;IF(COUNTIF('Leads'!$A$8:$A$107,$A8)&gt;1,"Reference ซ้ำ; ","")&amp;IF(COUNTIF('Guide_Lists'!$AR$2:$AR$4,$A8)&gt;0,"Known TEST — ห้ามนับผล; ","")&amp;IF(OR($B8="",$D8=""),"ขาดชื่อ/งาน; ","")&amp;IF(AND($L8="",$M8="",$N8=""),"ขาดช่องทางติดต่อ; ","")&amp;IF(OR($Z8="",$AA8="",$F8="",$G8="",$AT8=""),"ขาดผู้ดูแล/ประเภท/สถานะ/Environment; ","")&amp;IF(NOT(ISNUMBER($AF8)),"ขาดเวลารับ Lead; ","")&amp;IF(AND($AA8="Duplicate",$AB8=""),"ขาด duplicate_of; ","")&amp;IF(AND($G8="Qualified",OR($R8="",$U8="")),"Qualified ขาดเหตุผล/วันที่; ","")&amp;IF(AND($G8="Unqualified",$R8=""),"Unqualified ขาดเหตุผล; ","")&amp;IF(AND($F8="Qualified",$G8&lt;&gt;"Qualified"),"สถานะ/ผลคัดกรองไม่ตรง; ","")&amp;IF(AND($F8="Unqualified",$G8&lt;&gt;"Unqualified"),"สถานะ/ผลคัดกรองไม่ตรง; ","")&amp;IF(AND($F8="Contacting",$S8=""),"ขาดเวลาพยายามติดต่อ; ","")&amp;IF(AND($O8="Contactable",$T8=""),"ขาดเวลาติดต่อสำเร็จ; ","")&amp;IF(AND($F8="Quotation Sent",$AV8=""),"ยังไม่มีใบราคาที่ตรวจผ่าน; ","")&amp;IF(AND($F8="Won",$AY8=0),"Won ยังไม่มี PO ที่ตรวจผ่าน; ","")&amp;IF(AND($AY8&gt;0,$F8&lt;&gt;"Won"),"มี PO แล้ว—ตรวจสถานะ; ","")&amp;IF(AND($F8="Lost",OR($W8="",$X8="")),"Lost ขาดวัน/เหตุผล; ","")&amp;IF(AND($AA8="Real",NOT(OR($F8="Won",$F8="Lost",$F8="Unqualified")),OR($H8="",$I8="")),"ขาดนัด/งานถัดไป; ","")&amp;IF(OR($AC8="",$AD8=""),"ขาดเวลา/ผู้บันทึก; ","")&amp;IF(AND(ISNUMBER($S8),ISNUMBER($AF8),$S8&lt;$AF8),"ตรวจเวลา attempt ก่อนรับ Lead; ","")))</x:f>
      </x:c>
      <x:c r="BA8" s="42" t="str">
        <x:f>IF($A8="","",IF(AND($AE8&lt;&gt;"",$AA8="Real",$AT8="production",COUNTIF('Leads'!$AE$8:$AE$107,$AE8)=1,COUNTIF('Leads'!$A$8:$A$107,$A8)=1,COUNTIF('Guide_Lists'!$AR$2:$AR$4,$A8)=0),1,0))</x:f>
      </x:c>
    </x:row>
    <x:row r="9" ht="30" customHeight="1">
      <x:c r="A9" s="94"/>
      <x:c r="B9" s="32"/>
      <x:c r="C9" s="32"/>
      <x:c r="D9" s="32"/>
      <x:c r="E9" s="92"/>
      <x:c r="F9" s="36"/>
      <x:c r="G9" s="36"/>
      <x:c r="H9" s="82"/>
      <x:c r="I9" s="36"/>
      <x:c r="J9" s="42" t="str">
        <x:f>IF($A9="","",IF(OR($AA9="Test",$AA9="Spam",$AA9="Duplicate",COUNTIF('Guide_Lists'!$AR$2:$AR$4,$A9)&gt;0),"ไม่นับผลธุรกิจ",IF($AA9&lt;&gt;"Real","ระบุประเภทข้อมูล",IF(OR($F9="Won",$F9="Lost",$F9="Unqualified"),"ปิดงานขาย",IF($H9="","ยังไม่นัด",IF(NOT(ISNUMBER($H9)),"ตรวจวันนัด",IF(INT($H9)&lt;'Guide_Lists'!$B$4,"เกินกำหนด",IF(INT($H9)='Guide_Lists'!$B$4,"ติดตามวันนี้","รอนัด"))))))))</x:f>
      </x:c>
      <x:c r="K9" s="32"/>
      <x:c r="L9" s="94"/>
      <x:c r="M9" s="94"/>
      <x:c r="N9" s="94"/>
      <x:c r="O9" s="36"/>
      <x:c r="P9" s="36"/>
      <x:c r="Q9" s="36"/>
      <x:c r="R9" s="36"/>
      <x:c r="S9" s="82"/>
      <x:c r="T9" s="82"/>
      <x:c r="U9" s="82"/>
      <x:c r="V9" s="82"/>
      <x:c r="W9" s="82"/>
      <x:c r="X9" s="36"/>
      <x:c r="Y9" s="36"/>
      <x:c r="Z9" s="36"/>
      <x:c r="AA9" s="36"/>
      <x:c r="AB9" s="96"/>
      <x:c r="AC9" s="82"/>
      <x:c r="AD9" s="36"/>
      <x:c r="AE9" s="94"/>
      <x:c r="AF9" s="86"/>
      <x:c r="AG9" s="32"/>
      <x:c r="AH9" s="32"/>
      <x:c r="AI9" s="32"/>
      <x:c r="AJ9" s="88"/>
      <x:c r="AK9" s="32"/>
      <x:c r="AL9" s="32"/>
      <x:c r="AM9" s="32"/>
      <x:c r="AN9" s="32"/>
      <x:c r="AO9" s="32"/>
      <x:c r="AP9" s="32"/>
      <x:c r="AQ9" s="94"/>
      <x:c r="AR9" s="32"/>
      <x:c r="AS9" s="32"/>
      <x:c r="AT9" s="32"/>
      <x:c r="AU9" s="86"/>
      <x:c r="AV9" s="90" t="str">
        <x:f>IF($A9="","",IF(COUNTIFS('Quotations'!$L$8:$L$107,$AE9,'Quotations'!$O$8:$O$107,1)=0,"",MINIFS('Quotations'!$E$8:$E$107,'Quotations'!$L$8:$L$107,$AE9,'Quotations'!$O$8:$O$107,1)))</x:f>
      </x:c>
      <x:c r="AW9" s="90" t="str">
        <x:f>IF($A9="","",IF(COUNTIFS('Orders_PO'!$N$8:$N$107,$AE9,'Orders_PO'!$Q$8:$Q$107,1)=0,"",MINIFS('Orders_PO'!$E$8:$E$107,'Orders_PO'!$N$8:$N$107,$AE9,'Orders_PO'!$Q$8:$Q$107,1)))</x:f>
      </x:c>
      <x:c r="AX9" s="42" t="str">
        <x:f>IF($A9="","",COUNTIFS('Quotations'!$L$8:$L$107,$AE9,'Quotations'!$O$8:$O$107,1,'Quotations'!$I$8:$I$107,"Yes"))</x:f>
      </x:c>
      <x:c r="AY9" s="42" t="str">
        <x:f>IF($A9="","",COUNTIFS('Orders_PO'!$N$8:$N$107,$AE9,'Orders_PO'!$Q$8:$Q$107,1))</x:f>
      </x:c>
      <x:c r="AZ9" s="42" t="str">
        <x:f>IF($A9="","",IF((IF($AE9="","ขาด Lead ID; ","")&amp;IF(AND($AE9&lt;&gt;"",COUNTIF('Leads'!$AE$8:$AE$107,$AE9)&gt;1),"Lead ID ซ้ำ; ","")&amp;IF(COUNTIF('Leads'!$A$8:$A$107,$A9)&gt;1,"Reference ซ้ำ; ","")&amp;IF(COUNTIF('Guide_Lists'!$AR$2:$AR$4,$A9)&gt;0,"Known TEST — ห้ามนับผล; ","")&amp;IF(OR($B9="",$D9=""),"ขาดชื่อ/งาน; ","")&amp;IF(AND($L9="",$M9="",$N9=""),"ขาดช่องทางติดต่อ; ","")&amp;IF(OR($Z9="",$AA9="",$F9="",$G9="",$AT9=""),"ขาดผู้ดูแล/ประเภท/สถานะ/Environment; ","")&amp;IF(NOT(ISNUMBER($AF9)),"ขาดเวลารับ Lead; ","")&amp;IF(AND($AA9="Duplicate",$AB9=""),"ขาด duplicate_of; ","")&amp;IF(AND($G9="Qualified",OR($R9="",$U9="")),"Qualified ขาดเหตุผล/วันที่; ","")&amp;IF(AND($G9="Unqualified",$R9=""),"Unqualified ขาดเหตุผล; ","")&amp;IF(AND($F9="Qualified",$G9&lt;&gt;"Qualified"),"สถานะ/ผลคัดกรองไม่ตรง; ","")&amp;IF(AND($F9="Unqualified",$G9&lt;&gt;"Unqualified"),"สถานะ/ผลคัดกรองไม่ตรง; ","")&amp;IF(AND($F9="Contacting",$S9=""),"ขาดเวลาพยายามติดต่อ; ","")&amp;IF(AND($O9="Contactable",$T9=""),"ขาดเวลาติดต่อสำเร็จ; ","")&amp;IF(AND($F9="Quotation Sent",$AV9=""),"ยังไม่มีใบราคาที่ตรวจผ่าน; ","")&amp;IF(AND($F9="Won",$AY9=0),"Won ยังไม่มี PO ที่ตรวจผ่าน; ","")&amp;IF(AND($AY9&gt;0,$F9&lt;&gt;"Won"),"มี PO แล้ว—ตรวจสถานะ; ","")&amp;IF(AND($F9="Lost",OR($W9="",$X9="")),"Lost ขาดวัน/เหตุผล; ","")&amp;IF(AND($AA9="Real",NOT(OR($F9="Won",$F9="Lost",$F9="Unqualified")),OR($H9="",$I9="")),"ขาดนัด/งานถัดไป; ","")&amp;IF(OR($AC9="",$AD9=""),"ขาดเวลา/ผู้บันทึก; ","")&amp;IF(AND(ISNUMBER($S9),ISNUMBER($AF9),$S9&lt;$AF9),"ตรวจเวลา attempt ก่อนรับ Lead; ",""))="","ครบ",IF($AE9="","ขาด Lead ID; ","")&amp;IF(AND($AE9&lt;&gt;"",COUNTIF('Leads'!$AE$8:$AE$107,$AE9)&gt;1),"Lead ID ซ้ำ; ","")&amp;IF(COUNTIF('Leads'!$A$8:$A$107,$A9)&gt;1,"Reference ซ้ำ; ","")&amp;IF(COUNTIF('Guide_Lists'!$AR$2:$AR$4,$A9)&gt;0,"Known TEST — ห้ามนับผล; ","")&amp;IF(OR($B9="",$D9=""),"ขาดชื่อ/งาน; ","")&amp;IF(AND($L9="",$M9="",$N9=""),"ขาดช่องทางติดต่อ; ","")&amp;IF(OR($Z9="",$AA9="",$F9="",$G9="",$AT9=""),"ขาดผู้ดูแล/ประเภท/สถานะ/Environment; ","")&amp;IF(NOT(ISNUMBER($AF9)),"ขาดเวลารับ Lead; ","")&amp;IF(AND($AA9="Duplicate",$AB9=""),"ขาด duplicate_of; ","")&amp;IF(AND($G9="Qualified",OR($R9="",$U9="")),"Qualified ขาดเหตุผล/วันที่; ","")&amp;IF(AND($G9="Unqualified",$R9=""),"Unqualified ขาดเหตุผล; ","")&amp;IF(AND($F9="Qualified",$G9&lt;&gt;"Qualified"),"สถานะ/ผลคัดกรองไม่ตรง; ","")&amp;IF(AND($F9="Unqualified",$G9&lt;&gt;"Unqualified"),"สถานะ/ผลคัดกรองไม่ตรง; ","")&amp;IF(AND($F9="Contacting",$S9=""),"ขาดเวลาพยายามติดต่อ; ","")&amp;IF(AND($O9="Contactable",$T9=""),"ขาดเวลาติดต่อสำเร็จ; ","")&amp;IF(AND($F9="Quotation Sent",$AV9=""),"ยังไม่มีใบราคาที่ตรวจผ่าน; ","")&amp;IF(AND($F9="Won",$AY9=0),"Won ยังไม่มี PO ที่ตรวจผ่าน; ","")&amp;IF(AND($AY9&gt;0,$F9&lt;&gt;"Won"),"มี PO แล้ว—ตรวจสถานะ; ","")&amp;IF(AND($F9="Lost",OR($W9="",$X9="")),"Lost ขาดวัน/เหตุผล; ","")&amp;IF(AND($AA9="Real",NOT(OR($F9="Won",$F9="Lost",$F9="Unqualified")),OR($H9="",$I9="")),"ขาดนัด/งานถัดไป; ","")&amp;IF(OR($AC9="",$AD9=""),"ขาดเวลา/ผู้บันทึก; ","")&amp;IF(AND(ISNUMBER($S9),ISNUMBER($AF9),$S9&lt;$AF9),"ตรวจเวลา attempt ก่อนรับ Lead; ","")))</x:f>
      </x:c>
      <x:c r="BA9" s="42" t="str">
        <x:f>IF($A9="","",IF(AND($AE9&lt;&gt;"",$AA9="Real",$AT9="production",COUNTIF('Leads'!$AE$8:$AE$107,$AE9)=1,COUNTIF('Leads'!$A$8:$A$107,$A9)=1,COUNTIF('Guide_Lists'!$AR$2:$AR$4,$A9)=0),1,0))</x:f>
      </x:c>
    </x:row>
    <x:row r="10" ht="30" customHeight="1">
      <x:c r="A10" s="94"/>
      <x:c r="B10" s="32"/>
      <x:c r="C10" s="32"/>
      <x:c r="D10" s="32"/>
      <x:c r="E10" s="92"/>
      <x:c r="F10" s="36"/>
      <x:c r="G10" s="36"/>
      <x:c r="H10" s="82"/>
      <x:c r="I10" s="36"/>
      <x:c r="J10" s="42" t="str">
        <x:f>IF($A10="","",IF(OR($AA10="Test",$AA10="Spam",$AA10="Duplicate",COUNTIF('Guide_Lists'!$AR$2:$AR$4,$A10)&gt;0),"ไม่นับผลธุรกิจ",IF($AA10&lt;&gt;"Real","ระบุประเภทข้อมูล",IF(OR($F10="Won",$F10="Lost",$F10="Unqualified"),"ปิดงานขาย",IF($H10="","ยังไม่นัด",IF(NOT(ISNUMBER($H10)),"ตรวจวันนัด",IF(INT($H10)&lt;'Guide_Lists'!$B$4,"เกินกำหนด",IF(INT($H10)='Guide_Lists'!$B$4,"ติดตามวันนี้","รอนัด"))))))))</x:f>
      </x:c>
      <x:c r="K10" s="32"/>
      <x:c r="L10" s="94"/>
      <x:c r="M10" s="94"/>
      <x:c r="N10" s="94"/>
      <x:c r="O10" s="36"/>
      <x:c r="P10" s="36"/>
      <x:c r="Q10" s="36"/>
      <x:c r="R10" s="36"/>
      <x:c r="S10" s="82"/>
      <x:c r="T10" s="82"/>
      <x:c r="U10" s="82"/>
      <x:c r="V10" s="82"/>
      <x:c r="W10" s="82"/>
      <x:c r="X10" s="36"/>
      <x:c r="Y10" s="36"/>
      <x:c r="Z10" s="36"/>
      <x:c r="AA10" s="36"/>
      <x:c r="AB10" s="96"/>
      <x:c r="AC10" s="82"/>
      <x:c r="AD10" s="36"/>
      <x:c r="AE10" s="94"/>
      <x:c r="AF10" s="86"/>
      <x:c r="AG10" s="32"/>
      <x:c r="AH10" s="32"/>
      <x:c r="AI10" s="32"/>
      <x:c r="AJ10" s="88"/>
      <x:c r="AK10" s="32"/>
      <x:c r="AL10" s="32"/>
      <x:c r="AM10" s="32"/>
      <x:c r="AN10" s="32"/>
      <x:c r="AO10" s="32"/>
      <x:c r="AP10" s="32"/>
      <x:c r="AQ10" s="94"/>
      <x:c r="AR10" s="32"/>
      <x:c r="AS10" s="32"/>
      <x:c r="AT10" s="32"/>
      <x:c r="AU10" s="86"/>
      <x:c r="AV10" s="90" t="str">
        <x:f>IF($A10="","",IF(COUNTIFS('Quotations'!$L$8:$L$107,$AE10,'Quotations'!$O$8:$O$107,1)=0,"",MINIFS('Quotations'!$E$8:$E$107,'Quotations'!$L$8:$L$107,$AE10,'Quotations'!$O$8:$O$107,1)))</x:f>
      </x:c>
      <x:c r="AW10" s="90" t="str">
        <x:f>IF($A10="","",IF(COUNTIFS('Orders_PO'!$N$8:$N$107,$AE10,'Orders_PO'!$Q$8:$Q$107,1)=0,"",MINIFS('Orders_PO'!$E$8:$E$107,'Orders_PO'!$N$8:$N$107,$AE10,'Orders_PO'!$Q$8:$Q$107,1)))</x:f>
      </x:c>
      <x:c r="AX10" s="42" t="str">
        <x:f>IF($A10="","",COUNTIFS('Quotations'!$L$8:$L$107,$AE10,'Quotations'!$O$8:$O$107,1,'Quotations'!$I$8:$I$107,"Yes"))</x:f>
      </x:c>
      <x:c r="AY10" s="42" t="str">
        <x:f>IF($A10="","",COUNTIFS('Orders_PO'!$N$8:$N$107,$AE10,'Orders_PO'!$Q$8:$Q$107,1))</x:f>
      </x:c>
      <x:c r="AZ10" s="42" t="str">
        <x:f>IF($A10="","",IF((IF($AE10="","ขาด Lead ID; ","")&amp;IF(AND($AE10&lt;&gt;"",COUNTIF('Leads'!$AE$8:$AE$107,$AE10)&gt;1),"Lead ID ซ้ำ; ","")&amp;IF(COUNTIF('Leads'!$A$8:$A$107,$A10)&gt;1,"Reference ซ้ำ; ","")&amp;IF(COUNTIF('Guide_Lists'!$AR$2:$AR$4,$A10)&gt;0,"Known TEST — ห้ามนับผล; ","")&amp;IF(OR($B10="",$D10=""),"ขาดชื่อ/งาน; ","")&amp;IF(AND($L10="",$M10="",$N10=""),"ขาดช่องทางติดต่อ; ","")&amp;IF(OR($Z10="",$AA10="",$F10="",$G10="",$AT10=""),"ขาดผู้ดูแล/ประเภท/สถานะ/Environment; ","")&amp;IF(NOT(ISNUMBER($AF10)),"ขาดเวลารับ Lead; ","")&amp;IF(AND($AA10="Duplicate",$AB10=""),"ขาด duplicate_of; ","")&amp;IF(AND($G10="Qualified",OR($R10="",$U10="")),"Qualified ขาดเหตุผล/วันที่; ","")&amp;IF(AND($G10="Unqualified",$R10=""),"Unqualified ขาดเหตุผล; ","")&amp;IF(AND($F10="Qualified",$G10&lt;&gt;"Qualified"),"สถานะ/ผลคัดกรองไม่ตรง; ","")&amp;IF(AND($F10="Unqualified",$G10&lt;&gt;"Unqualified"),"สถานะ/ผลคัดกรองไม่ตรง; ","")&amp;IF(AND($F10="Contacting",$S10=""),"ขาดเวลาพยายามติดต่อ; ","")&amp;IF(AND($O10="Contactable",$T10=""),"ขาดเวลาติดต่อสำเร็จ; ","")&amp;IF(AND($F10="Quotation Sent",$AV10=""),"ยังไม่มีใบราคาที่ตรวจผ่าน; ","")&amp;IF(AND($F10="Won",$AY10=0),"Won ยังไม่มี PO ที่ตรวจผ่าน; ","")&amp;IF(AND($AY10&gt;0,$F10&lt;&gt;"Won"),"มี PO แล้ว—ตรวจสถานะ; ","")&amp;IF(AND($F10="Lost",OR($W10="",$X10="")),"Lost ขาดวัน/เหตุผล; ","")&amp;IF(AND($AA10="Real",NOT(OR($F10="Won",$F10="Lost",$F10="Unqualified")),OR($H10="",$I10="")),"ขาดนัด/งานถัดไป; ","")&amp;IF(OR($AC10="",$AD10=""),"ขาดเวลา/ผู้บันทึก; ","")&amp;IF(AND(ISNUMBER($S10),ISNUMBER($AF10),$S10&lt;$AF10),"ตรวจเวลา attempt ก่อนรับ Lead; ",""))="","ครบ",IF($AE10="","ขาด Lead ID; ","")&amp;IF(AND($AE10&lt;&gt;"",COUNTIF('Leads'!$AE$8:$AE$107,$AE10)&gt;1),"Lead ID ซ้ำ; ","")&amp;IF(COUNTIF('Leads'!$A$8:$A$107,$A10)&gt;1,"Reference ซ้ำ; ","")&amp;IF(COUNTIF('Guide_Lists'!$AR$2:$AR$4,$A10)&gt;0,"Known TEST — ห้ามนับผล; ","")&amp;IF(OR($B10="",$D10=""),"ขาดชื่อ/งาน; ","")&amp;IF(AND($L10="",$M10="",$N10=""),"ขาดช่องทางติดต่อ; ","")&amp;IF(OR($Z10="",$AA10="",$F10="",$G10="",$AT10=""),"ขาดผู้ดูแล/ประเภท/สถานะ/Environment; ","")&amp;IF(NOT(ISNUMBER($AF10)),"ขาดเวลารับ Lead; ","")&amp;IF(AND($AA10="Duplicate",$AB10=""),"ขาด duplicate_of; ","")&amp;IF(AND($G10="Qualified",OR($R10="",$U10="")),"Qualified ขาดเหตุผล/วันที่; ","")&amp;IF(AND($G10="Unqualified",$R10=""),"Unqualified ขาดเหตุผล; ","")&amp;IF(AND($F10="Qualified",$G10&lt;&gt;"Qualified"),"สถานะ/ผลคัดกรองไม่ตรง; ","")&amp;IF(AND($F10="Unqualified",$G10&lt;&gt;"Unqualified"),"สถานะ/ผลคัดกรองไม่ตรง; ","")&amp;IF(AND($F10="Contacting",$S10=""),"ขาดเวลาพยายามติดต่อ; ","")&amp;IF(AND($O10="Contactable",$T10=""),"ขาดเวลาติดต่อสำเร็จ; ","")&amp;IF(AND($F10="Quotation Sent",$AV10=""),"ยังไม่มีใบราคาที่ตรวจผ่าน; ","")&amp;IF(AND($F10="Won",$AY10=0),"Won ยังไม่มี PO ที่ตรวจผ่าน; ","")&amp;IF(AND($AY10&gt;0,$F10&lt;&gt;"Won"),"มี PO แล้ว—ตรวจสถานะ; ","")&amp;IF(AND($F10="Lost",OR($W10="",$X10="")),"Lost ขาดวัน/เหตุผล; ","")&amp;IF(AND($AA10="Real",NOT(OR($F10="Won",$F10="Lost",$F10="Unqualified")),OR($H10="",$I10="")),"ขาดนัด/งานถัดไป; ","")&amp;IF(OR($AC10="",$AD10=""),"ขาดเวลา/ผู้บันทึก; ","")&amp;IF(AND(ISNUMBER($S10),ISNUMBER($AF10),$S10&lt;$AF10),"ตรวจเวลา attempt ก่อนรับ Lead; ","")))</x:f>
      </x:c>
      <x:c r="BA10" s="42" t="str">
        <x:f>IF($A10="","",IF(AND($AE10&lt;&gt;"",$AA10="Real",$AT10="production",COUNTIF('Leads'!$AE$8:$AE$107,$AE10)=1,COUNTIF('Leads'!$A$8:$A$107,$A10)=1,COUNTIF('Guide_Lists'!$AR$2:$AR$4,$A10)=0),1,0))</x:f>
      </x:c>
    </x:row>
    <x:row r="11" ht="30" customHeight="1">
      <x:c r="A11" s="94"/>
      <x:c r="B11" s="32"/>
      <x:c r="C11" s="32"/>
      <x:c r="D11" s="32"/>
      <x:c r="E11" s="92"/>
      <x:c r="F11" s="36"/>
      <x:c r="G11" s="36"/>
      <x:c r="H11" s="82"/>
      <x:c r="I11" s="36"/>
      <x:c r="J11" s="42" t="str">
        <x:f>IF($A11="","",IF(OR($AA11="Test",$AA11="Spam",$AA11="Duplicate",COUNTIF('Guide_Lists'!$AR$2:$AR$4,$A11)&gt;0),"ไม่นับผลธุรกิจ",IF($AA11&lt;&gt;"Real","ระบุประเภทข้อมูล",IF(OR($F11="Won",$F11="Lost",$F11="Unqualified"),"ปิดงานขาย",IF($H11="","ยังไม่นัด",IF(NOT(ISNUMBER($H11)),"ตรวจวันนัด",IF(INT($H11)&lt;'Guide_Lists'!$B$4,"เกินกำหนด",IF(INT($H11)='Guide_Lists'!$B$4,"ติดตามวันนี้","รอนัด"))))))))</x:f>
      </x:c>
      <x:c r="K11" s="32"/>
      <x:c r="L11" s="94"/>
      <x:c r="M11" s="94"/>
      <x:c r="N11" s="94"/>
      <x:c r="O11" s="36"/>
      <x:c r="P11" s="36"/>
      <x:c r="Q11" s="36"/>
      <x:c r="R11" s="36"/>
      <x:c r="S11" s="82"/>
      <x:c r="T11" s="82"/>
      <x:c r="U11" s="82"/>
      <x:c r="V11" s="82"/>
      <x:c r="W11" s="82"/>
      <x:c r="X11" s="36"/>
      <x:c r="Y11" s="36"/>
      <x:c r="Z11" s="36"/>
      <x:c r="AA11" s="36"/>
      <x:c r="AB11" s="96"/>
      <x:c r="AC11" s="82"/>
      <x:c r="AD11" s="36"/>
      <x:c r="AE11" s="94"/>
      <x:c r="AF11" s="86"/>
      <x:c r="AG11" s="32"/>
      <x:c r="AH11" s="32"/>
      <x:c r="AI11" s="32"/>
      <x:c r="AJ11" s="88"/>
      <x:c r="AK11" s="32"/>
      <x:c r="AL11" s="32"/>
      <x:c r="AM11" s="32"/>
      <x:c r="AN11" s="32"/>
      <x:c r="AO11" s="32"/>
      <x:c r="AP11" s="32"/>
      <x:c r="AQ11" s="94"/>
      <x:c r="AR11" s="32"/>
      <x:c r="AS11" s="32"/>
      <x:c r="AT11" s="32"/>
      <x:c r="AU11" s="86"/>
      <x:c r="AV11" s="90" t="str">
        <x:f>IF($A11="","",IF(COUNTIFS('Quotations'!$L$8:$L$107,$AE11,'Quotations'!$O$8:$O$107,1)=0,"",MINIFS('Quotations'!$E$8:$E$107,'Quotations'!$L$8:$L$107,$AE11,'Quotations'!$O$8:$O$107,1)))</x:f>
      </x:c>
      <x:c r="AW11" s="90" t="str">
        <x:f>IF($A11="","",IF(COUNTIFS('Orders_PO'!$N$8:$N$107,$AE11,'Orders_PO'!$Q$8:$Q$107,1)=0,"",MINIFS('Orders_PO'!$E$8:$E$107,'Orders_PO'!$N$8:$N$107,$AE11,'Orders_PO'!$Q$8:$Q$107,1)))</x:f>
      </x:c>
      <x:c r="AX11" s="42" t="str">
        <x:f>IF($A11="","",COUNTIFS('Quotations'!$L$8:$L$107,$AE11,'Quotations'!$O$8:$O$107,1,'Quotations'!$I$8:$I$107,"Yes"))</x:f>
      </x:c>
      <x:c r="AY11" s="42" t="str">
        <x:f>IF($A11="","",COUNTIFS('Orders_PO'!$N$8:$N$107,$AE11,'Orders_PO'!$Q$8:$Q$107,1))</x:f>
      </x:c>
      <x:c r="AZ11" s="42" t="str">
        <x:f>IF($A11="","",IF((IF($AE11="","ขาด Lead ID; ","")&amp;IF(AND($AE11&lt;&gt;"",COUNTIF('Leads'!$AE$8:$AE$107,$AE11)&gt;1),"Lead ID ซ้ำ; ","")&amp;IF(COUNTIF('Leads'!$A$8:$A$107,$A11)&gt;1,"Reference ซ้ำ; ","")&amp;IF(COUNTIF('Guide_Lists'!$AR$2:$AR$4,$A11)&gt;0,"Known TEST — ห้ามนับผล; ","")&amp;IF(OR($B11="",$D11=""),"ขาดชื่อ/งาน; ","")&amp;IF(AND($L11="",$M11="",$N11=""),"ขาดช่องทางติดต่อ; ","")&amp;IF(OR($Z11="",$AA11="",$F11="",$G11="",$AT11=""),"ขาดผู้ดูแล/ประเภท/สถานะ/Environment; ","")&amp;IF(NOT(ISNUMBER($AF11)),"ขาดเวลารับ Lead; ","")&amp;IF(AND($AA11="Duplicate",$AB11=""),"ขาด duplicate_of; ","")&amp;IF(AND($G11="Qualified",OR($R11="",$U11="")),"Qualified ขาดเหตุผล/วันที่; ","")&amp;IF(AND($G11="Unqualified",$R11=""),"Unqualified ขาดเหตุผล; ","")&amp;IF(AND($F11="Qualified",$G11&lt;&gt;"Qualified"),"สถานะ/ผลคัดกรองไม่ตรง; ","")&amp;IF(AND($F11="Unqualified",$G11&lt;&gt;"Unqualified"),"สถานะ/ผลคัดกรองไม่ตรง; ","")&amp;IF(AND($F11="Contacting",$S11=""),"ขาดเวลาพยายามติดต่อ; ","")&amp;IF(AND($O11="Contactable",$T11=""),"ขาดเวลาติดต่อสำเร็จ; ","")&amp;IF(AND($F11="Quotation Sent",$AV11=""),"ยังไม่มีใบราคาที่ตรวจผ่าน; ","")&amp;IF(AND($F11="Won",$AY11=0),"Won ยังไม่มี PO ที่ตรวจผ่าน; ","")&amp;IF(AND($AY11&gt;0,$F11&lt;&gt;"Won"),"มี PO แล้ว—ตรวจสถานะ; ","")&amp;IF(AND($F11="Lost",OR($W11="",$X11="")),"Lost ขาดวัน/เหตุผล; ","")&amp;IF(AND($AA11="Real",NOT(OR($F11="Won",$F11="Lost",$F11="Unqualified")),OR($H11="",$I11="")),"ขาดนัด/งานถัดไป; ","")&amp;IF(OR($AC11="",$AD11=""),"ขาดเวลา/ผู้บันทึก; ","")&amp;IF(AND(ISNUMBER($S11),ISNUMBER($AF11),$S11&lt;$AF11),"ตรวจเวลา attempt ก่อนรับ Lead; ",""))="","ครบ",IF($AE11="","ขาด Lead ID; ","")&amp;IF(AND($AE11&lt;&gt;"",COUNTIF('Leads'!$AE$8:$AE$107,$AE11)&gt;1),"Lead ID ซ้ำ; ","")&amp;IF(COUNTIF('Leads'!$A$8:$A$107,$A11)&gt;1,"Reference ซ้ำ; ","")&amp;IF(COUNTIF('Guide_Lists'!$AR$2:$AR$4,$A11)&gt;0,"Known TEST — ห้ามนับผล; ","")&amp;IF(OR($B11="",$D11=""),"ขาดชื่อ/งาน; ","")&amp;IF(AND($L11="",$M11="",$N11=""),"ขาดช่องทางติดต่อ; ","")&amp;IF(OR($Z11="",$AA11="",$F11="",$G11="",$AT11=""),"ขาดผู้ดูแล/ประเภท/สถานะ/Environment; ","")&amp;IF(NOT(ISNUMBER($AF11)),"ขาดเวลารับ Lead; ","")&amp;IF(AND($AA11="Duplicate",$AB11=""),"ขาด duplicate_of; ","")&amp;IF(AND($G11="Qualified",OR($R11="",$U11="")),"Qualified ขาดเหตุผล/วันที่; ","")&amp;IF(AND($G11="Unqualified",$R11=""),"Unqualified ขาดเหตุผล; ","")&amp;IF(AND($F11="Qualified",$G11&lt;&gt;"Qualified"),"สถานะ/ผลคัดกรองไม่ตรง; ","")&amp;IF(AND($F11="Unqualified",$G11&lt;&gt;"Unqualified"),"สถานะ/ผลคัดกรองไม่ตรง; ","")&amp;IF(AND($F11="Contacting",$S11=""),"ขาดเวลาพยายามติดต่อ; ","")&amp;IF(AND($O11="Contactable",$T11=""),"ขาดเวลาติดต่อสำเร็จ; ","")&amp;IF(AND($F11="Quotation Sent",$AV11=""),"ยังไม่มีใบราคาที่ตรวจผ่าน; ","")&amp;IF(AND($F11="Won",$AY11=0),"Won ยังไม่มี PO ที่ตรวจผ่าน; ","")&amp;IF(AND($AY11&gt;0,$F11&lt;&gt;"Won"),"มี PO แล้ว—ตรวจสถานะ; ","")&amp;IF(AND($F11="Lost",OR($W11="",$X11="")),"Lost ขาดวัน/เหตุผล; ","")&amp;IF(AND($AA11="Real",NOT(OR($F11="Won",$F11="Lost",$F11="Unqualified")),OR($H11="",$I11="")),"ขาดนัด/งานถัดไป; ","")&amp;IF(OR($AC11="",$AD11=""),"ขาดเวลา/ผู้บันทึก; ","")&amp;IF(AND(ISNUMBER($S11),ISNUMBER($AF11),$S11&lt;$AF11),"ตรวจเวลา attempt ก่อนรับ Lead; ","")))</x:f>
      </x:c>
      <x:c r="BA11" s="42" t="str">
        <x:f>IF($A11="","",IF(AND($AE11&lt;&gt;"",$AA11="Real",$AT11="production",COUNTIF('Leads'!$AE$8:$AE$107,$AE11)=1,COUNTIF('Leads'!$A$8:$A$107,$A11)=1,COUNTIF('Guide_Lists'!$AR$2:$AR$4,$A11)=0),1,0))</x:f>
      </x:c>
    </x:row>
    <x:row r="12" ht="30" customHeight="1">
      <x:c r="A12" s="94"/>
      <x:c r="B12" s="32"/>
      <x:c r="C12" s="32"/>
      <x:c r="D12" s="32"/>
      <x:c r="E12" s="92"/>
      <x:c r="F12" s="36"/>
      <x:c r="G12" s="36"/>
      <x:c r="H12" s="82"/>
      <x:c r="I12" s="36"/>
      <x:c r="J12" s="42" t="str">
        <x:f>IF($A12="","",IF(OR($AA12="Test",$AA12="Spam",$AA12="Duplicate",COUNTIF('Guide_Lists'!$AR$2:$AR$4,$A12)&gt;0),"ไม่นับผลธุรกิจ",IF($AA12&lt;&gt;"Real","ระบุประเภทข้อมูล",IF(OR($F12="Won",$F12="Lost",$F12="Unqualified"),"ปิดงานขาย",IF($H12="","ยังไม่นัด",IF(NOT(ISNUMBER($H12)),"ตรวจวันนัด",IF(INT($H12)&lt;'Guide_Lists'!$B$4,"เกินกำหนด",IF(INT($H12)='Guide_Lists'!$B$4,"ติดตามวันนี้","รอนัด"))))))))</x:f>
      </x:c>
      <x:c r="K12" s="32"/>
      <x:c r="L12" s="94"/>
      <x:c r="M12" s="94"/>
      <x:c r="N12" s="94"/>
      <x:c r="O12" s="36"/>
      <x:c r="P12" s="36"/>
      <x:c r="Q12" s="36"/>
      <x:c r="R12" s="36"/>
      <x:c r="S12" s="82"/>
      <x:c r="T12" s="82"/>
      <x:c r="U12" s="82"/>
      <x:c r="V12" s="82"/>
      <x:c r="W12" s="82"/>
      <x:c r="X12" s="36"/>
      <x:c r="Y12" s="36"/>
      <x:c r="Z12" s="36"/>
      <x:c r="AA12" s="36"/>
      <x:c r="AB12" s="96"/>
      <x:c r="AC12" s="82"/>
      <x:c r="AD12" s="36"/>
      <x:c r="AE12" s="94"/>
      <x:c r="AF12" s="86"/>
      <x:c r="AG12" s="32"/>
      <x:c r="AH12" s="32"/>
      <x:c r="AI12" s="32"/>
      <x:c r="AJ12" s="88"/>
      <x:c r="AK12" s="32"/>
      <x:c r="AL12" s="32"/>
      <x:c r="AM12" s="32"/>
      <x:c r="AN12" s="32"/>
      <x:c r="AO12" s="32"/>
      <x:c r="AP12" s="32"/>
      <x:c r="AQ12" s="94"/>
      <x:c r="AR12" s="32"/>
      <x:c r="AS12" s="32"/>
      <x:c r="AT12" s="32"/>
      <x:c r="AU12" s="86"/>
      <x:c r="AV12" s="90" t="str">
        <x:f>IF($A12="","",IF(COUNTIFS('Quotations'!$L$8:$L$107,$AE12,'Quotations'!$O$8:$O$107,1)=0,"",MINIFS('Quotations'!$E$8:$E$107,'Quotations'!$L$8:$L$107,$AE12,'Quotations'!$O$8:$O$107,1)))</x:f>
      </x:c>
      <x:c r="AW12" s="90" t="str">
        <x:f>IF($A12="","",IF(COUNTIFS('Orders_PO'!$N$8:$N$107,$AE12,'Orders_PO'!$Q$8:$Q$107,1)=0,"",MINIFS('Orders_PO'!$E$8:$E$107,'Orders_PO'!$N$8:$N$107,$AE12,'Orders_PO'!$Q$8:$Q$107,1)))</x:f>
      </x:c>
      <x:c r="AX12" s="42" t="str">
        <x:f>IF($A12="","",COUNTIFS('Quotations'!$L$8:$L$107,$AE12,'Quotations'!$O$8:$O$107,1,'Quotations'!$I$8:$I$107,"Yes"))</x:f>
      </x:c>
      <x:c r="AY12" s="42" t="str">
        <x:f>IF($A12="","",COUNTIFS('Orders_PO'!$N$8:$N$107,$AE12,'Orders_PO'!$Q$8:$Q$107,1))</x:f>
      </x:c>
      <x:c r="AZ12" s="42" t="str">
        <x:f>IF($A12="","",IF((IF($AE12="","ขาด Lead ID; ","")&amp;IF(AND($AE12&lt;&gt;"",COUNTIF('Leads'!$AE$8:$AE$107,$AE12)&gt;1),"Lead ID ซ้ำ; ","")&amp;IF(COUNTIF('Leads'!$A$8:$A$107,$A12)&gt;1,"Reference ซ้ำ; ","")&amp;IF(COUNTIF('Guide_Lists'!$AR$2:$AR$4,$A12)&gt;0,"Known TEST — ห้ามนับผล; ","")&amp;IF(OR($B12="",$D12=""),"ขาดชื่อ/งาน; ","")&amp;IF(AND($L12="",$M12="",$N12=""),"ขาดช่องทางติดต่อ; ","")&amp;IF(OR($Z12="",$AA12="",$F12="",$G12="",$AT12=""),"ขาดผู้ดูแล/ประเภท/สถานะ/Environment; ","")&amp;IF(NOT(ISNUMBER($AF12)),"ขาดเวลารับ Lead; ","")&amp;IF(AND($AA12="Duplicate",$AB12=""),"ขาด duplicate_of; ","")&amp;IF(AND($G12="Qualified",OR($R12="",$U12="")),"Qualified ขาดเหตุผล/วันที่; ","")&amp;IF(AND($G12="Unqualified",$R12=""),"Unqualified ขาดเหตุผล; ","")&amp;IF(AND($F12="Qualified",$G12&lt;&gt;"Qualified"),"สถานะ/ผลคัดกรองไม่ตรง; ","")&amp;IF(AND($F12="Unqualified",$G12&lt;&gt;"Unqualified"),"สถานะ/ผลคัดกรองไม่ตรง; ","")&amp;IF(AND($F12="Contacting",$S12=""),"ขาดเวลาพยายามติดต่อ; ","")&amp;IF(AND($O12="Contactable",$T12=""),"ขาดเวลาติดต่อสำเร็จ; ","")&amp;IF(AND($F12="Quotation Sent",$AV12=""),"ยังไม่มีใบราคาที่ตรวจผ่าน; ","")&amp;IF(AND($F12="Won",$AY12=0),"Won ยังไม่มี PO ที่ตรวจผ่าน; ","")&amp;IF(AND($AY12&gt;0,$F12&lt;&gt;"Won"),"มี PO แล้ว—ตรวจสถานะ; ","")&amp;IF(AND($F12="Lost",OR($W12="",$X12="")),"Lost ขาดวัน/เหตุผล; ","")&amp;IF(AND($AA12="Real",NOT(OR($F12="Won",$F12="Lost",$F12="Unqualified")),OR($H12="",$I12="")),"ขาดนัด/งานถัดไป; ","")&amp;IF(OR($AC12="",$AD12=""),"ขาดเวลา/ผู้บันทึก; ","")&amp;IF(AND(ISNUMBER($S12),ISNUMBER($AF12),$S12&lt;$AF12),"ตรวจเวลา attempt ก่อนรับ Lead; ",""))="","ครบ",IF($AE12="","ขาด Lead ID; ","")&amp;IF(AND($AE12&lt;&gt;"",COUNTIF('Leads'!$AE$8:$AE$107,$AE12)&gt;1),"Lead ID ซ้ำ; ","")&amp;IF(COUNTIF('Leads'!$A$8:$A$107,$A12)&gt;1,"Reference ซ้ำ; ","")&amp;IF(COUNTIF('Guide_Lists'!$AR$2:$AR$4,$A12)&gt;0,"Known TEST — ห้ามนับผล; ","")&amp;IF(OR($B12="",$D12=""),"ขาดชื่อ/งาน; ","")&amp;IF(AND($L12="",$M12="",$N12=""),"ขาดช่องทางติดต่อ; ","")&amp;IF(OR($Z12="",$AA12="",$F12="",$G12="",$AT12=""),"ขาดผู้ดูแล/ประเภท/สถานะ/Environment; ","")&amp;IF(NOT(ISNUMBER($AF12)),"ขาดเวลารับ Lead; ","")&amp;IF(AND($AA12="Duplicate",$AB12=""),"ขาด duplicate_of; ","")&amp;IF(AND($G12="Qualified",OR($R12="",$U12="")),"Qualified ขาดเหตุผล/วันที่; ","")&amp;IF(AND($G12="Unqualified",$R12=""),"Unqualified ขาดเหตุผล; ","")&amp;IF(AND($F12="Qualified",$G12&lt;&gt;"Qualified"),"สถานะ/ผลคัดกรองไม่ตรง; ","")&amp;IF(AND($F12="Unqualified",$G12&lt;&gt;"Unqualified"),"สถานะ/ผลคัดกรองไม่ตรง; ","")&amp;IF(AND($F12="Contacting",$S12=""),"ขาดเวลาพยายามติดต่อ; ","")&amp;IF(AND($O12="Contactable",$T12=""),"ขาดเวลาติดต่อสำเร็จ; ","")&amp;IF(AND($F12="Quotation Sent",$AV12=""),"ยังไม่มีใบราคาที่ตรวจผ่าน; ","")&amp;IF(AND($F12="Won",$AY12=0),"Won ยังไม่มี PO ที่ตรวจผ่าน; ","")&amp;IF(AND($AY12&gt;0,$F12&lt;&gt;"Won"),"มี PO แล้ว—ตรวจสถานะ; ","")&amp;IF(AND($F12="Lost",OR($W12="",$X12="")),"Lost ขาดวัน/เหตุผล; ","")&amp;IF(AND($AA12="Real",NOT(OR($F12="Won",$F12="Lost",$F12="Unqualified")),OR($H12="",$I12="")),"ขาดนัด/งานถัดไป; ","")&amp;IF(OR($AC12="",$AD12=""),"ขาดเวลา/ผู้บันทึก; ","")&amp;IF(AND(ISNUMBER($S12),ISNUMBER($AF12),$S12&lt;$AF12),"ตรวจเวลา attempt ก่อนรับ Lead; ","")))</x:f>
      </x:c>
      <x:c r="BA12" s="42" t="str">
        <x:f>IF($A12="","",IF(AND($AE12&lt;&gt;"",$AA12="Real",$AT12="production",COUNTIF('Leads'!$AE$8:$AE$107,$AE12)=1,COUNTIF('Leads'!$A$8:$A$107,$A12)=1,COUNTIF('Guide_Lists'!$AR$2:$AR$4,$A12)=0),1,0))</x:f>
      </x:c>
    </x:row>
    <x:row r="13" ht="30" customHeight="1">
      <x:c r="A13" s="94"/>
      <x:c r="B13" s="32"/>
      <x:c r="C13" s="32"/>
      <x:c r="D13" s="32"/>
      <x:c r="E13" s="92"/>
      <x:c r="F13" s="36"/>
      <x:c r="G13" s="36"/>
      <x:c r="H13" s="82"/>
      <x:c r="I13" s="36"/>
      <x:c r="J13" s="42" t="str">
        <x:f>IF($A13="","",IF(OR($AA13="Test",$AA13="Spam",$AA13="Duplicate",COUNTIF('Guide_Lists'!$AR$2:$AR$4,$A13)&gt;0),"ไม่นับผลธุรกิจ",IF($AA13&lt;&gt;"Real","ระบุประเภทข้อมูล",IF(OR($F13="Won",$F13="Lost",$F13="Unqualified"),"ปิดงานขาย",IF($H13="","ยังไม่นัด",IF(NOT(ISNUMBER($H13)),"ตรวจวันนัด",IF(INT($H13)&lt;'Guide_Lists'!$B$4,"เกินกำหนด",IF(INT($H13)='Guide_Lists'!$B$4,"ติดตามวันนี้","รอนัด"))))))))</x:f>
      </x:c>
      <x:c r="K13" s="32"/>
      <x:c r="L13" s="94"/>
      <x:c r="M13" s="94"/>
      <x:c r="N13" s="94"/>
      <x:c r="O13" s="36"/>
      <x:c r="P13" s="36"/>
      <x:c r="Q13" s="36"/>
      <x:c r="R13" s="36"/>
      <x:c r="S13" s="82"/>
      <x:c r="T13" s="82"/>
      <x:c r="U13" s="82"/>
      <x:c r="V13" s="82"/>
      <x:c r="W13" s="82"/>
      <x:c r="X13" s="36"/>
      <x:c r="Y13" s="36"/>
      <x:c r="Z13" s="36"/>
      <x:c r="AA13" s="36"/>
      <x:c r="AB13" s="96"/>
      <x:c r="AC13" s="82"/>
      <x:c r="AD13" s="36"/>
      <x:c r="AE13" s="94"/>
      <x:c r="AF13" s="86"/>
      <x:c r="AG13" s="32"/>
      <x:c r="AH13" s="32"/>
      <x:c r="AI13" s="32"/>
      <x:c r="AJ13" s="88"/>
      <x:c r="AK13" s="32"/>
      <x:c r="AL13" s="32"/>
      <x:c r="AM13" s="32"/>
      <x:c r="AN13" s="32"/>
      <x:c r="AO13" s="32"/>
      <x:c r="AP13" s="32"/>
      <x:c r="AQ13" s="94"/>
      <x:c r="AR13" s="32"/>
      <x:c r="AS13" s="32"/>
      <x:c r="AT13" s="32"/>
      <x:c r="AU13" s="86"/>
      <x:c r="AV13" s="90" t="str">
        <x:f>IF($A13="","",IF(COUNTIFS('Quotations'!$L$8:$L$107,$AE13,'Quotations'!$O$8:$O$107,1)=0,"",MINIFS('Quotations'!$E$8:$E$107,'Quotations'!$L$8:$L$107,$AE13,'Quotations'!$O$8:$O$107,1)))</x:f>
      </x:c>
      <x:c r="AW13" s="90" t="str">
        <x:f>IF($A13="","",IF(COUNTIFS('Orders_PO'!$N$8:$N$107,$AE13,'Orders_PO'!$Q$8:$Q$107,1)=0,"",MINIFS('Orders_PO'!$E$8:$E$107,'Orders_PO'!$N$8:$N$107,$AE13,'Orders_PO'!$Q$8:$Q$107,1)))</x:f>
      </x:c>
      <x:c r="AX13" s="42" t="str">
        <x:f>IF($A13="","",COUNTIFS('Quotations'!$L$8:$L$107,$AE13,'Quotations'!$O$8:$O$107,1,'Quotations'!$I$8:$I$107,"Yes"))</x:f>
      </x:c>
      <x:c r="AY13" s="42" t="str">
        <x:f>IF($A13="","",COUNTIFS('Orders_PO'!$N$8:$N$107,$AE13,'Orders_PO'!$Q$8:$Q$107,1))</x:f>
      </x:c>
      <x:c r="AZ13" s="42" t="str">
        <x:f>IF($A13="","",IF((IF($AE13="","ขาด Lead ID; ","")&amp;IF(AND($AE13&lt;&gt;"",COUNTIF('Leads'!$AE$8:$AE$107,$AE13)&gt;1),"Lead ID ซ้ำ; ","")&amp;IF(COUNTIF('Leads'!$A$8:$A$107,$A13)&gt;1,"Reference ซ้ำ; ","")&amp;IF(COUNTIF('Guide_Lists'!$AR$2:$AR$4,$A13)&gt;0,"Known TEST — ห้ามนับผล; ","")&amp;IF(OR($B13="",$D13=""),"ขาดชื่อ/งาน; ","")&amp;IF(AND($L13="",$M13="",$N13=""),"ขาดช่องทางติดต่อ; ","")&amp;IF(OR($Z13="",$AA13="",$F13="",$G13="",$AT13=""),"ขาดผู้ดูแล/ประเภท/สถานะ/Environment; ","")&amp;IF(NOT(ISNUMBER($AF13)),"ขาดเวลารับ Lead; ","")&amp;IF(AND($AA13="Duplicate",$AB13=""),"ขาด duplicate_of; ","")&amp;IF(AND($G13="Qualified",OR($R13="",$U13="")),"Qualified ขาดเหตุผล/วันที่; ","")&amp;IF(AND($G13="Unqualified",$R13=""),"Unqualified ขาดเหตุผล; ","")&amp;IF(AND($F13="Qualified",$G13&lt;&gt;"Qualified"),"สถานะ/ผลคัดกรองไม่ตรง; ","")&amp;IF(AND($F13="Unqualified",$G13&lt;&gt;"Unqualified"),"สถานะ/ผลคัดกรองไม่ตรง; ","")&amp;IF(AND($F13="Contacting",$S13=""),"ขาดเวลาพยายามติดต่อ; ","")&amp;IF(AND($O13="Contactable",$T13=""),"ขาดเวลาติดต่อสำเร็จ; ","")&amp;IF(AND($F13="Quotation Sent",$AV13=""),"ยังไม่มีใบราคาที่ตรวจผ่าน; ","")&amp;IF(AND($F13="Won",$AY13=0),"Won ยังไม่มี PO ที่ตรวจผ่าน; ","")&amp;IF(AND($AY13&gt;0,$F13&lt;&gt;"Won"),"มี PO แล้ว—ตรวจสถานะ; ","")&amp;IF(AND($F13="Lost",OR($W13="",$X13="")),"Lost ขาดวัน/เหตุผล; ","")&amp;IF(AND($AA13="Real",NOT(OR($F13="Won",$F13="Lost",$F13="Unqualified")),OR($H13="",$I13="")),"ขาดนัด/งานถัดไป; ","")&amp;IF(OR($AC13="",$AD13=""),"ขาดเวลา/ผู้บันทึก; ","")&amp;IF(AND(ISNUMBER($S13),ISNUMBER($AF13),$S13&lt;$AF13),"ตรวจเวลา attempt ก่อนรับ Lead; ",""))="","ครบ",IF($AE13="","ขาด Lead ID; ","")&amp;IF(AND($AE13&lt;&gt;"",COUNTIF('Leads'!$AE$8:$AE$107,$AE13)&gt;1),"Lead ID ซ้ำ; ","")&amp;IF(COUNTIF('Leads'!$A$8:$A$107,$A13)&gt;1,"Reference ซ้ำ; ","")&amp;IF(COUNTIF('Guide_Lists'!$AR$2:$AR$4,$A13)&gt;0,"Known TEST — ห้ามนับผล; ","")&amp;IF(OR($B13="",$D13=""),"ขาดชื่อ/งาน; ","")&amp;IF(AND($L13="",$M13="",$N13=""),"ขาดช่องทางติดต่อ; ","")&amp;IF(OR($Z13="",$AA13="",$F13="",$G13="",$AT13=""),"ขาดผู้ดูแล/ประเภท/สถานะ/Environment; ","")&amp;IF(NOT(ISNUMBER($AF13)),"ขาดเวลารับ Lead; ","")&amp;IF(AND($AA13="Duplicate",$AB13=""),"ขาด duplicate_of; ","")&amp;IF(AND($G13="Qualified",OR($R13="",$U13="")),"Qualified ขาดเหตุผล/วันที่; ","")&amp;IF(AND($G13="Unqualified",$R13=""),"Unqualified ขาดเหตุผล; ","")&amp;IF(AND($F13="Qualified",$G13&lt;&gt;"Qualified"),"สถานะ/ผลคัดกรองไม่ตรง; ","")&amp;IF(AND($F13="Unqualified",$G13&lt;&gt;"Unqualified"),"สถานะ/ผลคัดกรองไม่ตรง; ","")&amp;IF(AND($F13="Contacting",$S13=""),"ขาดเวลาพยายามติดต่อ; ","")&amp;IF(AND($O13="Contactable",$T13=""),"ขาดเวลาติดต่อสำเร็จ; ","")&amp;IF(AND($F13="Quotation Sent",$AV13=""),"ยังไม่มีใบราคาที่ตรวจผ่าน; ","")&amp;IF(AND($F13="Won",$AY13=0),"Won ยังไม่มี PO ที่ตรวจผ่าน; ","")&amp;IF(AND($AY13&gt;0,$F13&lt;&gt;"Won"),"มี PO แล้ว—ตรวจสถานะ; ","")&amp;IF(AND($F13="Lost",OR($W13="",$X13="")),"Lost ขาดวัน/เหตุผล; ","")&amp;IF(AND($AA13="Real",NOT(OR($F13="Won",$F13="Lost",$F13="Unqualified")),OR($H13="",$I13="")),"ขาดนัด/งานถัดไป; ","")&amp;IF(OR($AC13="",$AD13=""),"ขาดเวลา/ผู้บันทึก; ","")&amp;IF(AND(ISNUMBER($S13),ISNUMBER($AF13),$S13&lt;$AF13),"ตรวจเวลา attempt ก่อนรับ Lead; ","")))</x:f>
      </x:c>
      <x:c r="BA13" s="42" t="str">
        <x:f>IF($A13="","",IF(AND($AE13&lt;&gt;"",$AA13="Real",$AT13="production",COUNTIF('Leads'!$AE$8:$AE$107,$AE13)=1,COUNTIF('Leads'!$A$8:$A$107,$A13)=1,COUNTIF('Guide_Lists'!$AR$2:$AR$4,$A13)=0),1,0))</x:f>
      </x:c>
    </x:row>
    <x:row r="14" ht="30" customHeight="1">
      <x:c r="A14" s="94"/>
      <x:c r="B14" s="32"/>
      <x:c r="C14" s="32"/>
      <x:c r="D14" s="32"/>
      <x:c r="E14" s="92"/>
      <x:c r="F14" s="36"/>
      <x:c r="G14" s="36"/>
      <x:c r="H14" s="82"/>
      <x:c r="I14" s="36"/>
      <x:c r="J14" s="42" t="str">
        <x:f>IF($A14="","",IF(OR($AA14="Test",$AA14="Spam",$AA14="Duplicate",COUNTIF('Guide_Lists'!$AR$2:$AR$4,$A14)&gt;0),"ไม่นับผลธุรกิจ",IF($AA14&lt;&gt;"Real","ระบุประเภทข้อมูล",IF(OR($F14="Won",$F14="Lost",$F14="Unqualified"),"ปิดงานขาย",IF($H14="","ยังไม่นัด",IF(NOT(ISNUMBER($H14)),"ตรวจวันนัด",IF(INT($H14)&lt;'Guide_Lists'!$B$4,"เกินกำหนด",IF(INT($H14)='Guide_Lists'!$B$4,"ติดตามวันนี้","รอนัด"))))))))</x:f>
      </x:c>
      <x:c r="K14" s="32"/>
      <x:c r="L14" s="94"/>
      <x:c r="M14" s="94"/>
      <x:c r="N14" s="94"/>
      <x:c r="O14" s="36"/>
      <x:c r="P14" s="36"/>
      <x:c r="Q14" s="36"/>
      <x:c r="R14" s="36"/>
      <x:c r="S14" s="82"/>
      <x:c r="T14" s="82"/>
      <x:c r="U14" s="82"/>
      <x:c r="V14" s="82"/>
      <x:c r="W14" s="82"/>
      <x:c r="X14" s="36"/>
      <x:c r="Y14" s="36"/>
      <x:c r="Z14" s="36"/>
      <x:c r="AA14" s="36"/>
      <x:c r="AB14" s="96"/>
      <x:c r="AC14" s="82"/>
      <x:c r="AD14" s="36"/>
      <x:c r="AE14" s="94"/>
      <x:c r="AF14" s="86"/>
      <x:c r="AG14" s="32"/>
      <x:c r="AH14" s="32"/>
      <x:c r="AI14" s="32"/>
      <x:c r="AJ14" s="88"/>
      <x:c r="AK14" s="32"/>
      <x:c r="AL14" s="32"/>
      <x:c r="AM14" s="32"/>
      <x:c r="AN14" s="32"/>
      <x:c r="AO14" s="32"/>
      <x:c r="AP14" s="32"/>
      <x:c r="AQ14" s="94"/>
      <x:c r="AR14" s="32"/>
      <x:c r="AS14" s="32"/>
      <x:c r="AT14" s="32"/>
      <x:c r="AU14" s="86"/>
      <x:c r="AV14" s="90" t="str">
        <x:f>IF($A14="","",IF(COUNTIFS('Quotations'!$L$8:$L$107,$AE14,'Quotations'!$O$8:$O$107,1)=0,"",MINIFS('Quotations'!$E$8:$E$107,'Quotations'!$L$8:$L$107,$AE14,'Quotations'!$O$8:$O$107,1)))</x:f>
      </x:c>
      <x:c r="AW14" s="90" t="str">
        <x:f>IF($A14="","",IF(COUNTIFS('Orders_PO'!$N$8:$N$107,$AE14,'Orders_PO'!$Q$8:$Q$107,1)=0,"",MINIFS('Orders_PO'!$E$8:$E$107,'Orders_PO'!$N$8:$N$107,$AE14,'Orders_PO'!$Q$8:$Q$107,1)))</x:f>
      </x:c>
      <x:c r="AX14" s="42" t="str">
        <x:f>IF($A14="","",COUNTIFS('Quotations'!$L$8:$L$107,$AE14,'Quotations'!$O$8:$O$107,1,'Quotations'!$I$8:$I$107,"Yes"))</x:f>
      </x:c>
      <x:c r="AY14" s="42" t="str">
        <x:f>IF($A14="","",COUNTIFS('Orders_PO'!$N$8:$N$107,$AE14,'Orders_PO'!$Q$8:$Q$107,1))</x:f>
      </x:c>
      <x:c r="AZ14" s="42" t="str">
        <x:f>IF($A14="","",IF((IF($AE14="","ขาด Lead ID; ","")&amp;IF(AND($AE14&lt;&gt;"",COUNTIF('Leads'!$AE$8:$AE$107,$AE14)&gt;1),"Lead ID ซ้ำ; ","")&amp;IF(COUNTIF('Leads'!$A$8:$A$107,$A14)&gt;1,"Reference ซ้ำ; ","")&amp;IF(COUNTIF('Guide_Lists'!$AR$2:$AR$4,$A14)&gt;0,"Known TEST — ห้ามนับผล; ","")&amp;IF(OR($B14="",$D14=""),"ขาดชื่อ/งาน; ","")&amp;IF(AND($L14="",$M14="",$N14=""),"ขาดช่องทางติดต่อ; ","")&amp;IF(OR($Z14="",$AA14="",$F14="",$G14="",$AT14=""),"ขาดผู้ดูแล/ประเภท/สถานะ/Environment; ","")&amp;IF(NOT(ISNUMBER($AF14)),"ขาดเวลารับ Lead; ","")&amp;IF(AND($AA14="Duplicate",$AB14=""),"ขาด duplicate_of; ","")&amp;IF(AND($G14="Qualified",OR($R14="",$U14="")),"Qualified ขาดเหตุผล/วันที่; ","")&amp;IF(AND($G14="Unqualified",$R14=""),"Unqualified ขาดเหตุผล; ","")&amp;IF(AND($F14="Qualified",$G14&lt;&gt;"Qualified"),"สถานะ/ผลคัดกรองไม่ตรง; ","")&amp;IF(AND($F14="Unqualified",$G14&lt;&gt;"Unqualified"),"สถานะ/ผลคัดกรองไม่ตรง; ","")&amp;IF(AND($F14="Contacting",$S14=""),"ขาดเวลาพยายามติดต่อ; ","")&amp;IF(AND($O14="Contactable",$T14=""),"ขาดเวลาติดต่อสำเร็จ; ","")&amp;IF(AND($F14="Quotation Sent",$AV14=""),"ยังไม่มีใบราคาที่ตรวจผ่าน; ","")&amp;IF(AND($F14="Won",$AY14=0),"Won ยังไม่มี PO ที่ตรวจผ่าน; ","")&amp;IF(AND($AY14&gt;0,$F14&lt;&gt;"Won"),"มี PO แล้ว—ตรวจสถานะ; ","")&amp;IF(AND($F14="Lost",OR($W14="",$X14="")),"Lost ขาดวัน/เหตุผล; ","")&amp;IF(AND($AA14="Real",NOT(OR($F14="Won",$F14="Lost",$F14="Unqualified")),OR($H14="",$I14="")),"ขาดนัด/งานถัดไป; ","")&amp;IF(OR($AC14="",$AD14=""),"ขาดเวลา/ผู้บันทึก; ","")&amp;IF(AND(ISNUMBER($S14),ISNUMBER($AF14),$S14&lt;$AF14),"ตรวจเวลา attempt ก่อนรับ Lead; ",""))="","ครบ",IF($AE14="","ขาด Lead ID; ","")&amp;IF(AND($AE14&lt;&gt;"",COUNTIF('Leads'!$AE$8:$AE$107,$AE14)&gt;1),"Lead ID ซ้ำ; ","")&amp;IF(COUNTIF('Leads'!$A$8:$A$107,$A14)&gt;1,"Reference ซ้ำ; ","")&amp;IF(COUNTIF('Guide_Lists'!$AR$2:$AR$4,$A14)&gt;0,"Known TEST — ห้ามนับผล; ","")&amp;IF(OR($B14="",$D14=""),"ขาดชื่อ/งาน; ","")&amp;IF(AND($L14="",$M14="",$N14=""),"ขาดช่องทางติดต่อ; ","")&amp;IF(OR($Z14="",$AA14="",$F14="",$G14="",$AT14=""),"ขาดผู้ดูแล/ประเภท/สถานะ/Environment; ","")&amp;IF(NOT(ISNUMBER($AF14)),"ขาดเวลารับ Lead; ","")&amp;IF(AND($AA14="Duplicate",$AB14=""),"ขาด duplicate_of; ","")&amp;IF(AND($G14="Qualified",OR($R14="",$U14="")),"Qualified ขาดเหตุผล/วันที่; ","")&amp;IF(AND($G14="Unqualified",$R14=""),"Unqualified ขาดเหตุผล; ","")&amp;IF(AND($F14="Qualified",$G14&lt;&gt;"Qualified"),"สถานะ/ผลคัดกรองไม่ตรง; ","")&amp;IF(AND($F14="Unqualified",$G14&lt;&gt;"Unqualified"),"สถานะ/ผลคัดกรองไม่ตรง; ","")&amp;IF(AND($F14="Contacting",$S14=""),"ขาดเวลาพยายามติดต่อ; ","")&amp;IF(AND($O14="Contactable",$T14=""),"ขาดเวลาติดต่อสำเร็จ; ","")&amp;IF(AND($F14="Quotation Sent",$AV14=""),"ยังไม่มีใบราคาที่ตรวจผ่าน; ","")&amp;IF(AND($F14="Won",$AY14=0),"Won ยังไม่มี PO ที่ตรวจผ่าน; ","")&amp;IF(AND($AY14&gt;0,$F14&lt;&gt;"Won"),"มี PO แล้ว—ตรวจสถานะ; ","")&amp;IF(AND($F14="Lost",OR($W14="",$X14="")),"Lost ขาดวัน/เหตุผล; ","")&amp;IF(AND($AA14="Real",NOT(OR($F14="Won",$F14="Lost",$F14="Unqualified")),OR($H14="",$I14="")),"ขาดนัด/งานถัดไป; ","")&amp;IF(OR($AC14="",$AD14=""),"ขาดเวลา/ผู้บันทึก; ","")&amp;IF(AND(ISNUMBER($S14),ISNUMBER($AF14),$S14&lt;$AF14),"ตรวจเวลา attempt ก่อนรับ Lead; ","")))</x:f>
      </x:c>
      <x:c r="BA14" s="42" t="str">
        <x:f>IF($A14="","",IF(AND($AE14&lt;&gt;"",$AA14="Real",$AT14="production",COUNTIF('Leads'!$AE$8:$AE$107,$AE14)=1,COUNTIF('Leads'!$A$8:$A$107,$A14)=1,COUNTIF('Guide_Lists'!$AR$2:$AR$4,$A14)=0),1,0))</x:f>
      </x:c>
    </x:row>
    <x:row r="15" ht="30" customHeight="1">
      <x:c r="A15" s="94"/>
      <x:c r="B15" s="32"/>
      <x:c r="C15" s="32"/>
      <x:c r="D15" s="32"/>
      <x:c r="E15" s="92"/>
      <x:c r="F15" s="36"/>
      <x:c r="G15" s="36"/>
      <x:c r="H15" s="82"/>
      <x:c r="I15" s="36"/>
      <x:c r="J15" s="42" t="str">
        <x:f>IF($A15="","",IF(OR($AA15="Test",$AA15="Spam",$AA15="Duplicate",COUNTIF('Guide_Lists'!$AR$2:$AR$4,$A15)&gt;0),"ไม่นับผลธุรกิจ",IF($AA15&lt;&gt;"Real","ระบุประเภทข้อมูล",IF(OR($F15="Won",$F15="Lost",$F15="Unqualified"),"ปิดงานขาย",IF($H15="","ยังไม่นัด",IF(NOT(ISNUMBER($H15)),"ตรวจวันนัด",IF(INT($H15)&lt;'Guide_Lists'!$B$4,"เกินกำหนด",IF(INT($H15)='Guide_Lists'!$B$4,"ติดตามวันนี้","รอนัด"))))))))</x:f>
      </x:c>
      <x:c r="K15" s="32"/>
      <x:c r="L15" s="94"/>
      <x:c r="M15" s="94"/>
      <x:c r="N15" s="94"/>
      <x:c r="O15" s="36"/>
      <x:c r="P15" s="36"/>
      <x:c r="Q15" s="36"/>
      <x:c r="R15" s="36"/>
      <x:c r="S15" s="82"/>
      <x:c r="T15" s="82"/>
      <x:c r="U15" s="82"/>
      <x:c r="V15" s="82"/>
      <x:c r="W15" s="82"/>
      <x:c r="X15" s="36"/>
      <x:c r="Y15" s="36"/>
      <x:c r="Z15" s="36"/>
      <x:c r="AA15" s="36"/>
      <x:c r="AB15" s="96"/>
      <x:c r="AC15" s="82"/>
      <x:c r="AD15" s="36"/>
      <x:c r="AE15" s="94"/>
      <x:c r="AF15" s="86"/>
      <x:c r="AG15" s="32"/>
      <x:c r="AH15" s="32"/>
      <x:c r="AI15" s="32"/>
      <x:c r="AJ15" s="88"/>
      <x:c r="AK15" s="32"/>
      <x:c r="AL15" s="32"/>
      <x:c r="AM15" s="32"/>
      <x:c r="AN15" s="32"/>
      <x:c r="AO15" s="32"/>
      <x:c r="AP15" s="32"/>
      <x:c r="AQ15" s="94"/>
      <x:c r="AR15" s="32"/>
      <x:c r="AS15" s="32"/>
      <x:c r="AT15" s="32"/>
      <x:c r="AU15" s="86"/>
      <x:c r="AV15" s="90" t="str">
        <x:f>IF($A15="","",IF(COUNTIFS('Quotations'!$L$8:$L$107,$AE15,'Quotations'!$O$8:$O$107,1)=0,"",MINIFS('Quotations'!$E$8:$E$107,'Quotations'!$L$8:$L$107,$AE15,'Quotations'!$O$8:$O$107,1)))</x:f>
      </x:c>
      <x:c r="AW15" s="90" t="str">
        <x:f>IF($A15="","",IF(COUNTIFS('Orders_PO'!$N$8:$N$107,$AE15,'Orders_PO'!$Q$8:$Q$107,1)=0,"",MINIFS('Orders_PO'!$E$8:$E$107,'Orders_PO'!$N$8:$N$107,$AE15,'Orders_PO'!$Q$8:$Q$107,1)))</x:f>
      </x:c>
      <x:c r="AX15" s="42" t="str">
        <x:f>IF($A15="","",COUNTIFS('Quotations'!$L$8:$L$107,$AE15,'Quotations'!$O$8:$O$107,1,'Quotations'!$I$8:$I$107,"Yes"))</x:f>
      </x:c>
      <x:c r="AY15" s="42" t="str">
        <x:f>IF($A15="","",COUNTIFS('Orders_PO'!$N$8:$N$107,$AE15,'Orders_PO'!$Q$8:$Q$107,1))</x:f>
      </x:c>
      <x:c r="AZ15" s="42" t="str">
        <x:f>IF($A15="","",IF((IF($AE15="","ขาด Lead ID; ","")&amp;IF(AND($AE15&lt;&gt;"",COUNTIF('Leads'!$AE$8:$AE$107,$AE15)&gt;1),"Lead ID ซ้ำ; ","")&amp;IF(COUNTIF('Leads'!$A$8:$A$107,$A15)&gt;1,"Reference ซ้ำ; ","")&amp;IF(COUNTIF('Guide_Lists'!$AR$2:$AR$4,$A15)&gt;0,"Known TEST — ห้ามนับผล; ","")&amp;IF(OR($B15="",$D15=""),"ขาดชื่อ/งาน; ","")&amp;IF(AND($L15="",$M15="",$N15=""),"ขาดช่องทางติดต่อ; ","")&amp;IF(OR($Z15="",$AA15="",$F15="",$G15="",$AT15=""),"ขาดผู้ดูแล/ประเภท/สถานะ/Environment; ","")&amp;IF(NOT(ISNUMBER($AF15)),"ขาดเวลารับ Lead; ","")&amp;IF(AND($AA15="Duplicate",$AB15=""),"ขาด duplicate_of; ","")&amp;IF(AND($G15="Qualified",OR($R15="",$U15="")),"Qualified ขาดเหตุผล/วันที่; ","")&amp;IF(AND($G15="Unqualified",$R15=""),"Unqualified ขาดเหตุผล; ","")&amp;IF(AND($F15="Qualified",$G15&lt;&gt;"Qualified"),"สถานะ/ผลคัดกรองไม่ตรง; ","")&amp;IF(AND($F15="Unqualified",$G15&lt;&gt;"Unqualified"),"สถานะ/ผลคัดกรองไม่ตรง; ","")&amp;IF(AND($F15="Contacting",$S15=""),"ขาดเวลาพยายามติดต่อ; ","")&amp;IF(AND($O15="Contactable",$T15=""),"ขาดเวลาติดต่อสำเร็จ; ","")&amp;IF(AND($F15="Quotation Sent",$AV15=""),"ยังไม่มีใบราคาที่ตรวจผ่าน; ","")&amp;IF(AND($F15="Won",$AY15=0),"Won ยังไม่มี PO ที่ตรวจผ่าน; ","")&amp;IF(AND($AY15&gt;0,$F15&lt;&gt;"Won"),"มี PO แล้ว—ตรวจสถานะ; ","")&amp;IF(AND($F15="Lost",OR($W15="",$X15="")),"Lost ขาดวัน/เหตุผล; ","")&amp;IF(AND($AA15="Real",NOT(OR($F15="Won",$F15="Lost",$F15="Unqualified")),OR($H15="",$I15="")),"ขาดนัด/งานถัดไป; ","")&amp;IF(OR($AC15="",$AD15=""),"ขาดเวลา/ผู้บันทึก; ","")&amp;IF(AND(ISNUMBER($S15),ISNUMBER($AF15),$S15&lt;$AF15),"ตรวจเวลา attempt ก่อนรับ Lead; ",""))="","ครบ",IF($AE15="","ขาด Lead ID; ","")&amp;IF(AND($AE15&lt;&gt;"",COUNTIF('Leads'!$AE$8:$AE$107,$AE15)&gt;1),"Lead ID ซ้ำ; ","")&amp;IF(COUNTIF('Leads'!$A$8:$A$107,$A15)&gt;1,"Reference ซ้ำ; ","")&amp;IF(COUNTIF('Guide_Lists'!$AR$2:$AR$4,$A15)&gt;0,"Known TEST — ห้ามนับผล; ","")&amp;IF(OR($B15="",$D15=""),"ขาดชื่อ/งาน; ","")&amp;IF(AND($L15="",$M15="",$N15=""),"ขาดช่องทางติดต่อ; ","")&amp;IF(OR($Z15="",$AA15="",$F15="",$G15="",$AT15=""),"ขาดผู้ดูแล/ประเภท/สถานะ/Environment; ","")&amp;IF(NOT(ISNUMBER($AF15)),"ขาดเวลารับ Lead; ","")&amp;IF(AND($AA15="Duplicate",$AB15=""),"ขาด duplicate_of; ","")&amp;IF(AND($G15="Qualified",OR($R15="",$U15="")),"Qualified ขาดเหตุผล/วันที่; ","")&amp;IF(AND($G15="Unqualified",$R15=""),"Unqualified ขาดเหตุผล; ","")&amp;IF(AND($F15="Qualified",$G15&lt;&gt;"Qualified"),"สถานะ/ผลคัดกรองไม่ตรง; ","")&amp;IF(AND($F15="Unqualified",$G15&lt;&gt;"Unqualified"),"สถานะ/ผลคัดกรองไม่ตรง; ","")&amp;IF(AND($F15="Contacting",$S15=""),"ขาดเวลาพยายามติดต่อ; ","")&amp;IF(AND($O15="Contactable",$T15=""),"ขาดเวลาติดต่อสำเร็จ; ","")&amp;IF(AND($F15="Quotation Sent",$AV15=""),"ยังไม่มีใบราคาที่ตรวจผ่าน; ","")&amp;IF(AND($F15="Won",$AY15=0),"Won ยังไม่มี PO ที่ตรวจผ่าน; ","")&amp;IF(AND($AY15&gt;0,$F15&lt;&gt;"Won"),"มี PO แล้ว—ตรวจสถานะ; ","")&amp;IF(AND($F15="Lost",OR($W15="",$X15="")),"Lost ขาดวัน/เหตุผล; ","")&amp;IF(AND($AA15="Real",NOT(OR($F15="Won",$F15="Lost",$F15="Unqualified")),OR($H15="",$I15="")),"ขาดนัด/งานถัดไป; ","")&amp;IF(OR($AC15="",$AD15=""),"ขาดเวลา/ผู้บันทึก; ","")&amp;IF(AND(ISNUMBER($S15),ISNUMBER($AF15),$S15&lt;$AF15),"ตรวจเวลา attempt ก่อนรับ Lead; ","")))</x:f>
      </x:c>
      <x:c r="BA15" s="42" t="str">
        <x:f>IF($A15="","",IF(AND($AE15&lt;&gt;"",$AA15="Real",$AT15="production",COUNTIF('Leads'!$AE$8:$AE$107,$AE15)=1,COUNTIF('Leads'!$A$8:$A$107,$A15)=1,COUNTIF('Guide_Lists'!$AR$2:$AR$4,$A15)=0),1,0))</x:f>
      </x:c>
    </x:row>
    <x:row r="16" ht="30" customHeight="1">
      <x:c r="A16" s="94"/>
      <x:c r="B16" s="32"/>
      <x:c r="C16" s="32"/>
      <x:c r="D16" s="32"/>
      <x:c r="E16" s="92"/>
      <x:c r="F16" s="36"/>
      <x:c r="G16" s="36"/>
      <x:c r="H16" s="82"/>
      <x:c r="I16" s="36"/>
      <x:c r="J16" s="42" t="str">
        <x:f>IF($A16="","",IF(OR($AA16="Test",$AA16="Spam",$AA16="Duplicate",COUNTIF('Guide_Lists'!$AR$2:$AR$4,$A16)&gt;0),"ไม่นับผลธุรกิจ",IF($AA16&lt;&gt;"Real","ระบุประเภทข้อมูล",IF(OR($F16="Won",$F16="Lost",$F16="Unqualified"),"ปิดงานขาย",IF($H16="","ยังไม่นัด",IF(NOT(ISNUMBER($H16)),"ตรวจวันนัด",IF(INT($H16)&lt;'Guide_Lists'!$B$4,"เกินกำหนด",IF(INT($H16)='Guide_Lists'!$B$4,"ติดตามวันนี้","รอนัด"))))))))</x:f>
      </x:c>
      <x:c r="K16" s="32"/>
      <x:c r="L16" s="94"/>
      <x:c r="M16" s="94"/>
      <x:c r="N16" s="94"/>
      <x:c r="O16" s="36"/>
      <x:c r="P16" s="36"/>
      <x:c r="Q16" s="36"/>
      <x:c r="R16" s="36"/>
      <x:c r="S16" s="82"/>
      <x:c r="T16" s="82"/>
      <x:c r="U16" s="82"/>
      <x:c r="V16" s="82"/>
      <x:c r="W16" s="82"/>
      <x:c r="X16" s="36"/>
      <x:c r="Y16" s="36"/>
      <x:c r="Z16" s="36"/>
      <x:c r="AA16" s="36"/>
      <x:c r="AB16" s="96"/>
      <x:c r="AC16" s="82"/>
      <x:c r="AD16" s="36"/>
      <x:c r="AE16" s="94"/>
      <x:c r="AF16" s="86"/>
      <x:c r="AG16" s="32"/>
      <x:c r="AH16" s="32"/>
      <x:c r="AI16" s="32"/>
      <x:c r="AJ16" s="88"/>
      <x:c r="AK16" s="32"/>
      <x:c r="AL16" s="32"/>
      <x:c r="AM16" s="32"/>
      <x:c r="AN16" s="32"/>
      <x:c r="AO16" s="32"/>
      <x:c r="AP16" s="32"/>
      <x:c r="AQ16" s="94"/>
      <x:c r="AR16" s="32"/>
      <x:c r="AS16" s="32"/>
      <x:c r="AT16" s="32"/>
      <x:c r="AU16" s="86"/>
      <x:c r="AV16" s="90" t="str">
        <x:f>IF($A16="","",IF(COUNTIFS('Quotations'!$L$8:$L$107,$AE16,'Quotations'!$O$8:$O$107,1)=0,"",MINIFS('Quotations'!$E$8:$E$107,'Quotations'!$L$8:$L$107,$AE16,'Quotations'!$O$8:$O$107,1)))</x:f>
      </x:c>
      <x:c r="AW16" s="90" t="str">
        <x:f>IF($A16="","",IF(COUNTIFS('Orders_PO'!$N$8:$N$107,$AE16,'Orders_PO'!$Q$8:$Q$107,1)=0,"",MINIFS('Orders_PO'!$E$8:$E$107,'Orders_PO'!$N$8:$N$107,$AE16,'Orders_PO'!$Q$8:$Q$107,1)))</x:f>
      </x:c>
      <x:c r="AX16" s="42" t="str">
        <x:f>IF($A16="","",COUNTIFS('Quotations'!$L$8:$L$107,$AE16,'Quotations'!$O$8:$O$107,1,'Quotations'!$I$8:$I$107,"Yes"))</x:f>
      </x:c>
      <x:c r="AY16" s="42" t="str">
        <x:f>IF($A16="","",COUNTIFS('Orders_PO'!$N$8:$N$107,$AE16,'Orders_PO'!$Q$8:$Q$107,1))</x:f>
      </x:c>
      <x:c r="AZ16" s="42" t="str">
        <x:f>IF($A16="","",IF((IF($AE16="","ขาด Lead ID; ","")&amp;IF(AND($AE16&lt;&gt;"",COUNTIF('Leads'!$AE$8:$AE$107,$AE16)&gt;1),"Lead ID ซ้ำ; ","")&amp;IF(COUNTIF('Leads'!$A$8:$A$107,$A16)&gt;1,"Reference ซ้ำ; ","")&amp;IF(COUNTIF('Guide_Lists'!$AR$2:$AR$4,$A16)&gt;0,"Known TEST — ห้ามนับผล; ","")&amp;IF(OR($B16="",$D16=""),"ขาดชื่อ/งาน; ","")&amp;IF(AND($L16="",$M16="",$N16=""),"ขาดช่องทางติดต่อ; ","")&amp;IF(OR($Z16="",$AA16="",$F16="",$G16="",$AT16=""),"ขาดผู้ดูแล/ประเภท/สถานะ/Environment; ","")&amp;IF(NOT(ISNUMBER($AF16)),"ขาดเวลารับ Lead; ","")&amp;IF(AND($AA16="Duplicate",$AB16=""),"ขาด duplicate_of; ","")&amp;IF(AND($G16="Qualified",OR($R16="",$U16="")),"Qualified ขาดเหตุผล/วันที่; ","")&amp;IF(AND($G16="Unqualified",$R16=""),"Unqualified ขาดเหตุผล; ","")&amp;IF(AND($F16="Qualified",$G16&lt;&gt;"Qualified"),"สถานะ/ผลคัดกรองไม่ตรง; ","")&amp;IF(AND($F16="Unqualified",$G16&lt;&gt;"Unqualified"),"สถานะ/ผลคัดกรองไม่ตรง; ","")&amp;IF(AND($F16="Contacting",$S16=""),"ขาดเวลาพยายามติดต่อ; ","")&amp;IF(AND($O16="Contactable",$T16=""),"ขาดเวลาติดต่อสำเร็จ; ","")&amp;IF(AND($F16="Quotation Sent",$AV16=""),"ยังไม่มีใบราคาที่ตรวจผ่าน; ","")&amp;IF(AND($F16="Won",$AY16=0),"Won ยังไม่มี PO ที่ตรวจผ่าน; ","")&amp;IF(AND($AY16&gt;0,$F16&lt;&gt;"Won"),"มี PO แล้ว—ตรวจสถานะ; ","")&amp;IF(AND($F16="Lost",OR($W16="",$X16="")),"Lost ขาดวัน/เหตุผล; ","")&amp;IF(AND($AA16="Real",NOT(OR($F16="Won",$F16="Lost",$F16="Unqualified")),OR($H16="",$I16="")),"ขาดนัด/งานถัดไป; ","")&amp;IF(OR($AC16="",$AD16=""),"ขาดเวลา/ผู้บันทึก; ","")&amp;IF(AND(ISNUMBER($S16),ISNUMBER($AF16),$S16&lt;$AF16),"ตรวจเวลา attempt ก่อนรับ Lead; ",""))="","ครบ",IF($AE16="","ขาด Lead ID; ","")&amp;IF(AND($AE16&lt;&gt;"",COUNTIF('Leads'!$AE$8:$AE$107,$AE16)&gt;1),"Lead ID ซ้ำ; ","")&amp;IF(COUNTIF('Leads'!$A$8:$A$107,$A16)&gt;1,"Reference ซ้ำ; ","")&amp;IF(COUNTIF('Guide_Lists'!$AR$2:$AR$4,$A16)&gt;0,"Known TEST — ห้ามนับผล; ","")&amp;IF(OR($B16="",$D16=""),"ขาดชื่อ/งาน; ","")&amp;IF(AND($L16="",$M16="",$N16=""),"ขาดช่องทางติดต่อ; ","")&amp;IF(OR($Z16="",$AA16="",$F16="",$G16="",$AT16=""),"ขาดผู้ดูแล/ประเภท/สถานะ/Environment; ","")&amp;IF(NOT(ISNUMBER($AF16)),"ขาดเวลารับ Lead; ","")&amp;IF(AND($AA16="Duplicate",$AB16=""),"ขาด duplicate_of; ","")&amp;IF(AND($G16="Qualified",OR($R16="",$U16="")),"Qualified ขาดเหตุผล/วันที่; ","")&amp;IF(AND($G16="Unqualified",$R16=""),"Unqualified ขาดเหตุผล; ","")&amp;IF(AND($F16="Qualified",$G16&lt;&gt;"Qualified"),"สถานะ/ผลคัดกรองไม่ตรง; ","")&amp;IF(AND($F16="Unqualified",$G16&lt;&gt;"Unqualified"),"สถานะ/ผลคัดกรองไม่ตรง; ","")&amp;IF(AND($F16="Contacting",$S16=""),"ขาดเวลาพยายามติดต่อ; ","")&amp;IF(AND($O16="Contactable",$T16=""),"ขาดเวลาติดต่อสำเร็จ; ","")&amp;IF(AND($F16="Quotation Sent",$AV16=""),"ยังไม่มีใบราคาที่ตรวจผ่าน; ","")&amp;IF(AND($F16="Won",$AY16=0),"Won ยังไม่มี PO ที่ตรวจผ่าน; ","")&amp;IF(AND($AY16&gt;0,$F16&lt;&gt;"Won"),"มี PO แล้ว—ตรวจสถานะ; ","")&amp;IF(AND($F16="Lost",OR($W16="",$X16="")),"Lost ขาดวัน/เหตุผล; ","")&amp;IF(AND($AA16="Real",NOT(OR($F16="Won",$F16="Lost",$F16="Unqualified")),OR($H16="",$I16="")),"ขาดนัด/งานถัดไป; ","")&amp;IF(OR($AC16="",$AD16=""),"ขาดเวลา/ผู้บันทึก; ","")&amp;IF(AND(ISNUMBER($S16),ISNUMBER($AF16),$S16&lt;$AF16),"ตรวจเวลา attempt ก่อนรับ Lead; ","")))</x:f>
      </x:c>
      <x:c r="BA16" s="42" t="str">
        <x:f>IF($A16="","",IF(AND($AE16&lt;&gt;"",$AA16="Real",$AT16="production",COUNTIF('Leads'!$AE$8:$AE$107,$AE16)=1,COUNTIF('Leads'!$A$8:$A$107,$A16)=1,COUNTIF('Guide_Lists'!$AR$2:$AR$4,$A16)=0),1,0))</x:f>
      </x:c>
    </x:row>
    <x:row r="17" ht="30" customHeight="1">
      <x:c r="A17" s="94"/>
      <x:c r="B17" s="32"/>
      <x:c r="C17" s="32"/>
      <x:c r="D17" s="32"/>
      <x:c r="E17" s="92"/>
      <x:c r="F17" s="36"/>
      <x:c r="G17" s="36"/>
      <x:c r="H17" s="82"/>
      <x:c r="I17" s="36"/>
      <x:c r="J17" s="42" t="str">
        <x:f>IF($A17="","",IF(OR($AA17="Test",$AA17="Spam",$AA17="Duplicate",COUNTIF('Guide_Lists'!$AR$2:$AR$4,$A17)&gt;0),"ไม่นับผลธุรกิจ",IF($AA17&lt;&gt;"Real","ระบุประเภทข้อมูล",IF(OR($F17="Won",$F17="Lost",$F17="Unqualified"),"ปิดงานขาย",IF($H17="","ยังไม่นัด",IF(NOT(ISNUMBER($H17)),"ตรวจวันนัด",IF(INT($H17)&lt;'Guide_Lists'!$B$4,"เกินกำหนด",IF(INT($H17)='Guide_Lists'!$B$4,"ติดตามวันนี้","รอนัด"))))))))</x:f>
      </x:c>
      <x:c r="K17" s="32"/>
      <x:c r="L17" s="94"/>
      <x:c r="M17" s="94"/>
      <x:c r="N17" s="94"/>
      <x:c r="O17" s="36"/>
      <x:c r="P17" s="36"/>
      <x:c r="Q17" s="36"/>
      <x:c r="R17" s="36"/>
      <x:c r="S17" s="82"/>
      <x:c r="T17" s="82"/>
      <x:c r="U17" s="82"/>
      <x:c r="V17" s="82"/>
      <x:c r="W17" s="82"/>
      <x:c r="X17" s="36"/>
      <x:c r="Y17" s="36"/>
      <x:c r="Z17" s="36"/>
      <x:c r="AA17" s="36"/>
      <x:c r="AB17" s="96"/>
      <x:c r="AC17" s="82"/>
      <x:c r="AD17" s="36"/>
      <x:c r="AE17" s="94"/>
      <x:c r="AF17" s="86"/>
      <x:c r="AG17" s="32"/>
      <x:c r="AH17" s="32"/>
      <x:c r="AI17" s="32"/>
      <x:c r="AJ17" s="88"/>
      <x:c r="AK17" s="32"/>
      <x:c r="AL17" s="32"/>
      <x:c r="AM17" s="32"/>
      <x:c r="AN17" s="32"/>
      <x:c r="AO17" s="32"/>
      <x:c r="AP17" s="32"/>
      <x:c r="AQ17" s="94"/>
      <x:c r="AR17" s="32"/>
      <x:c r="AS17" s="32"/>
      <x:c r="AT17" s="32"/>
      <x:c r="AU17" s="86"/>
      <x:c r="AV17" s="90" t="str">
        <x:f>IF($A17="","",IF(COUNTIFS('Quotations'!$L$8:$L$107,$AE17,'Quotations'!$O$8:$O$107,1)=0,"",MINIFS('Quotations'!$E$8:$E$107,'Quotations'!$L$8:$L$107,$AE17,'Quotations'!$O$8:$O$107,1)))</x:f>
      </x:c>
      <x:c r="AW17" s="90" t="str">
        <x:f>IF($A17="","",IF(COUNTIFS('Orders_PO'!$N$8:$N$107,$AE17,'Orders_PO'!$Q$8:$Q$107,1)=0,"",MINIFS('Orders_PO'!$E$8:$E$107,'Orders_PO'!$N$8:$N$107,$AE17,'Orders_PO'!$Q$8:$Q$107,1)))</x:f>
      </x:c>
      <x:c r="AX17" s="42" t="str">
        <x:f>IF($A17="","",COUNTIFS('Quotations'!$L$8:$L$107,$AE17,'Quotations'!$O$8:$O$107,1,'Quotations'!$I$8:$I$107,"Yes"))</x:f>
      </x:c>
      <x:c r="AY17" s="42" t="str">
        <x:f>IF($A17="","",COUNTIFS('Orders_PO'!$N$8:$N$107,$AE17,'Orders_PO'!$Q$8:$Q$107,1))</x:f>
      </x:c>
      <x:c r="AZ17" s="42" t="str">
        <x:f>IF($A17="","",IF((IF($AE17="","ขาด Lead ID; ","")&amp;IF(AND($AE17&lt;&gt;"",COUNTIF('Leads'!$AE$8:$AE$107,$AE17)&gt;1),"Lead ID ซ้ำ; ","")&amp;IF(COUNTIF('Leads'!$A$8:$A$107,$A17)&gt;1,"Reference ซ้ำ; ","")&amp;IF(COUNTIF('Guide_Lists'!$AR$2:$AR$4,$A17)&gt;0,"Known TEST — ห้ามนับผล; ","")&amp;IF(OR($B17="",$D17=""),"ขาดชื่อ/งาน; ","")&amp;IF(AND($L17="",$M17="",$N17=""),"ขาดช่องทางติดต่อ; ","")&amp;IF(OR($Z17="",$AA17="",$F17="",$G17="",$AT17=""),"ขาดผู้ดูแล/ประเภท/สถานะ/Environment; ","")&amp;IF(NOT(ISNUMBER($AF17)),"ขาดเวลารับ Lead; ","")&amp;IF(AND($AA17="Duplicate",$AB17=""),"ขาด duplicate_of; ","")&amp;IF(AND($G17="Qualified",OR($R17="",$U17="")),"Qualified ขาดเหตุผล/วันที่; ","")&amp;IF(AND($G17="Unqualified",$R17=""),"Unqualified ขาดเหตุผล; ","")&amp;IF(AND($F17="Qualified",$G17&lt;&gt;"Qualified"),"สถานะ/ผลคัดกรองไม่ตรง; ","")&amp;IF(AND($F17="Unqualified",$G17&lt;&gt;"Unqualified"),"สถานะ/ผลคัดกรองไม่ตรง; ","")&amp;IF(AND($F17="Contacting",$S17=""),"ขาดเวลาพยายามติดต่อ; ","")&amp;IF(AND($O17="Contactable",$T17=""),"ขาดเวลาติดต่อสำเร็จ; ","")&amp;IF(AND($F17="Quotation Sent",$AV17=""),"ยังไม่มีใบราคาที่ตรวจผ่าน; ","")&amp;IF(AND($F17="Won",$AY17=0),"Won ยังไม่มี PO ที่ตรวจผ่าน; ","")&amp;IF(AND($AY17&gt;0,$F17&lt;&gt;"Won"),"มี PO แล้ว—ตรวจสถานะ; ","")&amp;IF(AND($F17="Lost",OR($W17="",$X17="")),"Lost ขาดวัน/เหตุผล; ","")&amp;IF(AND($AA17="Real",NOT(OR($F17="Won",$F17="Lost",$F17="Unqualified")),OR($H17="",$I17="")),"ขาดนัด/งานถัดไป; ","")&amp;IF(OR($AC17="",$AD17=""),"ขาดเวลา/ผู้บันทึก; ","")&amp;IF(AND(ISNUMBER($S17),ISNUMBER($AF17),$S17&lt;$AF17),"ตรวจเวลา attempt ก่อนรับ Lead; ",""))="","ครบ",IF($AE17="","ขาด Lead ID; ","")&amp;IF(AND($AE17&lt;&gt;"",COUNTIF('Leads'!$AE$8:$AE$107,$AE17)&gt;1),"Lead ID ซ้ำ; ","")&amp;IF(COUNTIF('Leads'!$A$8:$A$107,$A17)&gt;1,"Reference ซ้ำ; ","")&amp;IF(COUNTIF('Guide_Lists'!$AR$2:$AR$4,$A17)&gt;0,"Known TEST — ห้ามนับผล; ","")&amp;IF(OR($B17="",$D17=""),"ขาดชื่อ/งาน; ","")&amp;IF(AND($L17="",$M17="",$N17=""),"ขาดช่องทางติดต่อ; ","")&amp;IF(OR($Z17="",$AA17="",$F17="",$G17="",$AT17=""),"ขาดผู้ดูแล/ประเภท/สถานะ/Environment; ","")&amp;IF(NOT(ISNUMBER($AF17)),"ขาดเวลารับ Lead; ","")&amp;IF(AND($AA17="Duplicate",$AB17=""),"ขาด duplicate_of; ","")&amp;IF(AND($G17="Qualified",OR($R17="",$U17="")),"Qualified ขาดเหตุผล/วันที่; ","")&amp;IF(AND($G17="Unqualified",$R17=""),"Unqualified ขาดเหตุผล; ","")&amp;IF(AND($F17="Qualified",$G17&lt;&gt;"Qualified"),"สถานะ/ผลคัดกรองไม่ตรง; ","")&amp;IF(AND($F17="Unqualified",$G17&lt;&gt;"Unqualified"),"สถานะ/ผลคัดกรองไม่ตรง; ","")&amp;IF(AND($F17="Contacting",$S17=""),"ขาดเวลาพยายามติดต่อ; ","")&amp;IF(AND($O17="Contactable",$T17=""),"ขาดเวลาติดต่อสำเร็จ; ","")&amp;IF(AND($F17="Quotation Sent",$AV17=""),"ยังไม่มีใบราคาที่ตรวจผ่าน; ","")&amp;IF(AND($F17="Won",$AY17=0),"Won ยังไม่มี PO ที่ตรวจผ่าน; ","")&amp;IF(AND($AY17&gt;0,$F17&lt;&gt;"Won"),"มี PO แล้ว—ตรวจสถานะ; ","")&amp;IF(AND($F17="Lost",OR($W17="",$X17="")),"Lost ขาดวัน/เหตุผล; ","")&amp;IF(AND($AA17="Real",NOT(OR($F17="Won",$F17="Lost",$F17="Unqualified")),OR($H17="",$I17="")),"ขาดนัด/งานถัดไป; ","")&amp;IF(OR($AC17="",$AD17=""),"ขาดเวลา/ผู้บันทึก; ","")&amp;IF(AND(ISNUMBER($S17),ISNUMBER($AF17),$S17&lt;$AF17),"ตรวจเวลา attempt ก่อนรับ Lead; ","")))</x:f>
      </x:c>
      <x:c r="BA17" s="42" t="str">
        <x:f>IF($A17="","",IF(AND($AE17&lt;&gt;"",$AA17="Real",$AT17="production",COUNTIF('Leads'!$AE$8:$AE$107,$AE17)=1,COUNTIF('Leads'!$A$8:$A$107,$A17)=1,COUNTIF('Guide_Lists'!$AR$2:$AR$4,$A17)=0),1,0))</x:f>
      </x:c>
    </x:row>
    <x:row r="18" ht="30" customHeight="1">
      <x:c r="A18" s="94"/>
      <x:c r="B18" s="32"/>
      <x:c r="C18" s="32"/>
      <x:c r="D18" s="32"/>
      <x:c r="E18" s="92"/>
      <x:c r="F18" s="36"/>
      <x:c r="G18" s="36"/>
      <x:c r="H18" s="82"/>
      <x:c r="I18" s="36"/>
      <x:c r="J18" s="42" t="str">
        <x:f>IF($A18="","",IF(OR($AA18="Test",$AA18="Spam",$AA18="Duplicate",COUNTIF('Guide_Lists'!$AR$2:$AR$4,$A18)&gt;0),"ไม่นับผลธุรกิจ",IF($AA18&lt;&gt;"Real","ระบุประเภทข้อมูล",IF(OR($F18="Won",$F18="Lost",$F18="Unqualified"),"ปิดงานขาย",IF($H18="","ยังไม่นัด",IF(NOT(ISNUMBER($H18)),"ตรวจวันนัด",IF(INT($H18)&lt;'Guide_Lists'!$B$4,"เกินกำหนด",IF(INT($H18)='Guide_Lists'!$B$4,"ติดตามวันนี้","รอนัด"))))))))</x:f>
      </x:c>
      <x:c r="K18" s="32"/>
      <x:c r="L18" s="94"/>
      <x:c r="M18" s="94"/>
      <x:c r="N18" s="94"/>
      <x:c r="O18" s="36"/>
      <x:c r="P18" s="36"/>
      <x:c r="Q18" s="36"/>
      <x:c r="R18" s="36"/>
      <x:c r="S18" s="82"/>
      <x:c r="T18" s="82"/>
      <x:c r="U18" s="82"/>
      <x:c r="V18" s="82"/>
      <x:c r="W18" s="82"/>
      <x:c r="X18" s="36"/>
      <x:c r="Y18" s="36"/>
      <x:c r="Z18" s="36"/>
      <x:c r="AA18" s="36"/>
      <x:c r="AB18" s="96"/>
      <x:c r="AC18" s="82"/>
      <x:c r="AD18" s="36"/>
      <x:c r="AE18" s="94"/>
      <x:c r="AF18" s="86"/>
      <x:c r="AG18" s="32"/>
      <x:c r="AH18" s="32"/>
      <x:c r="AI18" s="32"/>
      <x:c r="AJ18" s="88"/>
      <x:c r="AK18" s="32"/>
      <x:c r="AL18" s="32"/>
      <x:c r="AM18" s="32"/>
      <x:c r="AN18" s="32"/>
      <x:c r="AO18" s="32"/>
      <x:c r="AP18" s="32"/>
      <x:c r="AQ18" s="94"/>
      <x:c r="AR18" s="32"/>
      <x:c r="AS18" s="32"/>
      <x:c r="AT18" s="32"/>
      <x:c r="AU18" s="86"/>
      <x:c r="AV18" s="90" t="str">
        <x:f>IF($A18="","",IF(COUNTIFS('Quotations'!$L$8:$L$107,$AE18,'Quotations'!$O$8:$O$107,1)=0,"",MINIFS('Quotations'!$E$8:$E$107,'Quotations'!$L$8:$L$107,$AE18,'Quotations'!$O$8:$O$107,1)))</x:f>
      </x:c>
      <x:c r="AW18" s="90" t="str">
        <x:f>IF($A18="","",IF(COUNTIFS('Orders_PO'!$N$8:$N$107,$AE18,'Orders_PO'!$Q$8:$Q$107,1)=0,"",MINIFS('Orders_PO'!$E$8:$E$107,'Orders_PO'!$N$8:$N$107,$AE18,'Orders_PO'!$Q$8:$Q$107,1)))</x:f>
      </x:c>
      <x:c r="AX18" s="42" t="str">
        <x:f>IF($A18="","",COUNTIFS('Quotations'!$L$8:$L$107,$AE18,'Quotations'!$O$8:$O$107,1,'Quotations'!$I$8:$I$107,"Yes"))</x:f>
      </x:c>
      <x:c r="AY18" s="42" t="str">
        <x:f>IF($A18="","",COUNTIFS('Orders_PO'!$N$8:$N$107,$AE18,'Orders_PO'!$Q$8:$Q$107,1))</x:f>
      </x:c>
      <x:c r="AZ18" s="42" t="str">
        <x:f>IF($A18="","",IF((IF($AE18="","ขาด Lead ID; ","")&amp;IF(AND($AE18&lt;&gt;"",COUNTIF('Leads'!$AE$8:$AE$107,$AE18)&gt;1),"Lead ID ซ้ำ; ","")&amp;IF(COUNTIF('Leads'!$A$8:$A$107,$A18)&gt;1,"Reference ซ้ำ; ","")&amp;IF(COUNTIF('Guide_Lists'!$AR$2:$AR$4,$A18)&gt;0,"Known TEST — ห้ามนับผล; ","")&amp;IF(OR($B18="",$D18=""),"ขาดชื่อ/งาน; ","")&amp;IF(AND($L18="",$M18="",$N18=""),"ขาดช่องทางติดต่อ; ","")&amp;IF(OR($Z18="",$AA18="",$F18="",$G18="",$AT18=""),"ขาดผู้ดูแล/ประเภท/สถานะ/Environment; ","")&amp;IF(NOT(ISNUMBER($AF18)),"ขาดเวลารับ Lead; ","")&amp;IF(AND($AA18="Duplicate",$AB18=""),"ขาด duplicate_of; ","")&amp;IF(AND($G18="Qualified",OR($R18="",$U18="")),"Qualified ขาดเหตุผล/วันที่; ","")&amp;IF(AND($G18="Unqualified",$R18=""),"Unqualified ขาดเหตุผล; ","")&amp;IF(AND($F18="Qualified",$G18&lt;&gt;"Qualified"),"สถานะ/ผลคัดกรองไม่ตรง; ","")&amp;IF(AND($F18="Unqualified",$G18&lt;&gt;"Unqualified"),"สถานะ/ผลคัดกรองไม่ตรง; ","")&amp;IF(AND($F18="Contacting",$S18=""),"ขาดเวลาพยายามติดต่อ; ","")&amp;IF(AND($O18="Contactable",$T18=""),"ขาดเวลาติดต่อสำเร็จ; ","")&amp;IF(AND($F18="Quotation Sent",$AV18=""),"ยังไม่มีใบราคาที่ตรวจผ่าน; ","")&amp;IF(AND($F18="Won",$AY18=0),"Won ยังไม่มี PO ที่ตรวจผ่าน; ","")&amp;IF(AND($AY18&gt;0,$F18&lt;&gt;"Won"),"มี PO แล้ว—ตรวจสถานะ; ","")&amp;IF(AND($F18="Lost",OR($W18="",$X18="")),"Lost ขาดวัน/เหตุผล; ","")&amp;IF(AND($AA18="Real",NOT(OR($F18="Won",$F18="Lost",$F18="Unqualified")),OR($H18="",$I18="")),"ขาดนัด/งานถัดไป; ","")&amp;IF(OR($AC18="",$AD18=""),"ขาดเวลา/ผู้บันทึก; ","")&amp;IF(AND(ISNUMBER($S18),ISNUMBER($AF18),$S18&lt;$AF18),"ตรวจเวลา attempt ก่อนรับ Lead; ",""))="","ครบ",IF($AE18="","ขาด Lead ID; ","")&amp;IF(AND($AE18&lt;&gt;"",COUNTIF('Leads'!$AE$8:$AE$107,$AE18)&gt;1),"Lead ID ซ้ำ; ","")&amp;IF(COUNTIF('Leads'!$A$8:$A$107,$A18)&gt;1,"Reference ซ้ำ; ","")&amp;IF(COUNTIF('Guide_Lists'!$AR$2:$AR$4,$A18)&gt;0,"Known TEST — ห้ามนับผล; ","")&amp;IF(OR($B18="",$D18=""),"ขาดชื่อ/งาน; ","")&amp;IF(AND($L18="",$M18="",$N18=""),"ขาดช่องทางติดต่อ; ","")&amp;IF(OR($Z18="",$AA18="",$F18="",$G18="",$AT18=""),"ขาดผู้ดูแล/ประเภท/สถานะ/Environment; ","")&amp;IF(NOT(ISNUMBER($AF18)),"ขาดเวลารับ Lead; ","")&amp;IF(AND($AA18="Duplicate",$AB18=""),"ขาด duplicate_of; ","")&amp;IF(AND($G18="Qualified",OR($R18="",$U18="")),"Qualified ขาดเหตุผล/วันที่; ","")&amp;IF(AND($G18="Unqualified",$R18=""),"Unqualified ขาดเหตุผล; ","")&amp;IF(AND($F18="Qualified",$G18&lt;&gt;"Qualified"),"สถานะ/ผลคัดกรองไม่ตรง; ","")&amp;IF(AND($F18="Unqualified",$G18&lt;&gt;"Unqualified"),"สถานะ/ผลคัดกรองไม่ตรง; ","")&amp;IF(AND($F18="Contacting",$S18=""),"ขาดเวลาพยายามติดต่อ; ","")&amp;IF(AND($O18="Contactable",$T18=""),"ขาดเวลาติดต่อสำเร็จ; ","")&amp;IF(AND($F18="Quotation Sent",$AV18=""),"ยังไม่มีใบราคาที่ตรวจผ่าน; ","")&amp;IF(AND($F18="Won",$AY18=0),"Won ยังไม่มี PO ที่ตรวจผ่าน; ","")&amp;IF(AND($AY18&gt;0,$F18&lt;&gt;"Won"),"มี PO แล้ว—ตรวจสถานะ; ","")&amp;IF(AND($F18="Lost",OR($W18="",$X18="")),"Lost ขาดวัน/เหตุผล; ","")&amp;IF(AND($AA18="Real",NOT(OR($F18="Won",$F18="Lost",$F18="Unqualified")),OR($H18="",$I18="")),"ขาดนัด/งานถัดไป; ","")&amp;IF(OR($AC18="",$AD18=""),"ขาดเวลา/ผู้บันทึก; ","")&amp;IF(AND(ISNUMBER($S18),ISNUMBER($AF18),$S18&lt;$AF18),"ตรวจเวลา attempt ก่อนรับ Lead; ","")))</x:f>
      </x:c>
      <x:c r="BA18" s="42" t="str">
        <x:f>IF($A18="","",IF(AND($AE18&lt;&gt;"",$AA18="Real",$AT18="production",COUNTIF('Leads'!$AE$8:$AE$107,$AE18)=1,COUNTIF('Leads'!$A$8:$A$107,$A18)=1,COUNTIF('Guide_Lists'!$AR$2:$AR$4,$A18)=0),1,0))</x:f>
      </x:c>
    </x:row>
    <x:row r="19" ht="30" customHeight="1">
      <x:c r="A19" s="94"/>
      <x:c r="B19" s="32"/>
      <x:c r="C19" s="32"/>
      <x:c r="D19" s="32"/>
      <x:c r="E19" s="92"/>
      <x:c r="F19" s="36"/>
      <x:c r="G19" s="36"/>
      <x:c r="H19" s="82"/>
      <x:c r="I19" s="36"/>
      <x:c r="J19" s="42" t="str">
        <x:f>IF($A19="","",IF(OR($AA19="Test",$AA19="Spam",$AA19="Duplicate",COUNTIF('Guide_Lists'!$AR$2:$AR$4,$A19)&gt;0),"ไม่นับผลธุรกิจ",IF($AA19&lt;&gt;"Real","ระบุประเภทข้อมูล",IF(OR($F19="Won",$F19="Lost",$F19="Unqualified"),"ปิดงานขาย",IF($H19="","ยังไม่นัด",IF(NOT(ISNUMBER($H19)),"ตรวจวันนัด",IF(INT($H19)&lt;'Guide_Lists'!$B$4,"เกินกำหนด",IF(INT($H19)='Guide_Lists'!$B$4,"ติดตามวันนี้","รอนัด"))))))))</x:f>
      </x:c>
      <x:c r="K19" s="32"/>
      <x:c r="L19" s="94"/>
      <x:c r="M19" s="94"/>
      <x:c r="N19" s="94"/>
      <x:c r="O19" s="36"/>
      <x:c r="P19" s="36"/>
      <x:c r="Q19" s="36"/>
      <x:c r="R19" s="36"/>
      <x:c r="S19" s="82"/>
      <x:c r="T19" s="82"/>
      <x:c r="U19" s="82"/>
      <x:c r="V19" s="82"/>
      <x:c r="W19" s="82"/>
      <x:c r="X19" s="36"/>
      <x:c r="Y19" s="36"/>
      <x:c r="Z19" s="36"/>
      <x:c r="AA19" s="36"/>
      <x:c r="AB19" s="96"/>
      <x:c r="AC19" s="82"/>
      <x:c r="AD19" s="36"/>
      <x:c r="AE19" s="94"/>
      <x:c r="AF19" s="86"/>
      <x:c r="AG19" s="32"/>
      <x:c r="AH19" s="32"/>
      <x:c r="AI19" s="32"/>
      <x:c r="AJ19" s="88"/>
      <x:c r="AK19" s="32"/>
      <x:c r="AL19" s="32"/>
      <x:c r="AM19" s="32"/>
      <x:c r="AN19" s="32"/>
      <x:c r="AO19" s="32"/>
      <x:c r="AP19" s="32"/>
      <x:c r="AQ19" s="94"/>
      <x:c r="AR19" s="32"/>
      <x:c r="AS19" s="32"/>
      <x:c r="AT19" s="32"/>
      <x:c r="AU19" s="86"/>
      <x:c r="AV19" s="90" t="str">
        <x:f>IF($A19="","",IF(COUNTIFS('Quotations'!$L$8:$L$107,$AE19,'Quotations'!$O$8:$O$107,1)=0,"",MINIFS('Quotations'!$E$8:$E$107,'Quotations'!$L$8:$L$107,$AE19,'Quotations'!$O$8:$O$107,1)))</x:f>
      </x:c>
      <x:c r="AW19" s="90" t="str">
        <x:f>IF($A19="","",IF(COUNTIFS('Orders_PO'!$N$8:$N$107,$AE19,'Orders_PO'!$Q$8:$Q$107,1)=0,"",MINIFS('Orders_PO'!$E$8:$E$107,'Orders_PO'!$N$8:$N$107,$AE19,'Orders_PO'!$Q$8:$Q$107,1)))</x:f>
      </x:c>
      <x:c r="AX19" s="42" t="str">
        <x:f>IF($A19="","",COUNTIFS('Quotations'!$L$8:$L$107,$AE19,'Quotations'!$O$8:$O$107,1,'Quotations'!$I$8:$I$107,"Yes"))</x:f>
      </x:c>
      <x:c r="AY19" s="42" t="str">
        <x:f>IF($A19="","",COUNTIFS('Orders_PO'!$N$8:$N$107,$AE19,'Orders_PO'!$Q$8:$Q$107,1))</x:f>
      </x:c>
      <x:c r="AZ19" s="42" t="str">
        <x:f>IF($A19="","",IF((IF($AE19="","ขาด Lead ID; ","")&amp;IF(AND($AE19&lt;&gt;"",COUNTIF('Leads'!$AE$8:$AE$107,$AE19)&gt;1),"Lead ID ซ้ำ; ","")&amp;IF(COUNTIF('Leads'!$A$8:$A$107,$A19)&gt;1,"Reference ซ้ำ; ","")&amp;IF(COUNTIF('Guide_Lists'!$AR$2:$AR$4,$A19)&gt;0,"Known TEST — ห้ามนับผล; ","")&amp;IF(OR($B19="",$D19=""),"ขาดชื่อ/งาน; ","")&amp;IF(AND($L19="",$M19="",$N19=""),"ขาดช่องทางติดต่อ; ","")&amp;IF(OR($Z19="",$AA19="",$F19="",$G19="",$AT19=""),"ขาดผู้ดูแล/ประเภท/สถานะ/Environment; ","")&amp;IF(NOT(ISNUMBER($AF19)),"ขาดเวลารับ Lead; ","")&amp;IF(AND($AA19="Duplicate",$AB19=""),"ขาด duplicate_of; ","")&amp;IF(AND($G19="Qualified",OR($R19="",$U19="")),"Qualified ขาดเหตุผล/วันที่; ","")&amp;IF(AND($G19="Unqualified",$R19=""),"Unqualified ขาดเหตุผล; ","")&amp;IF(AND($F19="Qualified",$G19&lt;&gt;"Qualified"),"สถานะ/ผลคัดกรองไม่ตรง; ","")&amp;IF(AND($F19="Unqualified",$G19&lt;&gt;"Unqualified"),"สถานะ/ผลคัดกรองไม่ตรง; ","")&amp;IF(AND($F19="Contacting",$S19=""),"ขาดเวลาพยายามติดต่อ; ","")&amp;IF(AND($O19="Contactable",$T19=""),"ขาดเวลาติดต่อสำเร็จ; ","")&amp;IF(AND($F19="Quotation Sent",$AV19=""),"ยังไม่มีใบราคาที่ตรวจผ่าน; ","")&amp;IF(AND($F19="Won",$AY19=0),"Won ยังไม่มี PO ที่ตรวจผ่าน; ","")&amp;IF(AND($AY19&gt;0,$F19&lt;&gt;"Won"),"มี PO แล้ว—ตรวจสถานะ; ","")&amp;IF(AND($F19="Lost",OR($W19="",$X19="")),"Lost ขาดวัน/เหตุผล; ","")&amp;IF(AND($AA19="Real",NOT(OR($F19="Won",$F19="Lost",$F19="Unqualified")),OR($H19="",$I19="")),"ขาดนัด/งานถัดไป; ","")&amp;IF(OR($AC19="",$AD19=""),"ขาดเวลา/ผู้บันทึก; ","")&amp;IF(AND(ISNUMBER($S19),ISNUMBER($AF19),$S19&lt;$AF19),"ตรวจเวลา attempt ก่อนรับ Lead; ",""))="","ครบ",IF($AE19="","ขาด Lead ID; ","")&amp;IF(AND($AE19&lt;&gt;"",COUNTIF('Leads'!$AE$8:$AE$107,$AE19)&gt;1),"Lead ID ซ้ำ; ","")&amp;IF(COUNTIF('Leads'!$A$8:$A$107,$A19)&gt;1,"Reference ซ้ำ; ","")&amp;IF(COUNTIF('Guide_Lists'!$AR$2:$AR$4,$A19)&gt;0,"Known TEST — ห้ามนับผล; ","")&amp;IF(OR($B19="",$D19=""),"ขาดชื่อ/งาน; ","")&amp;IF(AND($L19="",$M19="",$N19=""),"ขาดช่องทางติดต่อ; ","")&amp;IF(OR($Z19="",$AA19="",$F19="",$G19="",$AT19=""),"ขาดผู้ดูแล/ประเภท/สถานะ/Environment; ","")&amp;IF(NOT(ISNUMBER($AF19)),"ขาดเวลารับ Lead; ","")&amp;IF(AND($AA19="Duplicate",$AB19=""),"ขาด duplicate_of; ","")&amp;IF(AND($G19="Qualified",OR($R19="",$U19="")),"Qualified ขาดเหตุผล/วันที่; ","")&amp;IF(AND($G19="Unqualified",$R19=""),"Unqualified ขาดเหตุผล; ","")&amp;IF(AND($F19="Qualified",$G19&lt;&gt;"Qualified"),"สถานะ/ผลคัดกรองไม่ตรง; ","")&amp;IF(AND($F19="Unqualified",$G19&lt;&gt;"Unqualified"),"สถานะ/ผลคัดกรองไม่ตรง; ","")&amp;IF(AND($F19="Contacting",$S19=""),"ขาดเวลาพยายามติดต่อ; ","")&amp;IF(AND($O19="Contactable",$T19=""),"ขาดเวลาติดต่อสำเร็จ; ","")&amp;IF(AND($F19="Quotation Sent",$AV19=""),"ยังไม่มีใบราคาที่ตรวจผ่าน; ","")&amp;IF(AND($F19="Won",$AY19=0),"Won ยังไม่มี PO ที่ตรวจผ่าน; ","")&amp;IF(AND($AY19&gt;0,$F19&lt;&gt;"Won"),"มี PO แล้ว—ตรวจสถานะ; ","")&amp;IF(AND($F19="Lost",OR($W19="",$X19="")),"Lost ขาดวัน/เหตุผล; ","")&amp;IF(AND($AA19="Real",NOT(OR($F19="Won",$F19="Lost",$F19="Unqualified")),OR($H19="",$I19="")),"ขาดนัด/งานถัดไป; ","")&amp;IF(OR($AC19="",$AD19=""),"ขาดเวลา/ผู้บันทึก; ","")&amp;IF(AND(ISNUMBER($S19),ISNUMBER($AF19),$S19&lt;$AF19),"ตรวจเวลา attempt ก่อนรับ Lead; ","")))</x:f>
      </x:c>
      <x:c r="BA19" s="42" t="str">
        <x:f>IF($A19="","",IF(AND($AE19&lt;&gt;"",$AA19="Real",$AT19="production",COUNTIF('Leads'!$AE$8:$AE$107,$AE19)=1,COUNTIF('Leads'!$A$8:$A$107,$A19)=1,COUNTIF('Guide_Lists'!$AR$2:$AR$4,$A19)=0),1,0))</x:f>
      </x:c>
    </x:row>
    <x:row r="20" ht="30" customHeight="1">
      <x:c r="A20" s="94"/>
      <x:c r="B20" s="32"/>
      <x:c r="C20" s="32"/>
      <x:c r="D20" s="32"/>
      <x:c r="E20" s="92"/>
      <x:c r="F20" s="36"/>
      <x:c r="G20" s="36"/>
      <x:c r="H20" s="82"/>
      <x:c r="I20" s="36"/>
      <x:c r="J20" s="42" t="str">
        <x:f>IF($A20="","",IF(OR($AA20="Test",$AA20="Spam",$AA20="Duplicate",COUNTIF('Guide_Lists'!$AR$2:$AR$4,$A20)&gt;0),"ไม่นับผลธุรกิจ",IF($AA20&lt;&gt;"Real","ระบุประเภทข้อมูล",IF(OR($F20="Won",$F20="Lost",$F20="Unqualified"),"ปิดงานขาย",IF($H20="","ยังไม่นัด",IF(NOT(ISNUMBER($H20)),"ตรวจวันนัด",IF(INT($H20)&lt;'Guide_Lists'!$B$4,"เกินกำหนด",IF(INT($H20)='Guide_Lists'!$B$4,"ติดตามวันนี้","รอนัด"))))))))</x:f>
      </x:c>
      <x:c r="K20" s="32"/>
      <x:c r="L20" s="94"/>
      <x:c r="M20" s="94"/>
      <x:c r="N20" s="94"/>
      <x:c r="O20" s="36"/>
      <x:c r="P20" s="36"/>
      <x:c r="Q20" s="36"/>
      <x:c r="R20" s="36"/>
      <x:c r="S20" s="82"/>
      <x:c r="T20" s="82"/>
      <x:c r="U20" s="82"/>
      <x:c r="V20" s="82"/>
      <x:c r="W20" s="82"/>
      <x:c r="X20" s="36"/>
      <x:c r="Y20" s="36"/>
      <x:c r="Z20" s="36"/>
      <x:c r="AA20" s="36"/>
      <x:c r="AB20" s="96"/>
      <x:c r="AC20" s="82"/>
      <x:c r="AD20" s="36"/>
      <x:c r="AE20" s="94"/>
      <x:c r="AF20" s="86"/>
      <x:c r="AG20" s="32"/>
      <x:c r="AH20" s="32"/>
      <x:c r="AI20" s="32"/>
      <x:c r="AJ20" s="88"/>
      <x:c r="AK20" s="32"/>
      <x:c r="AL20" s="32"/>
      <x:c r="AM20" s="32"/>
      <x:c r="AN20" s="32"/>
      <x:c r="AO20" s="32"/>
      <x:c r="AP20" s="32"/>
      <x:c r="AQ20" s="94"/>
      <x:c r="AR20" s="32"/>
      <x:c r="AS20" s="32"/>
      <x:c r="AT20" s="32"/>
      <x:c r="AU20" s="86"/>
      <x:c r="AV20" s="90" t="str">
        <x:f>IF($A20="","",IF(COUNTIFS('Quotations'!$L$8:$L$107,$AE20,'Quotations'!$O$8:$O$107,1)=0,"",MINIFS('Quotations'!$E$8:$E$107,'Quotations'!$L$8:$L$107,$AE20,'Quotations'!$O$8:$O$107,1)))</x:f>
      </x:c>
      <x:c r="AW20" s="90" t="str">
        <x:f>IF($A20="","",IF(COUNTIFS('Orders_PO'!$N$8:$N$107,$AE20,'Orders_PO'!$Q$8:$Q$107,1)=0,"",MINIFS('Orders_PO'!$E$8:$E$107,'Orders_PO'!$N$8:$N$107,$AE20,'Orders_PO'!$Q$8:$Q$107,1)))</x:f>
      </x:c>
      <x:c r="AX20" s="42" t="str">
        <x:f>IF($A20="","",COUNTIFS('Quotations'!$L$8:$L$107,$AE20,'Quotations'!$O$8:$O$107,1,'Quotations'!$I$8:$I$107,"Yes"))</x:f>
      </x:c>
      <x:c r="AY20" s="42" t="str">
        <x:f>IF($A20="","",COUNTIFS('Orders_PO'!$N$8:$N$107,$AE20,'Orders_PO'!$Q$8:$Q$107,1))</x:f>
      </x:c>
      <x:c r="AZ20" s="42" t="str">
        <x:f>IF($A20="","",IF((IF($AE20="","ขาด Lead ID; ","")&amp;IF(AND($AE20&lt;&gt;"",COUNTIF('Leads'!$AE$8:$AE$107,$AE20)&gt;1),"Lead ID ซ้ำ; ","")&amp;IF(COUNTIF('Leads'!$A$8:$A$107,$A20)&gt;1,"Reference ซ้ำ; ","")&amp;IF(COUNTIF('Guide_Lists'!$AR$2:$AR$4,$A20)&gt;0,"Known TEST — ห้ามนับผล; ","")&amp;IF(OR($B20="",$D20=""),"ขาดชื่อ/งาน; ","")&amp;IF(AND($L20="",$M20="",$N20=""),"ขาดช่องทางติดต่อ; ","")&amp;IF(OR($Z20="",$AA20="",$F20="",$G20="",$AT20=""),"ขาดผู้ดูแล/ประเภท/สถานะ/Environment; ","")&amp;IF(NOT(ISNUMBER($AF20)),"ขาดเวลารับ Lead; ","")&amp;IF(AND($AA20="Duplicate",$AB20=""),"ขาด duplicate_of; ","")&amp;IF(AND($G20="Qualified",OR($R20="",$U20="")),"Qualified ขาดเหตุผล/วันที่; ","")&amp;IF(AND($G20="Unqualified",$R20=""),"Unqualified ขาดเหตุผล; ","")&amp;IF(AND($F20="Qualified",$G20&lt;&gt;"Qualified"),"สถานะ/ผลคัดกรองไม่ตรง; ","")&amp;IF(AND($F20="Unqualified",$G20&lt;&gt;"Unqualified"),"สถานะ/ผลคัดกรองไม่ตรง; ","")&amp;IF(AND($F20="Contacting",$S20=""),"ขาดเวลาพยายามติดต่อ; ","")&amp;IF(AND($O20="Contactable",$T20=""),"ขาดเวลาติดต่อสำเร็จ; ","")&amp;IF(AND($F20="Quotation Sent",$AV20=""),"ยังไม่มีใบราคาที่ตรวจผ่าน; ","")&amp;IF(AND($F20="Won",$AY20=0),"Won ยังไม่มี PO ที่ตรวจผ่าน; ","")&amp;IF(AND($AY20&gt;0,$F20&lt;&gt;"Won"),"มี PO แล้ว—ตรวจสถานะ; ","")&amp;IF(AND($F20="Lost",OR($W20="",$X20="")),"Lost ขาดวัน/เหตุผล; ","")&amp;IF(AND($AA20="Real",NOT(OR($F20="Won",$F20="Lost",$F20="Unqualified")),OR($H20="",$I20="")),"ขาดนัด/งานถัดไป; ","")&amp;IF(OR($AC20="",$AD20=""),"ขาดเวลา/ผู้บันทึก; ","")&amp;IF(AND(ISNUMBER($S20),ISNUMBER($AF20),$S20&lt;$AF20),"ตรวจเวลา attempt ก่อนรับ Lead; ",""))="","ครบ",IF($AE20="","ขาด Lead ID; ","")&amp;IF(AND($AE20&lt;&gt;"",COUNTIF('Leads'!$AE$8:$AE$107,$AE20)&gt;1),"Lead ID ซ้ำ; ","")&amp;IF(COUNTIF('Leads'!$A$8:$A$107,$A20)&gt;1,"Reference ซ้ำ; ","")&amp;IF(COUNTIF('Guide_Lists'!$AR$2:$AR$4,$A20)&gt;0,"Known TEST — ห้ามนับผล; ","")&amp;IF(OR($B20="",$D20=""),"ขาดชื่อ/งาน; ","")&amp;IF(AND($L20="",$M20="",$N20=""),"ขาดช่องทางติดต่อ; ","")&amp;IF(OR($Z20="",$AA20="",$F20="",$G20="",$AT20=""),"ขาดผู้ดูแล/ประเภท/สถานะ/Environment; ","")&amp;IF(NOT(ISNUMBER($AF20)),"ขาดเวลารับ Lead; ","")&amp;IF(AND($AA20="Duplicate",$AB20=""),"ขาด duplicate_of; ","")&amp;IF(AND($G20="Qualified",OR($R20="",$U20="")),"Qualified ขาดเหตุผล/วันที่; ","")&amp;IF(AND($G20="Unqualified",$R20=""),"Unqualified ขาดเหตุผล; ","")&amp;IF(AND($F20="Qualified",$G20&lt;&gt;"Qualified"),"สถานะ/ผลคัดกรองไม่ตรง; ","")&amp;IF(AND($F20="Unqualified",$G20&lt;&gt;"Unqualified"),"สถานะ/ผลคัดกรองไม่ตรง; ","")&amp;IF(AND($F20="Contacting",$S20=""),"ขาดเวลาพยายามติดต่อ; ","")&amp;IF(AND($O20="Contactable",$T20=""),"ขาดเวลาติดต่อสำเร็จ; ","")&amp;IF(AND($F20="Quotation Sent",$AV20=""),"ยังไม่มีใบราคาที่ตรวจผ่าน; ","")&amp;IF(AND($F20="Won",$AY20=0),"Won ยังไม่มี PO ที่ตรวจผ่าน; ","")&amp;IF(AND($AY20&gt;0,$F20&lt;&gt;"Won"),"มี PO แล้ว—ตรวจสถานะ; ","")&amp;IF(AND($F20="Lost",OR($W20="",$X20="")),"Lost ขาดวัน/เหตุผล; ","")&amp;IF(AND($AA20="Real",NOT(OR($F20="Won",$F20="Lost",$F20="Unqualified")),OR($H20="",$I20="")),"ขาดนัด/งานถัดไป; ","")&amp;IF(OR($AC20="",$AD20=""),"ขาดเวลา/ผู้บันทึก; ","")&amp;IF(AND(ISNUMBER($S20),ISNUMBER($AF20),$S20&lt;$AF20),"ตรวจเวลา attempt ก่อนรับ Lead; ","")))</x:f>
      </x:c>
      <x:c r="BA20" s="42" t="str">
        <x:f>IF($A20="","",IF(AND($AE20&lt;&gt;"",$AA20="Real",$AT20="production",COUNTIF('Leads'!$AE$8:$AE$107,$AE20)=1,COUNTIF('Leads'!$A$8:$A$107,$A20)=1,COUNTIF('Guide_Lists'!$AR$2:$AR$4,$A20)=0),1,0))</x:f>
      </x:c>
    </x:row>
    <x:row r="21" ht="30" customHeight="1">
      <x:c r="A21" s="94"/>
      <x:c r="B21" s="32"/>
      <x:c r="C21" s="32"/>
      <x:c r="D21" s="32"/>
      <x:c r="E21" s="92"/>
      <x:c r="F21" s="36"/>
      <x:c r="G21" s="36"/>
      <x:c r="H21" s="82"/>
      <x:c r="I21" s="36"/>
      <x:c r="J21" s="42" t="str">
        <x:f>IF($A21="","",IF(OR($AA21="Test",$AA21="Spam",$AA21="Duplicate",COUNTIF('Guide_Lists'!$AR$2:$AR$4,$A21)&gt;0),"ไม่นับผลธุรกิจ",IF($AA21&lt;&gt;"Real","ระบุประเภทข้อมูล",IF(OR($F21="Won",$F21="Lost",$F21="Unqualified"),"ปิดงานขาย",IF($H21="","ยังไม่นัด",IF(NOT(ISNUMBER($H21)),"ตรวจวันนัด",IF(INT($H21)&lt;'Guide_Lists'!$B$4,"เกินกำหนด",IF(INT($H21)='Guide_Lists'!$B$4,"ติดตามวันนี้","รอนัด"))))))))</x:f>
      </x:c>
      <x:c r="K21" s="32"/>
      <x:c r="L21" s="94"/>
      <x:c r="M21" s="94"/>
      <x:c r="N21" s="94"/>
      <x:c r="O21" s="36"/>
      <x:c r="P21" s="36"/>
      <x:c r="Q21" s="36"/>
      <x:c r="R21" s="36"/>
      <x:c r="S21" s="82"/>
      <x:c r="T21" s="82"/>
      <x:c r="U21" s="82"/>
      <x:c r="V21" s="82"/>
      <x:c r="W21" s="82"/>
      <x:c r="X21" s="36"/>
      <x:c r="Y21" s="36"/>
      <x:c r="Z21" s="36"/>
      <x:c r="AA21" s="36"/>
      <x:c r="AB21" s="96"/>
      <x:c r="AC21" s="82"/>
      <x:c r="AD21" s="36"/>
      <x:c r="AE21" s="94"/>
      <x:c r="AF21" s="86"/>
      <x:c r="AG21" s="32"/>
      <x:c r="AH21" s="32"/>
      <x:c r="AI21" s="32"/>
      <x:c r="AJ21" s="88"/>
      <x:c r="AK21" s="32"/>
      <x:c r="AL21" s="32"/>
      <x:c r="AM21" s="32"/>
      <x:c r="AN21" s="32"/>
      <x:c r="AO21" s="32"/>
      <x:c r="AP21" s="32"/>
      <x:c r="AQ21" s="94"/>
      <x:c r="AR21" s="32"/>
      <x:c r="AS21" s="32"/>
      <x:c r="AT21" s="32"/>
      <x:c r="AU21" s="86"/>
      <x:c r="AV21" s="90" t="str">
        <x:f>IF($A21="","",IF(COUNTIFS('Quotations'!$L$8:$L$107,$AE21,'Quotations'!$O$8:$O$107,1)=0,"",MINIFS('Quotations'!$E$8:$E$107,'Quotations'!$L$8:$L$107,$AE21,'Quotations'!$O$8:$O$107,1)))</x:f>
      </x:c>
      <x:c r="AW21" s="90" t="str">
        <x:f>IF($A21="","",IF(COUNTIFS('Orders_PO'!$N$8:$N$107,$AE21,'Orders_PO'!$Q$8:$Q$107,1)=0,"",MINIFS('Orders_PO'!$E$8:$E$107,'Orders_PO'!$N$8:$N$107,$AE21,'Orders_PO'!$Q$8:$Q$107,1)))</x:f>
      </x:c>
      <x:c r="AX21" s="42" t="str">
        <x:f>IF($A21="","",COUNTIFS('Quotations'!$L$8:$L$107,$AE21,'Quotations'!$O$8:$O$107,1,'Quotations'!$I$8:$I$107,"Yes"))</x:f>
      </x:c>
      <x:c r="AY21" s="42" t="str">
        <x:f>IF($A21="","",COUNTIFS('Orders_PO'!$N$8:$N$107,$AE21,'Orders_PO'!$Q$8:$Q$107,1))</x:f>
      </x:c>
      <x:c r="AZ21" s="42" t="str">
        <x:f>IF($A21="","",IF((IF($AE21="","ขาด Lead ID; ","")&amp;IF(AND($AE21&lt;&gt;"",COUNTIF('Leads'!$AE$8:$AE$107,$AE21)&gt;1),"Lead ID ซ้ำ; ","")&amp;IF(COUNTIF('Leads'!$A$8:$A$107,$A21)&gt;1,"Reference ซ้ำ; ","")&amp;IF(COUNTIF('Guide_Lists'!$AR$2:$AR$4,$A21)&gt;0,"Known TEST — ห้ามนับผล; ","")&amp;IF(OR($B21="",$D21=""),"ขาดชื่อ/งาน; ","")&amp;IF(AND($L21="",$M21="",$N21=""),"ขาดช่องทางติดต่อ; ","")&amp;IF(OR($Z21="",$AA21="",$F21="",$G21="",$AT21=""),"ขาดผู้ดูแล/ประเภท/สถานะ/Environment; ","")&amp;IF(NOT(ISNUMBER($AF21)),"ขาดเวลารับ Lead; ","")&amp;IF(AND($AA21="Duplicate",$AB21=""),"ขาด duplicate_of; ","")&amp;IF(AND($G21="Qualified",OR($R21="",$U21="")),"Qualified ขาดเหตุผล/วันที่; ","")&amp;IF(AND($G21="Unqualified",$R21=""),"Unqualified ขาดเหตุผล; ","")&amp;IF(AND($F21="Qualified",$G21&lt;&gt;"Qualified"),"สถานะ/ผลคัดกรองไม่ตรง; ","")&amp;IF(AND($F21="Unqualified",$G21&lt;&gt;"Unqualified"),"สถานะ/ผลคัดกรองไม่ตรง; ","")&amp;IF(AND($F21="Contacting",$S21=""),"ขาดเวลาพยายามติดต่อ; ","")&amp;IF(AND($O21="Contactable",$T21=""),"ขาดเวลาติดต่อสำเร็จ; ","")&amp;IF(AND($F21="Quotation Sent",$AV21=""),"ยังไม่มีใบราคาที่ตรวจผ่าน; ","")&amp;IF(AND($F21="Won",$AY21=0),"Won ยังไม่มี PO ที่ตรวจผ่าน; ","")&amp;IF(AND($AY21&gt;0,$F21&lt;&gt;"Won"),"มี PO แล้ว—ตรวจสถานะ; ","")&amp;IF(AND($F21="Lost",OR($W21="",$X21="")),"Lost ขาดวัน/เหตุผล; ","")&amp;IF(AND($AA21="Real",NOT(OR($F21="Won",$F21="Lost",$F21="Unqualified")),OR($H21="",$I21="")),"ขาดนัด/งานถัดไป; ","")&amp;IF(OR($AC21="",$AD21=""),"ขาดเวลา/ผู้บันทึก; ","")&amp;IF(AND(ISNUMBER($S21),ISNUMBER($AF21),$S21&lt;$AF21),"ตรวจเวลา attempt ก่อนรับ Lead; ",""))="","ครบ",IF($AE21="","ขาด Lead ID; ","")&amp;IF(AND($AE21&lt;&gt;"",COUNTIF('Leads'!$AE$8:$AE$107,$AE21)&gt;1),"Lead ID ซ้ำ; ","")&amp;IF(COUNTIF('Leads'!$A$8:$A$107,$A21)&gt;1,"Reference ซ้ำ; ","")&amp;IF(COUNTIF('Guide_Lists'!$AR$2:$AR$4,$A21)&gt;0,"Known TEST — ห้ามนับผล; ","")&amp;IF(OR($B21="",$D21=""),"ขาดชื่อ/งาน; ","")&amp;IF(AND($L21="",$M21="",$N21=""),"ขาดช่องทางติดต่อ; ","")&amp;IF(OR($Z21="",$AA21="",$F21="",$G21="",$AT21=""),"ขาดผู้ดูแล/ประเภท/สถานะ/Environment; ","")&amp;IF(NOT(ISNUMBER($AF21)),"ขาดเวลารับ Lead; ","")&amp;IF(AND($AA21="Duplicate",$AB21=""),"ขาด duplicate_of; ","")&amp;IF(AND($G21="Qualified",OR($R21="",$U21="")),"Qualified ขาดเหตุผล/วันที่; ","")&amp;IF(AND($G21="Unqualified",$R21=""),"Unqualified ขาดเหตุผล; ","")&amp;IF(AND($F21="Qualified",$G21&lt;&gt;"Qualified"),"สถานะ/ผลคัดกรองไม่ตรง; ","")&amp;IF(AND($F21="Unqualified",$G21&lt;&gt;"Unqualified"),"สถานะ/ผลคัดกรองไม่ตรง; ","")&amp;IF(AND($F21="Contacting",$S21=""),"ขาดเวลาพยายามติดต่อ; ","")&amp;IF(AND($O21="Contactable",$T21=""),"ขาดเวลาติดต่อสำเร็จ; ","")&amp;IF(AND($F21="Quotation Sent",$AV21=""),"ยังไม่มีใบราคาที่ตรวจผ่าน; ","")&amp;IF(AND($F21="Won",$AY21=0),"Won ยังไม่มี PO ที่ตรวจผ่าน; ","")&amp;IF(AND($AY21&gt;0,$F21&lt;&gt;"Won"),"มี PO แล้ว—ตรวจสถานะ; ","")&amp;IF(AND($F21="Lost",OR($W21="",$X21="")),"Lost ขาดวัน/เหตุผล; ","")&amp;IF(AND($AA21="Real",NOT(OR($F21="Won",$F21="Lost",$F21="Unqualified")),OR($H21="",$I21="")),"ขาดนัด/งานถัดไป; ","")&amp;IF(OR($AC21="",$AD21=""),"ขาดเวลา/ผู้บันทึก; ","")&amp;IF(AND(ISNUMBER($S21),ISNUMBER($AF21),$S21&lt;$AF21),"ตรวจเวลา attempt ก่อนรับ Lead; ","")))</x:f>
      </x:c>
      <x:c r="BA21" s="42" t="str">
        <x:f>IF($A21="","",IF(AND($AE21&lt;&gt;"",$AA21="Real",$AT21="production",COUNTIF('Leads'!$AE$8:$AE$107,$AE21)=1,COUNTIF('Leads'!$A$8:$A$107,$A21)=1,COUNTIF('Guide_Lists'!$AR$2:$AR$4,$A21)=0),1,0))</x:f>
      </x:c>
    </x:row>
    <x:row r="22" ht="30" customHeight="1">
      <x:c r="A22" s="94"/>
      <x:c r="B22" s="32"/>
      <x:c r="C22" s="32"/>
      <x:c r="D22" s="32"/>
      <x:c r="E22" s="92"/>
      <x:c r="F22" s="36"/>
      <x:c r="G22" s="36"/>
      <x:c r="H22" s="82"/>
      <x:c r="I22" s="36"/>
      <x:c r="J22" s="42" t="str">
        <x:f>IF($A22="","",IF(OR($AA22="Test",$AA22="Spam",$AA22="Duplicate",COUNTIF('Guide_Lists'!$AR$2:$AR$4,$A22)&gt;0),"ไม่นับผลธุรกิจ",IF($AA22&lt;&gt;"Real","ระบุประเภทข้อมูล",IF(OR($F22="Won",$F22="Lost",$F22="Unqualified"),"ปิดงานขาย",IF($H22="","ยังไม่นัด",IF(NOT(ISNUMBER($H22)),"ตรวจวันนัด",IF(INT($H22)&lt;'Guide_Lists'!$B$4,"เกินกำหนด",IF(INT($H22)='Guide_Lists'!$B$4,"ติดตามวันนี้","รอนัด"))))))))</x:f>
      </x:c>
      <x:c r="K22" s="32"/>
      <x:c r="L22" s="94"/>
      <x:c r="M22" s="94"/>
      <x:c r="N22" s="94"/>
      <x:c r="O22" s="36"/>
      <x:c r="P22" s="36"/>
      <x:c r="Q22" s="36"/>
      <x:c r="R22" s="36"/>
      <x:c r="S22" s="82"/>
      <x:c r="T22" s="82"/>
      <x:c r="U22" s="82"/>
      <x:c r="V22" s="82"/>
      <x:c r="W22" s="82"/>
      <x:c r="X22" s="36"/>
      <x:c r="Y22" s="36"/>
      <x:c r="Z22" s="36"/>
      <x:c r="AA22" s="36"/>
      <x:c r="AB22" s="96"/>
      <x:c r="AC22" s="82"/>
      <x:c r="AD22" s="36"/>
      <x:c r="AE22" s="94"/>
      <x:c r="AF22" s="86"/>
      <x:c r="AG22" s="32"/>
      <x:c r="AH22" s="32"/>
      <x:c r="AI22" s="32"/>
      <x:c r="AJ22" s="88"/>
      <x:c r="AK22" s="32"/>
      <x:c r="AL22" s="32"/>
      <x:c r="AM22" s="32"/>
      <x:c r="AN22" s="32"/>
      <x:c r="AO22" s="32"/>
      <x:c r="AP22" s="32"/>
      <x:c r="AQ22" s="94"/>
      <x:c r="AR22" s="32"/>
      <x:c r="AS22" s="32"/>
      <x:c r="AT22" s="32"/>
      <x:c r="AU22" s="86"/>
      <x:c r="AV22" s="90" t="str">
        <x:f>IF($A22="","",IF(COUNTIFS('Quotations'!$L$8:$L$107,$AE22,'Quotations'!$O$8:$O$107,1)=0,"",MINIFS('Quotations'!$E$8:$E$107,'Quotations'!$L$8:$L$107,$AE22,'Quotations'!$O$8:$O$107,1)))</x:f>
      </x:c>
      <x:c r="AW22" s="90" t="str">
        <x:f>IF($A22="","",IF(COUNTIFS('Orders_PO'!$N$8:$N$107,$AE22,'Orders_PO'!$Q$8:$Q$107,1)=0,"",MINIFS('Orders_PO'!$E$8:$E$107,'Orders_PO'!$N$8:$N$107,$AE22,'Orders_PO'!$Q$8:$Q$107,1)))</x:f>
      </x:c>
      <x:c r="AX22" s="42" t="str">
        <x:f>IF($A22="","",COUNTIFS('Quotations'!$L$8:$L$107,$AE22,'Quotations'!$O$8:$O$107,1,'Quotations'!$I$8:$I$107,"Yes"))</x:f>
      </x:c>
      <x:c r="AY22" s="42" t="str">
        <x:f>IF($A22="","",COUNTIFS('Orders_PO'!$N$8:$N$107,$AE22,'Orders_PO'!$Q$8:$Q$107,1))</x:f>
      </x:c>
      <x:c r="AZ22" s="42" t="str">
        <x:f>IF($A22="","",IF((IF($AE22="","ขาด Lead ID; ","")&amp;IF(AND($AE22&lt;&gt;"",COUNTIF('Leads'!$AE$8:$AE$107,$AE22)&gt;1),"Lead ID ซ้ำ; ","")&amp;IF(COUNTIF('Leads'!$A$8:$A$107,$A22)&gt;1,"Reference ซ้ำ; ","")&amp;IF(COUNTIF('Guide_Lists'!$AR$2:$AR$4,$A22)&gt;0,"Known TEST — ห้ามนับผล; ","")&amp;IF(OR($B22="",$D22=""),"ขาดชื่อ/งาน; ","")&amp;IF(AND($L22="",$M22="",$N22=""),"ขาดช่องทางติดต่อ; ","")&amp;IF(OR($Z22="",$AA22="",$F22="",$G22="",$AT22=""),"ขาดผู้ดูแล/ประเภท/สถานะ/Environment; ","")&amp;IF(NOT(ISNUMBER($AF22)),"ขาดเวลารับ Lead; ","")&amp;IF(AND($AA22="Duplicate",$AB22=""),"ขาด duplicate_of; ","")&amp;IF(AND($G22="Qualified",OR($R22="",$U22="")),"Qualified ขาดเหตุผล/วันที่; ","")&amp;IF(AND($G22="Unqualified",$R22=""),"Unqualified ขาดเหตุผล; ","")&amp;IF(AND($F22="Qualified",$G22&lt;&gt;"Qualified"),"สถานะ/ผลคัดกรองไม่ตรง; ","")&amp;IF(AND($F22="Unqualified",$G22&lt;&gt;"Unqualified"),"สถานะ/ผลคัดกรองไม่ตรง; ","")&amp;IF(AND($F22="Contacting",$S22=""),"ขาดเวลาพยายามติดต่อ; ","")&amp;IF(AND($O22="Contactable",$T22=""),"ขาดเวลาติดต่อสำเร็จ; ","")&amp;IF(AND($F22="Quotation Sent",$AV22=""),"ยังไม่มีใบราคาที่ตรวจผ่าน; ","")&amp;IF(AND($F22="Won",$AY22=0),"Won ยังไม่มี PO ที่ตรวจผ่าน; ","")&amp;IF(AND($AY22&gt;0,$F22&lt;&gt;"Won"),"มี PO แล้ว—ตรวจสถานะ; ","")&amp;IF(AND($F22="Lost",OR($W22="",$X22="")),"Lost ขาดวัน/เหตุผล; ","")&amp;IF(AND($AA22="Real",NOT(OR($F22="Won",$F22="Lost",$F22="Unqualified")),OR($H22="",$I22="")),"ขาดนัด/งานถัดไป; ","")&amp;IF(OR($AC22="",$AD22=""),"ขาดเวลา/ผู้บันทึก; ","")&amp;IF(AND(ISNUMBER($S22),ISNUMBER($AF22),$S22&lt;$AF22),"ตรวจเวลา attempt ก่อนรับ Lead; ",""))="","ครบ",IF($AE22="","ขาด Lead ID; ","")&amp;IF(AND($AE22&lt;&gt;"",COUNTIF('Leads'!$AE$8:$AE$107,$AE22)&gt;1),"Lead ID ซ้ำ; ","")&amp;IF(COUNTIF('Leads'!$A$8:$A$107,$A22)&gt;1,"Reference ซ้ำ; ","")&amp;IF(COUNTIF('Guide_Lists'!$AR$2:$AR$4,$A22)&gt;0,"Known TEST — ห้ามนับผล; ","")&amp;IF(OR($B22="",$D22=""),"ขาดชื่อ/งาน; ","")&amp;IF(AND($L22="",$M22="",$N22=""),"ขาดช่องทางติดต่อ; ","")&amp;IF(OR($Z22="",$AA22="",$F22="",$G22="",$AT22=""),"ขาดผู้ดูแล/ประเภท/สถานะ/Environment; ","")&amp;IF(NOT(ISNUMBER($AF22)),"ขาดเวลารับ Lead; ","")&amp;IF(AND($AA22="Duplicate",$AB22=""),"ขาด duplicate_of; ","")&amp;IF(AND($G22="Qualified",OR($R22="",$U22="")),"Qualified ขาดเหตุผล/วันที่; ","")&amp;IF(AND($G22="Unqualified",$R22=""),"Unqualified ขาดเหตุผล; ","")&amp;IF(AND($F22="Qualified",$G22&lt;&gt;"Qualified"),"สถานะ/ผลคัดกรองไม่ตรง; ","")&amp;IF(AND($F22="Unqualified",$G22&lt;&gt;"Unqualified"),"สถานะ/ผลคัดกรองไม่ตรง; ","")&amp;IF(AND($F22="Contacting",$S22=""),"ขาดเวลาพยายามติดต่อ; ","")&amp;IF(AND($O22="Contactable",$T22=""),"ขาดเวลาติดต่อสำเร็จ; ","")&amp;IF(AND($F22="Quotation Sent",$AV22=""),"ยังไม่มีใบราคาที่ตรวจผ่าน; ","")&amp;IF(AND($F22="Won",$AY22=0),"Won ยังไม่มี PO ที่ตรวจผ่าน; ","")&amp;IF(AND($AY22&gt;0,$F22&lt;&gt;"Won"),"มี PO แล้ว—ตรวจสถานะ; ","")&amp;IF(AND($F22="Lost",OR($W22="",$X22="")),"Lost ขาดวัน/เหตุผล; ","")&amp;IF(AND($AA22="Real",NOT(OR($F22="Won",$F22="Lost",$F22="Unqualified")),OR($H22="",$I22="")),"ขาดนัด/งานถัดไป; ","")&amp;IF(OR($AC22="",$AD22=""),"ขาดเวลา/ผู้บันทึก; ","")&amp;IF(AND(ISNUMBER($S22),ISNUMBER($AF22),$S22&lt;$AF22),"ตรวจเวลา attempt ก่อนรับ Lead; ","")))</x:f>
      </x:c>
      <x:c r="BA22" s="42" t="str">
        <x:f>IF($A22="","",IF(AND($AE22&lt;&gt;"",$AA22="Real",$AT22="production",COUNTIF('Leads'!$AE$8:$AE$107,$AE22)=1,COUNTIF('Leads'!$A$8:$A$107,$A22)=1,COUNTIF('Guide_Lists'!$AR$2:$AR$4,$A22)=0),1,0))</x:f>
      </x:c>
    </x:row>
    <x:row r="23" ht="30" customHeight="1">
      <x:c r="A23" s="94"/>
      <x:c r="B23" s="32"/>
      <x:c r="C23" s="32"/>
      <x:c r="D23" s="32"/>
      <x:c r="E23" s="92"/>
      <x:c r="F23" s="36"/>
      <x:c r="G23" s="36"/>
      <x:c r="H23" s="82"/>
      <x:c r="I23" s="36"/>
      <x:c r="J23" s="42" t="str">
        <x:f>IF($A23="","",IF(OR($AA23="Test",$AA23="Spam",$AA23="Duplicate",COUNTIF('Guide_Lists'!$AR$2:$AR$4,$A23)&gt;0),"ไม่นับผลธุรกิจ",IF($AA23&lt;&gt;"Real","ระบุประเภทข้อมูล",IF(OR($F23="Won",$F23="Lost",$F23="Unqualified"),"ปิดงานขาย",IF($H23="","ยังไม่นัด",IF(NOT(ISNUMBER($H23)),"ตรวจวันนัด",IF(INT($H23)&lt;'Guide_Lists'!$B$4,"เกินกำหนด",IF(INT($H23)='Guide_Lists'!$B$4,"ติดตามวันนี้","รอนัด"))))))))</x:f>
      </x:c>
      <x:c r="K23" s="32"/>
      <x:c r="L23" s="94"/>
      <x:c r="M23" s="94"/>
      <x:c r="N23" s="94"/>
      <x:c r="O23" s="36"/>
      <x:c r="P23" s="36"/>
      <x:c r="Q23" s="36"/>
      <x:c r="R23" s="36"/>
      <x:c r="S23" s="82"/>
      <x:c r="T23" s="82"/>
      <x:c r="U23" s="82"/>
      <x:c r="V23" s="82"/>
      <x:c r="W23" s="82"/>
      <x:c r="X23" s="36"/>
      <x:c r="Y23" s="36"/>
      <x:c r="Z23" s="36"/>
      <x:c r="AA23" s="36"/>
      <x:c r="AB23" s="96"/>
      <x:c r="AC23" s="82"/>
      <x:c r="AD23" s="36"/>
      <x:c r="AE23" s="94"/>
      <x:c r="AF23" s="86"/>
      <x:c r="AG23" s="32"/>
      <x:c r="AH23" s="32"/>
      <x:c r="AI23" s="32"/>
      <x:c r="AJ23" s="88"/>
      <x:c r="AK23" s="32"/>
      <x:c r="AL23" s="32"/>
      <x:c r="AM23" s="32"/>
      <x:c r="AN23" s="32"/>
      <x:c r="AO23" s="32"/>
      <x:c r="AP23" s="32"/>
      <x:c r="AQ23" s="94"/>
      <x:c r="AR23" s="32"/>
      <x:c r="AS23" s="32"/>
      <x:c r="AT23" s="32"/>
      <x:c r="AU23" s="86"/>
      <x:c r="AV23" s="90" t="str">
        <x:f>IF($A23="","",IF(COUNTIFS('Quotations'!$L$8:$L$107,$AE23,'Quotations'!$O$8:$O$107,1)=0,"",MINIFS('Quotations'!$E$8:$E$107,'Quotations'!$L$8:$L$107,$AE23,'Quotations'!$O$8:$O$107,1)))</x:f>
      </x:c>
      <x:c r="AW23" s="90" t="str">
        <x:f>IF($A23="","",IF(COUNTIFS('Orders_PO'!$N$8:$N$107,$AE23,'Orders_PO'!$Q$8:$Q$107,1)=0,"",MINIFS('Orders_PO'!$E$8:$E$107,'Orders_PO'!$N$8:$N$107,$AE23,'Orders_PO'!$Q$8:$Q$107,1)))</x:f>
      </x:c>
      <x:c r="AX23" s="42" t="str">
        <x:f>IF($A23="","",COUNTIFS('Quotations'!$L$8:$L$107,$AE23,'Quotations'!$O$8:$O$107,1,'Quotations'!$I$8:$I$107,"Yes"))</x:f>
      </x:c>
      <x:c r="AY23" s="42" t="str">
        <x:f>IF($A23="","",COUNTIFS('Orders_PO'!$N$8:$N$107,$AE23,'Orders_PO'!$Q$8:$Q$107,1))</x:f>
      </x:c>
      <x:c r="AZ23" s="42" t="str">
        <x:f>IF($A23="","",IF((IF($AE23="","ขาด Lead ID; ","")&amp;IF(AND($AE23&lt;&gt;"",COUNTIF('Leads'!$AE$8:$AE$107,$AE23)&gt;1),"Lead ID ซ้ำ; ","")&amp;IF(COUNTIF('Leads'!$A$8:$A$107,$A23)&gt;1,"Reference ซ้ำ; ","")&amp;IF(COUNTIF('Guide_Lists'!$AR$2:$AR$4,$A23)&gt;0,"Known TEST — ห้ามนับผล; ","")&amp;IF(OR($B23="",$D23=""),"ขาดชื่อ/งาน; ","")&amp;IF(AND($L23="",$M23="",$N23=""),"ขาดช่องทางติดต่อ; ","")&amp;IF(OR($Z23="",$AA23="",$F23="",$G23="",$AT23=""),"ขาดผู้ดูแล/ประเภท/สถานะ/Environment; ","")&amp;IF(NOT(ISNUMBER($AF23)),"ขาดเวลารับ Lead; ","")&amp;IF(AND($AA23="Duplicate",$AB23=""),"ขาด duplicate_of; ","")&amp;IF(AND($G23="Qualified",OR($R23="",$U23="")),"Qualified ขาดเหตุผล/วันที่; ","")&amp;IF(AND($G23="Unqualified",$R23=""),"Unqualified ขาดเหตุผล; ","")&amp;IF(AND($F23="Qualified",$G23&lt;&gt;"Qualified"),"สถานะ/ผลคัดกรองไม่ตรง; ","")&amp;IF(AND($F23="Unqualified",$G23&lt;&gt;"Unqualified"),"สถานะ/ผลคัดกรองไม่ตรง; ","")&amp;IF(AND($F23="Contacting",$S23=""),"ขาดเวลาพยายามติดต่อ; ","")&amp;IF(AND($O23="Contactable",$T23=""),"ขาดเวลาติดต่อสำเร็จ; ","")&amp;IF(AND($F23="Quotation Sent",$AV23=""),"ยังไม่มีใบราคาที่ตรวจผ่าน; ","")&amp;IF(AND($F23="Won",$AY23=0),"Won ยังไม่มี PO ที่ตรวจผ่าน; ","")&amp;IF(AND($AY23&gt;0,$F23&lt;&gt;"Won"),"มี PO แล้ว—ตรวจสถานะ; ","")&amp;IF(AND($F23="Lost",OR($W23="",$X23="")),"Lost ขาดวัน/เหตุผล; ","")&amp;IF(AND($AA23="Real",NOT(OR($F23="Won",$F23="Lost",$F23="Unqualified")),OR($H23="",$I23="")),"ขาดนัด/งานถัดไป; ","")&amp;IF(OR($AC23="",$AD23=""),"ขาดเวลา/ผู้บันทึก; ","")&amp;IF(AND(ISNUMBER($S23),ISNUMBER($AF23),$S23&lt;$AF23),"ตรวจเวลา attempt ก่อนรับ Lead; ",""))="","ครบ",IF($AE23="","ขาด Lead ID; ","")&amp;IF(AND($AE23&lt;&gt;"",COUNTIF('Leads'!$AE$8:$AE$107,$AE23)&gt;1),"Lead ID ซ้ำ; ","")&amp;IF(COUNTIF('Leads'!$A$8:$A$107,$A23)&gt;1,"Reference ซ้ำ; ","")&amp;IF(COUNTIF('Guide_Lists'!$AR$2:$AR$4,$A23)&gt;0,"Known TEST — ห้ามนับผล; ","")&amp;IF(OR($B23="",$D23=""),"ขาดชื่อ/งาน; ","")&amp;IF(AND($L23="",$M23="",$N23=""),"ขาดช่องทางติดต่อ; ","")&amp;IF(OR($Z23="",$AA23="",$F23="",$G23="",$AT23=""),"ขาดผู้ดูแล/ประเภท/สถานะ/Environment; ","")&amp;IF(NOT(ISNUMBER($AF23)),"ขาดเวลารับ Lead; ","")&amp;IF(AND($AA23="Duplicate",$AB23=""),"ขาด duplicate_of; ","")&amp;IF(AND($G23="Qualified",OR($R23="",$U23="")),"Qualified ขาดเหตุผล/วันที่; ","")&amp;IF(AND($G23="Unqualified",$R23=""),"Unqualified ขาดเหตุผล; ","")&amp;IF(AND($F23="Qualified",$G23&lt;&gt;"Qualified"),"สถานะ/ผลคัดกรองไม่ตรง; ","")&amp;IF(AND($F23="Unqualified",$G23&lt;&gt;"Unqualified"),"สถานะ/ผลคัดกรองไม่ตรง; ","")&amp;IF(AND($F23="Contacting",$S23=""),"ขาดเวลาพยายามติดต่อ; ","")&amp;IF(AND($O23="Contactable",$T23=""),"ขาดเวลาติดต่อสำเร็จ; ","")&amp;IF(AND($F23="Quotation Sent",$AV23=""),"ยังไม่มีใบราคาที่ตรวจผ่าน; ","")&amp;IF(AND($F23="Won",$AY23=0),"Won ยังไม่มี PO ที่ตรวจผ่าน; ","")&amp;IF(AND($AY23&gt;0,$F23&lt;&gt;"Won"),"มี PO แล้ว—ตรวจสถานะ; ","")&amp;IF(AND($F23="Lost",OR($W23="",$X23="")),"Lost ขาดวัน/เหตุผล; ","")&amp;IF(AND($AA23="Real",NOT(OR($F23="Won",$F23="Lost",$F23="Unqualified")),OR($H23="",$I23="")),"ขาดนัด/งานถัดไป; ","")&amp;IF(OR($AC23="",$AD23=""),"ขาดเวลา/ผู้บันทึก; ","")&amp;IF(AND(ISNUMBER($S23),ISNUMBER($AF23),$S23&lt;$AF23),"ตรวจเวลา attempt ก่อนรับ Lead; ","")))</x:f>
      </x:c>
      <x:c r="BA23" s="42" t="str">
        <x:f>IF($A23="","",IF(AND($AE23&lt;&gt;"",$AA23="Real",$AT23="production",COUNTIF('Leads'!$AE$8:$AE$107,$AE23)=1,COUNTIF('Leads'!$A$8:$A$107,$A23)=1,COUNTIF('Guide_Lists'!$AR$2:$AR$4,$A23)=0),1,0))</x:f>
      </x:c>
    </x:row>
    <x:row r="24" ht="30" customHeight="1">
      <x:c r="A24" s="94"/>
      <x:c r="B24" s="32"/>
      <x:c r="C24" s="32"/>
      <x:c r="D24" s="32"/>
      <x:c r="E24" s="92"/>
      <x:c r="F24" s="36"/>
      <x:c r="G24" s="36"/>
      <x:c r="H24" s="82"/>
      <x:c r="I24" s="36"/>
      <x:c r="J24" s="42" t="str">
        <x:f>IF($A24="","",IF(OR($AA24="Test",$AA24="Spam",$AA24="Duplicate",COUNTIF('Guide_Lists'!$AR$2:$AR$4,$A24)&gt;0),"ไม่นับผลธุรกิจ",IF($AA24&lt;&gt;"Real","ระบุประเภทข้อมูล",IF(OR($F24="Won",$F24="Lost",$F24="Unqualified"),"ปิดงานขาย",IF($H24="","ยังไม่นัด",IF(NOT(ISNUMBER($H24)),"ตรวจวันนัด",IF(INT($H24)&lt;'Guide_Lists'!$B$4,"เกินกำหนด",IF(INT($H24)='Guide_Lists'!$B$4,"ติดตามวันนี้","รอนัด"))))))))</x:f>
      </x:c>
      <x:c r="K24" s="32"/>
      <x:c r="L24" s="94"/>
      <x:c r="M24" s="94"/>
      <x:c r="N24" s="94"/>
      <x:c r="O24" s="36"/>
      <x:c r="P24" s="36"/>
      <x:c r="Q24" s="36"/>
      <x:c r="R24" s="36"/>
      <x:c r="S24" s="82"/>
      <x:c r="T24" s="82"/>
      <x:c r="U24" s="82"/>
      <x:c r="V24" s="82"/>
      <x:c r="W24" s="82"/>
      <x:c r="X24" s="36"/>
      <x:c r="Y24" s="36"/>
      <x:c r="Z24" s="36"/>
      <x:c r="AA24" s="36"/>
      <x:c r="AB24" s="96"/>
      <x:c r="AC24" s="82"/>
      <x:c r="AD24" s="36"/>
      <x:c r="AE24" s="94"/>
      <x:c r="AF24" s="86"/>
      <x:c r="AG24" s="32"/>
      <x:c r="AH24" s="32"/>
      <x:c r="AI24" s="32"/>
      <x:c r="AJ24" s="88"/>
      <x:c r="AK24" s="32"/>
      <x:c r="AL24" s="32"/>
      <x:c r="AM24" s="32"/>
      <x:c r="AN24" s="32"/>
      <x:c r="AO24" s="32"/>
      <x:c r="AP24" s="32"/>
      <x:c r="AQ24" s="94"/>
      <x:c r="AR24" s="32"/>
      <x:c r="AS24" s="32"/>
      <x:c r="AT24" s="32"/>
      <x:c r="AU24" s="86"/>
      <x:c r="AV24" s="90" t="str">
        <x:f>IF($A24="","",IF(COUNTIFS('Quotations'!$L$8:$L$107,$AE24,'Quotations'!$O$8:$O$107,1)=0,"",MINIFS('Quotations'!$E$8:$E$107,'Quotations'!$L$8:$L$107,$AE24,'Quotations'!$O$8:$O$107,1)))</x:f>
      </x:c>
      <x:c r="AW24" s="90" t="str">
        <x:f>IF($A24="","",IF(COUNTIFS('Orders_PO'!$N$8:$N$107,$AE24,'Orders_PO'!$Q$8:$Q$107,1)=0,"",MINIFS('Orders_PO'!$E$8:$E$107,'Orders_PO'!$N$8:$N$107,$AE24,'Orders_PO'!$Q$8:$Q$107,1)))</x:f>
      </x:c>
      <x:c r="AX24" s="42" t="str">
        <x:f>IF($A24="","",COUNTIFS('Quotations'!$L$8:$L$107,$AE24,'Quotations'!$O$8:$O$107,1,'Quotations'!$I$8:$I$107,"Yes"))</x:f>
      </x:c>
      <x:c r="AY24" s="42" t="str">
        <x:f>IF($A24="","",COUNTIFS('Orders_PO'!$N$8:$N$107,$AE24,'Orders_PO'!$Q$8:$Q$107,1))</x:f>
      </x:c>
      <x:c r="AZ24" s="42" t="str">
        <x:f>IF($A24="","",IF((IF($AE24="","ขาด Lead ID; ","")&amp;IF(AND($AE24&lt;&gt;"",COUNTIF('Leads'!$AE$8:$AE$107,$AE24)&gt;1),"Lead ID ซ้ำ; ","")&amp;IF(COUNTIF('Leads'!$A$8:$A$107,$A24)&gt;1,"Reference ซ้ำ; ","")&amp;IF(COUNTIF('Guide_Lists'!$AR$2:$AR$4,$A24)&gt;0,"Known TEST — ห้ามนับผล; ","")&amp;IF(OR($B24="",$D24=""),"ขาดชื่อ/งาน; ","")&amp;IF(AND($L24="",$M24="",$N24=""),"ขาดช่องทางติดต่อ; ","")&amp;IF(OR($Z24="",$AA24="",$F24="",$G24="",$AT24=""),"ขาดผู้ดูแล/ประเภท/สถานะ/Environment; ","")&amp;IF(NOT(ISNUMBER($AF24)),"ขาดเวลารับ Lead; ","")&amp;IF(AND($AA24="Duplicate",$AB24=""),"ขาด duplicate_of; ","")&amp;IF(AND($G24="Qualified",OR($R24="",$U24="")),"Qualified ขาดเหตุผล/วันที่; ","")&amp;IF(AND($G24="Unqualified",$R24=""),"Unqualified ขาดเหตุผล; ","")&amp;IF(AND($F24="Qualified",$G24&lt;&gt;"Qualified"),"สถานะ/ผลคัดกรองไม่ตรง; ","")&amp;IF(AND($F24="Unqualified",$G24&lt;&gt;"Unqualified"),"สถานะ/ผลคัดกรองไม่ตรง; ","")&amp;IF(AND($F24="Contacting",$S24=""),"ขาดเวลาพยายามติดต่อ; ","")&amp;IF(AND($O24="Contactable",$T24=""),"ขาดเวลาติดต่อสำเร็จ; ","")&amp;IF(AND($F24="Quotation Sent",$AV24=""),"ยังไม่มีใบราคาที่ตรวจผ่าน; ","")&amp;IF(AND($F24="Won",$AY24=0),"Won ยังไม่มี PO ที่ตรวจผ่าน; ","")&amp;IF(AND($AY24&gt;0,$F24&lt;&gt;"Won"),"มี PO แล้ว—ตรวจสถานะ; ","")&amp;IF(AND($F24="Lost",OR($W24="",$X24="")),"Lost ขาดวัน/เหตุผล; ","")&amp;IF(AND($AA24="Real",NOT(OR($F24="Won",$F24="Lost",$F24="Unqualified")),OR($H24="",$I24="")),"ขาดนัด/งานถัดไป; ","")&amp;IF(OR($AC24="",$AD24=""),"ขาดเวลา/ผู้บันทึก; ","")&amp;IF(AND(ISNUMBER($S24),ISNUMBER($AF24),$S24&lt;$AF24),"ตรวจเวลา attempt ก่อนรับ Lead; ",""))="","ครบ",IF($AE24="","ขาด Lead ID; ","")&amp;IF(AND($AE24&lt;&gt;"",COUNTIF('Leads'!$AE$8:$AE$107,$AE24)&gt;1),"Lead ID ซ้ำ; ","")&amp;IF(COUNTIF('Leads'!$A$8:$A$107,$A24)&gt;1,"Reference ซ้ำ; ","")&amp;IF(COUNTIF('Guide_Lists'!$AR$2:$AR$4,$A24)&gt;0,"Known TEST — ห้ามนับผล; ","")&amp;IF(OR($B24="",$D24=""),"ขาดชื่อ/งาน; ","")&amp;IF(AND($L24="",$M24="",$N24=""),"ขาดช่องทางติดต่อ; ","")&amp;IF(OR($Z24="",$AA24="",$F24="",$G24="",$AT24=""),"ขาดผู้ดูแล/ประเภท/สถานะ/Environment; ","")&amp;IF(NOT(ISNUMBER($AF24)),"ขาดเวลารับ Lead; ","")&amp;IF(AND($AA24="Duplicate",$AB24=""),"ขาด duplicate_of; ","")&amp;IF(AND($G24="Qualified",OR($R24="",$U24="")),"Qualified ขาดเหตุผล/วันที่; ","")&amp;IF(AND($G24="Unqualified",$R24=""),"Unqualified ขาดเหตุผล; ","")&amp;IF(AND($F24="Qualified",$G24&lt;&gt;"Qualified"),"สถานะ/ผลคัดกรองไม่ตรง; ","")&amp;IF(AND($F24="Unqualified",$G24&lt;&gt;"Unqualified"),"สถานะ/ผลคัดกรองไม่ตรง; ","")&amp;IF(AND($F24="Contacting",$S24=""),"ขาดเวลาพยายามติดต่อ; ","")&amp;IF(AND($O24="Contactable",$T24=""),"ขาดเวลาติดต่อสำเร็จ; ","")&amp;IF(AND($F24="Quotation Sent",$AV24=""),"ยังไม่มีใบราคาที่ตรวจผ่าน; ","")&amp;IF(AND($F24="Won",$AY24=0),"Won ยังไม่มี PO ที่ตรวจผ่าน; ","")&amp;IF(AND($AY24&gt;0,$F24&lt;&gt;"Won"),"มี PO แล้ว—ตรวจสถานะ; ","")&amp;IF(AND($F24="Lost",OR($W24="",$X24="")),"Lost ขาดวัน/เหตุผล; ","")&amp;IF(AND($AA24="Real",NOT(OR($F24="Won",$F24="Lost",$F24="Unqualified")),OR($H24="",$I24="")),"ขาดนัด/งานถัดไป; ","")&amp;IF(OR($AC24="",$AD24=""),"ขาดเวลา/ผู้บันทึก; ","")&amp;IF(AND(ISNUMBER($S24),ISNUMBER($AF24),$S24&lt;$AF24),"ตรวจเวลา attempt ก่อนรับ Lead; ","")))</x:f>
      </x:c>
      <x:c r="BA24" s="42" t="str">
        <x:f>IF($A24="","",IF(AND($AE24&lt;&gt;"",$AA24="Real",$AT24="production",COUNTIF('Leads'!$AE$8:$AE$107,$AE24)=1,COUNTIF('Leads'!$A$8:$A$107,$A24)=1,COUNTIF('Guide_Lists'!$AR$2:$AR$4,$A24)=0),1,0))</x:f>
      </x:c>
    </x:row>
    <x:row r="25" ht="30" customHeight="1">
      <x:c r="A25" s="94"/>
      <x:c r="B25" s="32"/>
      <x:c r="C25" s="32"/>
      <x:c r="D25" s="32"/>
      <x:c r="E25" s="92"/>
      <x:c r="F25" s="36"/>
      <x:c r="G25" s="36"/>
      <x:c r="H25" s="82"/>
      <x:c r="I25" s="36"/>
      <x:c r="J25" s="42" t="str">
        <x:f>IF($A25="","",IF(OR($AA25="Test",$AA25="Spam",$AA25="Duplicate",COUNTIF('Guide_Lists'!$AR$2:$AR$4,$A25)&gt;0),"ไม่นับผลธุรกิจ",IF($AA25&lt;&gt;"Real","ระบุประเภทข้อมูล",IF(OR($F25="Won",$F25="Lost",$F25="Unqualified"),"ปิดงานขาย",IF($H25="","ยังไม่นัด",IF(NOT(ISNUMBER($H25)),"ตรวจวันนัด",IF(INT($H25)&lt;'Guide_Lists'!$B$4,"เกินกำหนด",IF(INT($H25)='Guide_Lists'!$B$4,"ติดตามวันนี้","รอนัด"))))))))</x:f>
      </x:c>
      <x:c r="K25" s="32"/>
      <x:c r="L25" s="94"/>
      <x:c r="M25" s="94"/>
      <x:c r="N25" s="94"/>
      <x:c r="O25" s="36"/>
      <x:c r="P25" s="36"/>
      <x:c r="Q25" s="36"/>
      <x:c r="R25" s="36"/>
      <x:c r="S25" s="82"/>
      <x:c r="T25" s="82"/>
      <x:c r="U25" s="82"/>
      <x:c r="V25" s="82"/>
      <x:c r="W25" s="82"/>
      <x:c r="X25" s="36"/>
      <x:c r="Y25" s="36"/>
      <x:c r="Z25" s="36"/>
      <x:c r="AA25" s="36"/>
      <x:c r="AB25" s="96"/>
      <x:c r="AC25" s="82"/>
      <x:c r="AD25" s="36"/>
      <x:c r="AE25" s="94"/>
      <x:c r="AF25" s="86"/>
      <x:c r="AG25" s="32"/>
      <x:c r="AH25" s="32"/>
      <x:c r="AI25" s="32"/>
      <x:c r="AJ25" s="88"/>
      <x:c r="AK25" s="32"/>
      <x:c r="AL25" s="32"/>
      <x:c r="AM25" s="32"/>
      <x:c r="AN25" s="32"/>
      <x:c r="AO25" s="32"/>
      <x:c r="AP25" s="32"/>
      <x:c r="AQ25" s="94"/>
      <x:c r="AR25" s="32"/>
      <x:c r="AS25" s="32"/>
      <x:c r="AT25" s="32"/>
      <x:c r="AU25" s="86"/>
      <x:c r="AV25" s="90" t="str">
        <x:f>IF($A25="","",IF(COUNTIFS('Quotations'!$L$8:$L$107,$AE25,'Quotations'!$O$8:$O$107,1)=0,"",MINIFS('Quotations'!$E$8:$E$107,'Quotations'!$L$8:$L$107,$AE25,'Quotations'!$O$8:$O$107,1)))</x:f>
      </x:c>
      <x:c r="AW25" s="90" t="str">
        <x:f>IF($A25="","",IF(COUNTIFS('Orders_PO'!$N$8:$N$107,$AE25,'Orders_PO'!$Q$8:$Q$107,1)=0,"",MINIFS('Orders_PO'!$E$8:$E$107,'Orders_PO'!$N$8:$N$107,$AE25,'Orders_PO'!$Q$8:$Q$107,1)))</x:f>
      </x:c>
      <x:c r="AX25" s="42" t="str">
        <x:f>IF($A25="","",COUNTIFS('Quotations'!$L$8:$L$107,$AE25,'Quotations'!$O$8:$O$107,1,'Quotations'!$I$8:$I$107,"Yes"))</x:f>
      </x:c>
      <x:c r="AY25" s="42" t="str">
        <x:f>IF($A25="","",COUNTIFS('Orders_PO'!$N$8:$N$107,$AE25,'Orders_PO'!$Q$8:$Q$107,1))</x:f>
      </x:c>
      <x:c r="AZ25" s="42" t="str">
        <x:f>IF($A25="","",IF((IF($AE25="","ขาด Lead ID; ","")&amp;IF(AND($AE25&lt;&gt;"",COUNTIF('Leads'!$AE$8:$AE$107,$AE25)&gt;1),"Lead ID ซ้ำ; ","")&amp;IF(COUNTIF('Leads'!$A$8:$A$107,$A25)&gt;1,"Reference ซ้ำ; ","")&amp;IF(COUNTIF('Guide_Lists'!$AR$2:$AR$4,$A25)&gt;0,"Known TEST — ห้ามนับผล; ","")&amp;IF(OR($B25="",$D25=""),"ขาดชื่อ/งาน; ","")&amp;IF(AND($L25="",$M25="",$N25=""),"ขาดช่องทางติดต่อ; ","")&amp;IF(OR($Z25="",$AA25="",$F25="",$G25="",$AT25=""),"ขาดผู้ดูแล/ประเภท/สถานะ/Environment; ","")&amp;IF(NOT(ISNUMBER($AF25)),"ขาดเวลารับ Lead; ","")&amp;IF(AND($AA25="Duplicate",$AB25=""),"ขาด duplicate_of; ","")&amp;IF(AND($G25="Qualified",OR($R25="",$U25="")),"Qualified ขาดเหตุผล/วันที่; ","")&amp;IF(AND($G25="Unqualified",$R25=""),"Unqualified ขาดเหตุผล; ","")&amp;IF(AND($F25="Qualified",$G25&lt;&gt;"Qualified"),"สถานะ/ผลคัดกรองไม่ตรง; ","")&amp;IF(AND($F25="Unqualified",$G25&lt;&gt;"Unqualified"),"สถานะ/ผลคัดกรองไม่ตรง; ","")&amp;IF(AND($F25="Contacting",$S25=""),"ขาดเวลาพยายามติดต่อ; ","")&amp;IF(AND($O25="Contactable",$T25=""),"ขาดเวลาติดต่อสำเร็จ; ","")&amp;IF(AND($F25="Quotation Sent",$AV25=""),"ยังไม่มีใบราคาที่ตรวจผ่าน; ","")&amp;IF(AND($F25="Won",$AY25=0),"Won ยังไม่มี PO ที่ตรวจผ่าน; ","")&amp;IF(AND($AY25&gt;0,$F25&lt;&gt;"Won"),"มี PO แล้ว—ตรวจสถานะ; ","")&amp;IF(AND($F25="Lost",OR($W25="",$X25="")),"Lost ขาดวัน/เหตุผล; ","")&amp;IF(AND($AA25="Real",NOT(OR($F25="Won",$F25="Lost",$F25="Unqualified")),OR($H25="",$I25="")),"ขาดนัด/งานถัดไป; ","")&amp;IF(OR($AC25="",$AD25=""),"ขาดเวลา/ผู้บันทึก; ","")&amp;IF(AND(ISNUMBER($S25),ISNUMBER($AF25),$S25&lt;$AF25),"ตรวจเวลา attempt ก่อนรับ Lead; ",""))="","ครบ",IF($AE25="","ขาด Lead ID; ","")&amp;IF(AND($AE25&lt;&gt;"",COUNTIF('Leads'!$AE$8:$AE$107,$AE25)&gt;1),"Lead ID ซ้ำ; ","")&amp;IF(COUNTIF('Leads'!$A$8:$A$107,$A25)&gt;1,"Reference ซ้ำ; ","")&amp;IF(COUNTIF('Guide_Lists'!$AR$2:$AR$4,$A25)&gt;0,"Known TEST — ห้ามนับผล; ","")&amp;IF(OR($B25="",$D25=""),"ขาดชื่อ/งาน; ","")&amp;IF(AND($L25="",$M25="",$N25=""),"ขาดช่องทางติดต่อ; ","")&amp;IF(OR($Z25="",$AA25="",$F25="",$G25="",$AT25=""),"ขาดผู้ดูแล/ประเภท/สถานะ/Environment; ","")&amp;IF(NOT(ISNUMBER($AF25)),"ขาดเวลารับ Lead; ","")&amp;IF(AND($AA25="Duplicate",$AB25=""),"ขาด duplicate_of; ","")&amp;IF(AND($G25="Qualified",OR($R25="",$U25="")),"Qualified ขาดเหตุผล/วันที่; ","")&amp;IF(AND($G25="Unqualified",$R25=""),"Unqualified ขาดเหตุผล; ","")&amp;IF(AND($F25="Qualified",$G25&lt;&gt;"Qualified"),"สถานะ/ผลคัดกรองไม่ตรง; ","")&amp;IF(AND($F25="Unqualified",$G25&lt;&gt;"Unqualified"),"สถานะ/ผลคัดกรองไม่ตรง; ","")&amp;IF(AND($F25="Contacting",$S25=""),"ขาดเวลาพยายามติดต่อ; ","")&amp;IF(AND($O25="Contactable",$T25=""),"ขาดเวลาติดต่อสำเร็จ; ","")&amp;IF(AND($F25="Quotation Sent",$AV25=""),"ยังไม่มีใบราคาที่ตรวจผ่าน; ","")&amp;IF(AND($F25="Won",$AY25=0),"Won ยังไม่มี PO ที่ตรวจผ่าน; ","")&amp;IF(AND($AY25&gt;0,$F25&lt;&gt;"Won"),"มี PO แล้ว—ตรวจสถานะ; ","")&amp;IF(AND($F25="Lost",OR($W25="",$X25="")),"Lost ขาดวัน/เหตุผล; ","")&amp;IF(AND($AA25="Real",NOT(OR($F25="Won",$F25="Lost",$F25="Unqualified")),OR($H25="",$I25="")),"ขาดนัด/งานถัดไป; ","")&amp;IF(OR($AC25="",$AD25=""),"ขาดเวลา/ผู้บันทึก; ","")&amp;IF(AND(ISNUMBER($S25),ISNUMBER($AF25),$S25&lt;$AF25),"ตรวจเวลา attempt ก่อนรับ Lead; ","")))</x:f>
      </x:c>
      <x:c r="BA25" s="42" t="str">
        <x:f>IF($A25="","",IF(AND($AE25&lt;&gt;"",$AA25="Real",$AT25="production",COUNTIF('Leads'!$AE$8:$AE$107,$AE25)=1,COUNTIF('Leads'!$A$8:$A$107,$A25)=1,COUNTIF('Guide_Lists'!$AR$2:$AR$4,$A25)=0),1,0))</x:f>
      </x:c>
    </x:row>
    <x:row r="26" ht="30" customHeight="1">
      <x:c r="A26" s="94"/>
      <x:c r="B26" s="32"/>
      <x:c r="C26" s="32"/>
      <x:c r="D26" s="32"/>
      <x:c r="E26" s="92"/>
      <x:c r="F26" s="36"/>
      <x:c r="G26" s="36"/>
      <x:c r="H26" s="82"/>
      <x:c r="I26" s="36"/>
      <x:c r="J26" s="42" t="str">
        <x:f>IF($A26="","",IF(OR($AA26="Test",$AA26="Spam",$AA26="Duplicate",COUNTIF('Guide_Lists'!$AR$2:$AR$4,$A26)&gt;0),"ไม่นับผลธุรกิจ",IF($AA26&lt;&gt;"Real","ระบุประเภทข้อมูล",IF(OR($F26="Won",$F26="Lost",$F26="Unqualified"),"ปิดงานขาย",IF($H26="","ยังไม่นัด",IF(NOT(ISNUMBER($H26)),"ตรวจวันนัด",IF(INT($H26)&lt;'Guide_Lists'!$B$4,"เกินกำหนด",IF(INT($H26)='Guide_Lists'!$B$4,"ติดตามวันนี้","รอนัด"))))))))</x:f>
      </x:c>
      <x:c r="K26" s="32"/>
      <x:c r="L26" s="94"/>
      <x:c r="M26" s="94"/>
      <x:c r="N26" s="94"/>
      <x:c r="O26" s="36"/>
      <x:c r="P26" s="36"/>
      <x:c r="Q26" s="36"/>
      <x:c r="R26" s="36"/>
      <x:c r="S26" s="82"/>
      <x:c r="T26" s="82"/>
      <x:c r="U26" s="82"/>
      <x:c r="V26" s="82"/>
      <x:c r="W26" s="82"/>
      <x:c r="X26" s="36"/>
      <x:c r="Y26" s="36"/>
      <x:c r="Z26" s="36"/>
      <x:c r="AA26" s="36"/>
      <x:c r="AB26" s="96"/>
      <x:c r="AC26" s="82"/>
      <x:c r="AD26" s="36"/>
      <x:c r="AE26" s="94"/>
      <x:c r="AF26" s="86"/>
      <x:c r="AG26" s="32"/>
      <x:c r="AH26" s="32"/>
      <x:c r="AI26" s="32"/>
      <x:c r="AJ26" s="88"/>
      <x:c r="AK26" s="32"/>
      <x:c r="AL26" s="32"/>
      <x:c r="AM26" s="32"/>
      <x:c r="AN26" s="32"/>
      <x:c r="AO26" s="32"/>
      <x:c r="AP26" s="32"/>
      <x:c r="AQ26" s="94"/>
      <x:c r="AR26" s="32"/>
      <x:c r="AS26" s="32"/>
      <x:c r="AT26" s="32"/>
      <x:c r="AU26" s="86"/>
      <x:c r="AV26" s="90" t="str">
        <x:f>IF($A26="","",IF(COUNTIFS('Quotations'!$L$8:$L$107,$AE26,'Quotations'!$O$8:$O$107,1)=0,"",MINIFS('Quotations'!$E$8:$E$107,'Quotations'!$L$8:$L$107,$AE26,'Quotations'!$O$8:$O$107,1)))</x:f>
      </x:c>
      <x:c r="AW26" s="90" t="str">
        <x:f>IF($A26="","",IF(COUNTIFS('Orders_PO'!$N$8:$N$107,$AE26,'Orders_PO'!$Q$8:$Q$107,1)=0,"",MINIFS('Orders_PO'!$E$8:$E$107,'Orders_PO'!$N$8:$N$107,$AE26,'Orders_PO'!$Q$8:$Q$107,1)))</x:f>
      </x:c>
      <x:c r="AX26" s="42" t="str">
        <x:f>IF($A26="","",COUNTIFS('Quotations'!$L$8:$L$107,$AE26,'Quotations'!$O$8:$O$107,1,'Quotations'!$I$8:$I$107,"Yes"))</x:f>
      </x:c>
      <x:c r="AY26" s="42" t="str">
        <x:f>IF($A26="","",COUNTIFS('Orders_PO'!$N$8:$N$107,$AE26,'Orders_PO'!$Q$8:$Q$107,1))</x:f>
      </x:c>
      <x:c r="AZ26" s="42" t="str">
        <x:f>IF($A26="","",IF((IF($AE26="","ขาด Lead ID; ","")&amp;IF(AND($AE26&lt;&gt;"",COUNTIF('Leads'!$AE$8:$AE$107,$AE26)&gt;1),"Lead ID ซ้ำ; ","")&amp;IF(COUNTIF('Leads'!$A$8:$A$107,$A26)&gt;1,"Reference ซ้ำ; ","")&amp;IF(COUNTIF('Guide_Lists'!$AR$2:$AR$4,$A26)&gt;0,"Known TEST — ห้ามนับผล; ","")&amp;IF(OR($B26="",$D26=""),"ขาดชื่อ/งาน; ","")&amp;IF(AND($L26="",$M26="",$N26=""),"ขาดช่องทางติดต่อ; ","")&amp;IF(OR($Z26="",$AA26="",$F26="",$G26="",$AT26=""),"ขาดผู้ดูแล/ประเภท/สถานะ/Environment; ","")&amp;IF(NOT(ISNUMBER($AF26)),"ขาดเวลารับ Lead; ","")&amp;IF(AND($AA26="Duplicate",$AB26=""),"ขาด duplicate_of; ","")&amp;IF(AND($G26="Qualified",OR($R26="",$U26="")),"Qualified ขาดเหตุผล/วันที่; ","")&amp;IF(AND($G26="Unqualified",$R26=""),"Unqualified ขาดเหตุผล; ","")&amp;IF(AND($F26="Qualified",$G26&lt;&gt;"Qualified"),"สถานะ/ผลคัดกรองไม่ตรง; ","")&amp;IF(AND($F26="Unqualified",$G26&lt;&gt;"Unqualified"),"สถานะ/ผลคัดกรองไม่ตรง; ","")&amp;IF(AND($F26="Contacting",$S26=""),"ขาดเวลาพยายามติดต่อ; ","")&amp;IF(AND($O26="Contactable",$T26=""),"ขาดเวลาติดต่อสำเร็จ; ","")&amp;IF(AND($F26="Quotation Sent",$AV26=""),"ยังไม่มีใบราคาที่ตรวจผ่าน; ","")&amp;IF(AND($F26="Won",$AY26=0),"Won ยังไม่มี PO ที่ตรวจผ่าน; ","")&amp;IF(AND($AY26&gt;0,$F26&lt;&gt;"Won"),"มี PO แล้ว—ตรวจสถานะ; ","")&amp;IF(AND($F26="Lost",OR($W26="",$X26="")),"Lost ขาดวัน/เหตุผล; ","")&amp;IF(AND($AA26="Real",NOT(OR($F26="Won",$F26="Lost",$F26="Unqualified")),OR($H26="",$I26="")),"ขาดนัด/งานถัดไป; ","")&amp;IF(OR($AC26="",$AD26=""),"ขาดเวลา/ผู้บันทึก; ","")&amp;IF(AND(ISNUMBER($S26),ISNUMBER($AF26),$S26&lt;$AF26),"ตรวจเวลา attempt ก่อนรับ Lead; ",""))="","ครบ",IF($AE26="","ขาด Lead ID; ","")&amp;IF(AND($AE26&lt;&gt;"",COUNTIF('Leads'!$AE$8:$AE$107,$AE26)&gt;1),"Lead ID ซ้ำ; ","")&amp;IF(COUNTIF('Leads'!$A$8:$A$107,$A26)&gt;1,"Reference ซ้ำ; ","")&amp;IF(COUNTIF('Guide_Lists'!$AR$2:$AR$4,$A26)&gt;0,"Known TEST — ห้ามนับผล; ","")&amp;IF(OR($B26="",$D26=""),"ขาดชื่อ/งาน; ","")&amp;IF(AND($L26="",$M26="",$N26=""),"ขาดช่องทางติดต่อ; ","")&amp;IF(OR($Z26="",$AA26="",$F26="",$G26="",$AT26=""),"ขาดผู้ดูแล/ประเภท/สถานะ/Environment; ","")&amp;IF(NOT(ISNUMBER($AF26)),"ขาดเวลารับ Lead; ","")&amp;IF(AND($AA26="Duplicate",$AB26=""),"ขาด duplicate_of; ","")&amp;IF(AND($G26="Qualified",OR($R26="",$U26="")),"Qualified ขาดเหตุผล/วันที่; ","")&amp;IF(AND($G26="Unqualified",$R26=""),"Unqualified ขาดเหตุผล; ","")&amp;IF(AND($F26="Qualified",$G26&lt;&gt;"Qualified"),"สถานะ/ผลคัดกรองไม่ตรง; ","")&amp;IF(AND($F26="Unqualified",$G26&lt;&gt;"Unqualified"),"สถานะ/ผลคัดกรองไม่ตรง; ","")&amp;IF(AND($F26="Contacting",$S26=""),"ขาดเวลาพยายามติดต่อ; ","")&amp;IF(AND($O26="Contactable",$T26=""),"ขาดเวลาติดต่อสำเร็จ; ","")&amp;IF(AND($F26="Quotation Sent",$AV26=""),"ยังไม่มีใบราคาที่ตรวจผ่าน; ","")&amp;IF(AND($F26="Won",$AY26=0),"Won ยังไม่มี PO ที่ตรวจผ่าน; ","")&amp;IF(AND($AY26&gt;0,$F26&lt;&gt;"Won"),"มี PO แล้ว—ตรวจสถานะ; ","")&amp;IF(AND($F26="Lost",OR($W26="",$X26="")),"Lost ขาดวัน/เหตุผล; ","")&amp;IF(AND($AA26="Real",NOT(OR($F26="Won",$F26="Lost",$F26="Unqualified")),OR($H26="",$I26="")),"ขาดนัด/งานถัดไป; ","")&amp;IF(OR($AC26="",$AD26=""),"ขาดเวลา/ผู้บันทึก; ","")&amp;IF(AND(ISNUMBER($S26),ISNUMBER($AF26),$S26&lt;$AF26),"ตรวจเวลา attempt ก่อนรับ Lead; ","")))</x:f>
      </x:c>
      <x:c r="BA26" s="42" t="str">
        <x:f>IF($A26="","",IF(AND($AE26&lt;&gt;"",$AA26="Real",$AT26="production",COUNTIF('Leads'!$AE$8:$AE$107,$AE26)=1,COUNTIF('Leads'!$A$8:$A$107,$A26)=1,COUNTIF('Guide_Lists'!$AR$2:$AR$4,$A26)=0),1,0))</x:f>
      </x:c>
    </x:row>
    <x:row r="27" ht="30" customHeight="1">
      <x:c r="A27" s="94"/>
      <x:c r="B27" s="32"/>
      <x:c r="C27" s="32"/>
      <x:c r="D27" s="32"/>
      <x:c r="E27" s="92"/>
      <x:c r="F27" s="36"/>
      <x:c r="G27" s="36"/>
      <x:c r="H27" s="82"/>
      <x:c r="I27" s="36"/>
      <x:c r="J27" s="42" t="str">
        <x:f>IF($A27="","",IF(OR($AA27="Test",$AA27="Spam",$AA27="Duplicate",COUNTIF('Guide_Lists'!$AR$2:$AR$4,$A27)&gt;0),"ไม่นับผลธุรกิจ",IF($AA27&lt;&gt;"Real","ระบุประเภทข้อมูล",IF(OR($F27="Won",$F27="Lost",$F27="Unqualified"),"ปิดงานขาย",IF($H27="","ยังไม่นัด",IF(NOT(ISNUMBER($H27)),"ตรวจวันนัด",IF(INT($H27)&lt;'Guide_Lists'!$B$4,"เกินกำหนด",IF(INT($H27)='Guide_Lists'!$B$4,"ติดตามวันนี้","รอนัด"))))))))</x:f>
      </x:c>
      <x:c r="K27" s="32"/>
      <x:c r="L27" s="94"/>
      <x:c r="M27" s="94"/>
      <x:c r="N27" s="94"/>
      <x:c r="O27" s="36"/>
      <x:c r="P27" s="36"/>
      <x:c r="Q27" s="36"/>
      <x:c r="R27" s="36"/>
      <x:c r="S27" s="82"/>
      <x:c r="T27" s="82"/>
      <x:c r="U27" s="82"/>
      <x:c r="V27" s="82"/>
      <x:c r="W27" s="82"/>
      <x:c r="X27" s="36"/>
      <x:c r="Y27" s="36"/>
      <x:c r="Z27" s="36"/>
      <x:c r="AA27" s="36"/>
      <x:c r="AB27" s="96"/>
      <x:c r="AC27" s="82"/>
      <x:c r="AD27" s="36"/>
      <x:c r="AE27" s="94"/>
      <x:c r="AF27" s="86"/>
      <x:c r="AG27" s="32"/>
      <x:c r="AH27" s="32"/>
      <x:c r="AI27" s="32"/>
      <x:c r="AJ27" s="88"/>
      <x:c r="AK27" s="32"/>
      <x:c r="AL27" s="32"/>
      <x:c r="AM27" s="32"/>
      <x:c r="AN27" s="32"/>
      <x:c r="AO27" s="32"/>
      <x:c r="AP27" s="32"/>
      <x:c r="AQ27" s="94"/>
      <x:c r="AR27" s="32"/>
      <x:c r="AS27" s="32"/>
      <x:c r="AT27" s="32"/>
      <x:c r="AU27" s="86"/>
      <x:c r="AV27" s="90" t="str">
        <x:f>IF($A27="","",IF(COUNTIFS('Quotations'!$L$8:$L$107,$AE27,'Quotations'!$O$8:$O$107,1)=0,"",MINIFS('Quotations'!$E$8:$E$107,'Quotations'!$L$8:$L$107,$AE27,'Quotations'!$O$8:$O$107,1)))</x:f>
      </x:c>
      <x:c r="AW27" s="90" t="str">
        <x:f>IF($A27="","",IF(COUNTIFS('Orders_PO'!$N$8:$N$107,$AE27,'Orders_PO'!$Q$8:$Q$107,1)=0,"",MINIFS('Orders_PO'!$E$8:$E$107,'Orders_PO'!$N$8:$N$107,$AE27,'Orders_PO'!$Q$8:$Q$107,1)))</x:f>
      </x:c>
      <x:c r="AX27" s="42" t="str">
        <x:f>IF($A27="","",COUNTIFS('Quotations'!$L$8:$L$107,$AE27,'Quotations'!$O$8:$O$107,1,'Quotations'!$I$8:$I$107,"Yes"))</x:f>
      </x:c>
      <x:c r="AY27" s="42" t="str">
        <x:f>IF($A27="","",COUNTIFS('Orders_PO'!$N$8:$N$107,$AE27,'Orders_PO'!$Q$8:$Q$107,1))</x:f>
      </x:c>
      <x:c r="AZ27" s="42" t="str">
        <x:f>IF($A27="","",IF((IF($AE27="","ขาด Lead ID; ","")&amp;IF(AND($AE27&lt;&gt;"",COUNTIF('Leads'!$AE$8:$AE$107,$AE27)&gt;1),"Lead ID ซ้ำ; ","")&amp;IF(COUNTIF('Leads'!$A$8:$A$107,$A27)&gt;1,"Reference ซ้ำ; ","")&amp;IF(COUNTIF('Guide_Lists'!$AR$2:$AR$4,$A27)&gt;0,"Known TEST — ห้ามนับผล; ","")&amp;IF(OR($B27="",$D27=""),"ขาดชื่อ/งาน; ","")&amp;IF(AND($L27="",$M27="",$N27=""),"ขาดช่องทางติดต่อ; ","")&amp;IF(OR($Z27="",$AA27="",$F27="",$G27="",$AT27=""),"ขาดผู้ดูแล/ประเภท/สถานะ/Environment; ","")&amp;IF(NOT(ISNUMBER($AF27)),"ขาดเวลารับ Lead; ","")&amp;IF(AND($AA27="Duplicate",$AB27=""),"ขาด duplicate_of; ","")&amp;IF(AND($G27="Qualified",OR($R27="",$U27="")),"Qualified ขาดเหตุผล/วันที่; ","")&amp;IF(AND($G27="Unqualified",$R27=""),"Unqualified ขาดเหตุผล; ","")&amp;IF(AND($F27="Qualified",$G27&lt;&gt;"Qualified"),"สถานะ/ผลคัดกรองไม่ตรง; ","")&amp;IF(AND($F27="Unqualified",$G27&lt;&gt;"Unqualified"),"สถานะ/ผลคัดกรองไม่ตรง; ","")&amp;IF(AND($F27="Contacting",$S27=""),"ขาดเวลาพยายามติดต่อ; ","")&amp;IF(AND($O27="Contactable",$T27=""),"ขาดเวลาติดต่อสำเร็จ; ","")&amp;IF(AND($F27="Quotation Sent",$AV27=""),"ยังไม่มีใบราคาที่ตรวจผ่าน; ","")&amp;IF(AND($F27="Won",$AY27=0),"Won ยังไม่มี PO ที่ตรวจผ่าน; ","")&amp;IF(AND($AY27&gt;0,$F27&lt;&gt;"Won"),"มี PO แล้ว—ตรวจสถานะ; ","")&amp;IF(AND($F27="Lost",OR($W27="",$X27="")),"Lost ขาดวัน/เหตุผล; ","")&amp;IF(AND($AA27="Real",NOT(OR($F27="Won",$F27="Lost",$F27="Unqualified")),OR($H27="",$I27="")),"ขาดนัด/งานถัดไป; ","")&amp;IF(OR($AC27="",$AD27=""),"ขาดเวลา/ผู้บันทึก; ","")&amp;IF(AND(ISNUMBER($S27),ISNUMBER($AF27),$S27&lt;$AF27),"ตรวจเวลา attempt ก่อนรับ Lead; ",""))="","ครบ",IF($AE27="","ขาด Lead ID; ","")&amp;IF(AND($AE27&lt;&gt;"",COUNTIF('Leads'!$AE$8:$AE$107,$AE27)&gt;1),"Lead ID ซ้ำ; ","")&amp;IF(COUNTIF('Leads'!$A$8:$A$107,$A27)&gt;1,"Reference ซ้ำ; ","")&amp;IF(COUNTIF('Guide_Lists'!$AR$2:$AR$4,$A27)&gt;0,"Known TEST — ห้ามนับผล; ","")&amp;IF(OR($B27="",$D27=""),"ขาดชื่อ/งาน; ","")&amp;IF(AND($L27="",$M27="",$N27=""),"ขาดช่องทางติดต่อ; ","")&amp;IF(OR($Z27="",$AA27="",$F27="",$G27="",$AT27=""),"ขาดผู้ดูแล/ประเภท/สถานะ/Environment; ","")&amp;IF(NOT(ISNUMBER($AF27)),"ขาดเวลารับ Lead; ","")&amp;IF(AND($AA27="Duplicate",$AB27=""),"ขาด duplicate_of; ","")&amp;IF(AND($G27="Qualified",OR($R27="",$U27="")),"Qualified ขาดเหตุผล/วันที่; ","")&amp;IF(AND($G27="Unqualified",$R27=""),"Unqualified ขาดเหตุผล; ","")&amp;IF(AND($F27="Qualified",$G27&lt;&gt;"Qualified"),"สถานะ/ผลคัดกรองไม่ตรง; ","")&amp;IF(AND($F27="Unqualified",$G27&lt;&gt;"Unqualified"),"สถานะ/ผลคัดกรองไม่ตรง; ","")&amp;IF(AND($F27="Contacting",$S27=""),"ขาดเวลาพยายามติดต่อ; ","")&amp;IF(AND($O27="Contactable",$T27=""),"ขาดเวลาติดต่อสำเร็จ; ","")&amp;IF(AND($F27="Quotation Sent",$AV27=""),"ยังไม่มีใบราคาที่ตรวจผ่าน; ","")&amp;IF(AND($F27="Won",$AY27=0),"Won ยังไม่มี PO ที่ตรวจผ่าน; ","")&amp;IF(AND($AY27&gt;0,$F27&lt;&gt;"Won"),"มี PO แล้ว—ตรวจสถานะ; ","")&amp;IF(AND($F27="Lost",OR($W27="",$X27="")),"Lost ขาดวัน/เหตุผล; ","")&amp;IF(AND($AA27="Real",NOT(OR($F27="Won",$F27="Lost",$F27="Unqualified")),OR($H27="",$I27="")),"ขาดนัด/งานถัดไป; ","")&amp;IF(OR($AC27="",$AD27=""),"ขาดเวลา/ผู้บันทึก; ","")&amp;IF(AND(ISNUMBER($S27),ISNUMBER($AF27),$S27&lt;$AF27),"ตรวจเวลา attempt ก่อนรับ Lead; ","")))</x:f>
      </x:c>
      <x:c r="BA27" s="42" t="str">
        <x:f>IF($A27="","",IF(AND($AE27&lt;&gt;"",$AA27="Real",$AT27="production",COUNTIF('Leads'!$AE$8:$AE$107,$AE27)=1,COUNTIF('Leads'!$A$8:$A$107,$A27)=1,COUNTIF('Guide_Lists'!$AR$2:$AR$4,$A27)=0),1,0))</x:f>
      </x:c>
    </x:row>
    <x:row r="28" ht="30" customHeight="1">
      <x:c r="A28" s="94"/>
      <x:c r="B28" s="32"/>
      <x:c r="C28" s="32"/>
      <x:c r="D28" s="32"/>
      <x:c r="E28" s="92"/>
      <x:c r="F28" s="36"/>
      <x:c r="G28" s="36"/>
      <x:c r="H28" s="82"/>
      <x:c r="I28" s="36"/>
      <x:c r="J28" s="42" t="str">
        <x:f>IF($A28="","",IF(OR($AA28="Test",$AA28="Spam",$AA28="Duplicate",COUNTIF('Guide_Lists'!$AR$2:$AR$4,$A28)&gt;0),"ไม่นับผลธุรกิจ",IF($AA28&lt;&gt;"Real","ระบุประเภทข้อมูล",IF(OR($F28="Won",$F28="Lost",$F28="Unqualified"),"ปิดงานขาย",IF($H28="","ยังไม่นัด",IF(NOT(ISNUMBER($H28)),"ตรวจวันนัด",IF(INT($H28)&lt;'Guide_Lists'!$B$4,"เกินกำหนด",IF(INT($H28)='Guide_Lists'!$B$4,"ติดตามวันนี้","รอนัด"))))))))</x:f>
      </x:c>
      <x:c r="K28" s="32"/>
      <x:c r="L28" s="94"/>
      <x:c r="M28" s="94"/>
      <x:c r="N28" s="94"/>
      <x:c r="O28" s="36"/>
      <x:c r="P28" s="36"/>
      <x:c r="Q28" s="36"/>
      <x:c r="R28" s="36"/>
      <x:c r="S28" s="82"/>
      <x:c r="T28" s="82"/>
      <x:c r="U28" s="82"/>
      <x:c r="V28" s="82"/>
      <x:c r="W28" s="82"/>
      <x:c r="X28" s="36"/>
      <x:c r="Y28" s="36"/>
      <x:c r="Z28" s="36"/>
      <x:c r="AA28" s="36"/>
      <x:c r="AB28" s="96"/>
      <x:c r="AC28" s="82"/>
      <x:c r="AD28" s="36"/>
      <x:c r="AE28" s="94"/>
      <x:c r="AF28" s="86"/>
      <x:c r="AG28" s="32"/>
      <x:c r="AH28" s="32"/>
      <x:c r="AI28" s="32"/>
      <x:c r="AJ28" s="88"/>
      <x:c r="AK28" s="32"/>
      <x:c r="AL28" s="32"/>
      <x:c r="AM28" s="32"/>
      <x:c r="AN28" s="32"/>
      <x:c r="AO28" s="32"/>
      <x:c r="AP28" s="32"/>
      <x:c r="AQ28" s="94"/>
      <x:c r="AR28" s="32"/>
      <x:c r="AS28" s="32"/>
      <x:c r="AT28" s="32"/>
      <x:c r="AU28" s="86"/>
      <x:c r="AV28" s="90" t="str">
        <x:f>IF($A28="","",IF(COUNTIFS('Quotations'!$L$8:$L$107,$AE28,'Quotations'!$O$8:$O$107,1)=0,"",MINIFS('Quotations'!$E$8:$E$107,'Quotations'!$L$8:$L$107,$AE28,'Quotations'!$O$8:$O$107,1)))</x:f>
      </x:c>
      <x:c r="AW28" s="90" t="str">
        <x:f>IF($A28="","",IF(COUNTIFS('Orders_PO'!$N$8:$N$107,$AE28,'Orders_PO'!$Q$8:$Q$107,1)=0,"",MINIFS('Orders_PO'!$E$8:$E$107,'Orders_PO'!$N$8:$N$107,$AE28,'Orders_PO'!$Q$8:$Q$107,1)))</x:f>
      </x:c>
      <x:c r="AX28" s="42" t="str">
        <x:f>IF($A28="","",COUNTIFS('Quotations'!$L$8:$L$107,$AE28,'Quotations'!$O$8:$O$107,1,'Quotations'!$I$8:$I$107,"Yes"))</x:f>
      </x:c>
      <x:c r="AY28" s="42" t="str">
        <x:f>IF($A28="","",COUNTIFS('Orders_PO'!$N$8:$N$107,$AE28,'Orders_PO'!$Q$8:$Q$107,1))</x:f>
      </x:c>
      <x:c r="AZ28" s="42" t="str">
        <x:f>IF($A28="","",IF((IF($AE28="","ขาด Lead ID; ","")&amp;IF(AND($AE28&lt;&gt;"",COUNTIF('Leads'!$AE$8:$AE$107,$AE28)&gt;1),"Lead ID ซ้ำ; ","")&amp;IF(COUNTIF('Leads'!$A$8:$A$107,$A28)&gt;1,"Reference ซ้ำ; ","")&amp;IF(COUNTIF('Guide_Lists'!$AR$2:$AR$4,$A28)&gt;0,"Known TEST — ห้ามนับผล; ","")&amp;IF(OR($B28="",$D28=""),"ขาดชื่อ/งาน; ","")&amp;IF(AND($L28="",$M28="",$N28=""),"ขาดช่องทางติดต่อ; ","")&amp;IF(OR($Z28="",$AA28="",$F28="",$G28="",$AT28=""),"ขาดผู้ดูแล/ประเภท/สถานะ/Environment; ","")&amp;IF(NOT(ISNUMBER($AF28)),"ขาดเวลารับ Lead; ","")&amp;IF(AND($AA28="Duplicate",$AB28=""),"ขาด duplicate_of; ","")&amp;IF(AND($G28="Qualified",OR($R28="",$U28="")),"Qualified ขาดเหตุผล/วันที่; ","")&amp;IF(AND($G28="Unqualified",$R28=""),"Unqualified ขาดเหตุผล; ","")&amp;IF(AND($F28="Qualified",$G28&lt;&gt;"Qualified"),"สถานะ/ผลคัดกรองไม่ตรง; ","")&amp;IF(AND($F28="Unqualified",$G28&lt;&gt;"Unqualified"),"สถานะ/ผลคัดกรองไม่ตรง; ","")&amp;IF(AND($F28="Contacting",$S28=""),"ขาดเวลาพยายามติดต่อ; ","")&amp;IF(AND($O28="Contactable",$T28=""),"ขาดเวลาติดต่อสำเร็จ; ","")&amp;IF(AND($F28="Quotation Sent",$AV28=""),"ยังไม่มีใบราคาที่ตรวจผ่าน; ","")&amp;IF(AND($F28="Won",$AY28=0),"Won ยังไม่มี PO ที่ตรวจผ่าน; ","")&amp;IF(AND($AY28&gt;0,$F28&lt;&gt;"Won"),"มี PO แล้ว—ตรวจสถานะ; ","")&amp;IF(AND($F28="Lost",OR($W28="",$X28="")),"Lost ขาดวัน/เหตุผล; ","")&amp;IF(AND($AA28="Real",NOT(OR($F28="Won",$F28="Lost",$F28="Unqualified")),OR($H28="",$I28="")),"ขาดนัด/งานถัดไป; ","")&amp;IF(OR($AC28="",$AD28=""),"ขาดเวลา/ผู้บันทึก; ","")&amp;IF(AND(ISNUMBER($S28),ISNUMBER($AF28),$S28&lt;$AF28),"ตรวจเวลา attempt ก่อนรับ Lead; ",""))="","ครบ",IF($AE28="","ขาด Lead ID; ","")&amp;IF(AND($AE28&lt;&gt;"",COUNTIF('Leads'!$AE$8:$AE$107,$AE28)&gt;1),"Lead ID ซ้ำ; ","")&amp;IF(COUNTIF('Leads'!$A$8:$A$107,$A28)&gt;1,"Reference ซ้ำ; ","")&amp;IF(COUNTIF('Guide_Lists'!$AR$2:$AR$4,$A28)&gt;0,"Known TEST — ห้ามนับผล; ","")&amp;IF(OR($B28="",$D28=""),"ขาดชื่อ/งาน; ","")&amp;IF(AND($L28="",$M28="",$N28=""),"ขาดช่องทางติดต่อ; ","")&amp;IF(OR($Z28="",$AA28="",$F28="",$G28="",$AT28=""),"ขาดผู้ดูแล/ประเภท/สถานะ/Environment; ","")&amp;IF(NOT(ISNUMBER($AF28)),"ขาดเวลารับ Lead; ","")&amp;IF(AND($AA28="Duplicate",$AB28=""),"ขาด duplicate_of; ","")&amp;IF(AND($G28="Qualified",OR($R28="",$U28="")),"Qualified ขาดเหตุผล/วันที่; ","")&amp;IF(AND($G28="Unqualified",$R28=""),"Unqualified ขาดเหตุผล; ","")&amp;IF(AND($F28="Qualified",$G28&lt;&gt;"Qualified"),"สถานะ/ผลคัดกรองไม่ตรง; ","")&amp;IF(AND($F28="Unqualified",$G28&lt;&gt;"Unqualified"),"สถานะ/ผลคัดกรองไม่ตรง; ","")&amp;IF(AND($F28="Contacting",$S28=""),"ขาดเวลาพยายามติดต่อ; ","")&amp;IF(AND($O28="Contactable",$T28=""),"ขาดเวลาติดต่อสำเร็จ; ","")&amp;IF(AND($F28="Quotation Sent",$AV28=""),"ยังไม่มีใบราคาที่ตรวจผ่าน; ","")&amp;IF(AND($F28="Won",$AY28=0),"Won ยังไม่มี PO ที่ตรวจผ่าน; ","")&amp;IF(AND($AY28&gt;0,$F28&lt;&gt;"Won"),"มี PO แล้ว—ตรวจสถานะ; ","")&amp;IF(AND($F28="Lost",OR($W28="",$X28="")),"Lost ขาดวัน/เหตุผล; ","")&amp;IF(AND($AA28="Real",NOT(OR($F28="Won",$F28="Lost",$F28="Unqualified")),OR($H28="",$I28="")),"ขาดนัด/งานถัดไป; ","")&amp;IF(OR($AC28="",$AD28=""),"ขาดเวลา/ผู้บันทึก; ","")&amp;IF(AND(ISNUMBER($S28),ISNUMBER($AF28),$S28&lt;$AF28),"ตรวจเวลา attempt ก่อนรับ Lead; ","")))</x:f>
      </x:c>
      <x:c r="BA28" s="42" t="str">
        <x:f>IF($A28="","",IF(AND($AE28&lt;&gt;"",$AA28="Real",$AT28="production",COUNTIF('Leads'!$AE$8:$AE$107,$AE28)=1,COUNTIF('Leads'!$A$8:$A$107,$A28)=1,COUNTIF('Guide_Lists'!$AR$2:$AR$4,$A28)=0),1,0))</x:f>
      </x:c>
    </x:row>
    <x:row r="29" ht="30" customHeight="1">
      <x:c r="A29" s="94"/>
      <x:c r="B29" s="32"/>
      <x:c r="C29" s="32"/>
      <x:c r="D29" s="32"/>
      <x:c r="E29" s="92"/>
      <x:c r="F29" s="36"/>
      <x:c r="G29" s="36"/>
      <x:c r="H29" s="82"/>
      <x:c r="I29" s="36"/>
      <x:c r="J29" s="42" t="str">
        <x:f>IF($A29="","",IF(OR($AA29="Test",$AA29="Spam",$AA29="Duplicate",COUNTIF('Guide_Lists'!$AR$2:$AR$4,$A29)&gt;0),"ไม่นับผลธุรกิจ",IF($AA29&lt;&gt;"Real","ระบุประเภทข้อมูล",IF(OR($F29="Won",$F29="Lost",$F29="Unqualified"),"ปิดงานขาย",IF($H29="","ยังไม่นัด",IF(NOT(ISNUMBER($H29)),"ตรวจวันนัด",IF(INT($H29)&lt;'Guide_Lists'!$B$4,"เกินกำหนด",IF(INT($H29)='Guide_Lists'!$B$4,"ติดตามวันนี้","รอนัด"))))))))</x:f>
      </x:c>
      <x:c r="K29" s="32"/>
      <x:c r="L29" s="94"/>
      <x:c r="M29" s="94"/>
      <x:c r="N29" s="94"/>
      <x:c r="O29" s="36"/>
      <x:c r="P29" s="36"/>
      <x:c r="Q29" s="36"/>
      <x:c r="R29" s="36"/>
      <x:c r="S29" s="82"/>
      <x:c r="T29" s="82"/>
      <x:c r="U29" s="82"/>
      <x:c r="V29" s="82"/>
      <x:c r="W29" s="82"/>
      <x:c r="X29" s="36"/>
      <x:c r="Y29" s="36"/>
      <x:c r="Z29" s="36"/>
      <x:c r="AA29" s="36"/>
      <x:c r="AB29" s="96"/>
      <x:c r="AC29" s="82"/>
      <x:c r="AD29" s="36"/>
      <x:c r="AE29" s="94"/>
      <x:c r="AF29" s="86"/>
      <x:c r="AG29" s="32"/>
      <x:c r="AH29" s="32"/>
      <x:c r="AI29" s="32"/>
      <x:c r="AJ29" s="88"/>
      <x:c r="AK29" s="32"/>
      <x:c r="AL29" s="32"/>
      <x:c r="AM29" s="32"/>
      <x:c r="AN29" s="32"/>
      <x:c r="AO29" s="32"/>
      <x:c r="AP29" s="32"/>
      <x:c r="AQ29" s="94"/>
      <x:c r="AR29" s="32"/>
      <x:c r="AS29" s="32"/>
      <x:c r="AT29" s="32"/>
      <x:c r="AU29" s="86"/>
      <x:c r="AV29" s="90" t="str">
        <x:f>IF($A29="","",IF(COUNTIFS('Quotations'!$L$8:$L$107,$AE29,'Quotations'!$O$8:$O$107,1)=0,"",MINIFS('Quotations'!$E$8:$E$107,'Quotations'!$L$8:$L$107,$AE29,'Quotations'!$O$8:$O$107,1)))</x:f>
      </x:c>
      <x:c r="AW29" s="90" t="str">
        <x:f>IF($A29="","",IF(COUNTIFS('Orders_PO'!$N$8:$N$107,$AE29,'Orders_PO'!$Q$8:$Q$107,1)=0,"",MINIFS('Orders_PO'!$E$8:$E$107,'Orders_PO'!$N$8:$N$107,$AE29,'Orders_PO'!$Q$8:$Q$107,1)))</x:f>
      </x:c>
      <x:c r="AX29" s="42" t="str">
        <x:f>IF($A29="","",COUNTIFS('Quotations'!$L$8:$L$107,$AE29,'Quotations'!$O$8:$O$107,1,'Quotations'!$I$8:$I$107,"Yes"))</x:f>
      </x:c>
      <x:c r="AY29" s="42" t="str">
        <x:f>IF($A29="","",COUNTIFS('Orders_PO'!$N$8:$N$107,$AE29,'Orders_PO'!$Q$8:$Q$107,1))</x:f>
      </x:c>
      <x:c r="AZ29" s="42" t="str">
        <x:f>IF($A29="","",IF((IF($AE29="","ขาด Lead ID; ","")&amp;IF(AND($AE29&lt;&gt;"",COUNTIF('Leads'!$AE$8:$AE$107,$AE29)&gt;1),"Lead ID ซ้ำ; ","")&amp;IF(COUNTIF('Leads'!$A$8:$A$107,$A29)&gt;1,"Reference ซ้ำ; ","")&amp;IF(COUNTIF('Guide_Lists'!$AR$2:$AR$4,$A29)&gt;0,"Known TEST — ห้ามนับผล; ","")&amp;IF(OR($B29="",$D29=""),"ขาดชื่อ/งาน; ","")&amp;IF(AND($L29="",$M29="",$N29=""),"ขาดช่องทางติดต่อ; ","")&amp;IF(OR($Z29="",$AA29="",$F29="",$G29="",$AT29=""),"ขาดผู้ดูแล/ประเภท/สถานะ/Environment; ","")&amp;IF(NOT(ISNUMBER($AF29)),"ขาดเวลารับ Lead; ","")&amp;IF(AND($AA29="Duplicate",$AB29=""),"ขาด duplicate_of; ","")&amp;IF(AND($G29="Qualified",OR($R29="",$U29="")),"Qualified ขาดเหตุผล/วันที่; ","")&amp;IF(AND($G29="Unqualified",$R29=""),"Unqualified ขาดเหตุผล; ","")&amp;IF(AND($F29="Qualified",$G29&lt;&gt;"Qualified"),"สถานะ/ผลคัดกรองไม่ตรง; ","")&amp;IF(AND($F29="Unqualified",$G29&lt;&gt;"Unqualified"),"สถานะ/ผลคัดกรองไม่ตรง; ","")&amp;IF(AND($F29="Contacting",$S29=""),"ขาดเวลาพยายามติดต่อ; ","")&amp;IF(AND($O29="Contactable",$T29=""),"ขาดเวลาติดต่อสำเร็จ; ","")&amp;IF(AND($F29="Quotation Sent",$AV29=""),"ยังไม่มีใบราคาที่ตรวจผ่าน; ","")&amp;IF(AND($F29="Won",$AY29=0),"Won ยังไม่มี PO ที่ตรวจผ่าน; ","")&amp;IF(AND($AY29&gt;0,$F29&lt;&gt;"Won"),"มี PO แล้ว—ตรวจสถานะ; ","")&amp;IF(AND($F29="Lost",OR($W29="",$X29="")),"Lost ขาดวัน/เหตุผล; ","")&amp;IF(AND($AA29="Real",NOT(OR($F29="Won",$F29="Lost",$F29="Unqualified")),OR($H29="",$I29="")),"ขาดนัด/งานถัดไป; ","")&amp;IF(OR($AC29="",$AD29=""),"ขาดเวลา/ผู้บันทึก; ","")&amp;IF(AND(ISNUMBER($S29),ISNUMBER($AF29),$S29&lt;$AF29),"ตรวจเวลา attempt ก่อนรับ Lead; ",""))="","ครบ",IF($AE29="","ขาด Lead ID; ","")&amp;IF(AND($AE29&lt;&gt;"",COUNTIF('Leads'!$AE$8:$AE$107,$AE29)&gt;1),"Lead ID ซ้ำ; ","")&amp;IF(COUNTIF('Leads'!$A$8:$A$107,$A29)&gt;1,"Reference ซ้ำ; ","")&amp;IF(COUNTIF('Guide_Lists'!$AR$2:$AR$4,$A29)&gt;0,"Known TEST — ห้ามนับผล; ","")&amp;IF(OR($B29="",$D29=""),"ขาดชื่อ/งาน; ","")&amp;IF(AND($L29="",$M29="",$N29=""),"ขาดช่องทางติดต่อ; ","")&amp;IF(OR($Z29="",$AA29="",$F29="",$G29="",$AT29=""),"ขาดผู้ดูแล/ประเภท/สถานะ/Environment; ","")&amp;IF(NOT(ISNUMBER($AF29)),"ขาดเวลารับ Lead; ","")&amp;IF(AND($AA29="Duplicate",$AB29=""),"ขาด duplicate_of; ","")&amp;IF(AND($G29="Qualified",OR($R29="",$U29="")),"Qualified ขาดเหตุผล/วันที่; ","")&amp;IF(AND($G29="Unqualified",$R29=""),"Unqualified ขาดเหตุผล; ","")&amp;IF(AND($F29="Qualified",$G29&lt;&gt;"Qualified"),"สถานะ/ผลคัดกรองไม่ตรง; ","")&amp;IF(AND($F29="Unqualified",$G29&lt;&gt;"Unqualified"),"สถานะ/ผลคัดกรองไม่ตรง; ","")&amp;IF(AND($F29="Contacting",$S29=""),"ขาดเวลาพยายามติดต่อ; ","")&amp;IF(AND($O29="Contactable",$T29=""),"ขาดเวลาติดต่อสำเร็จ; ","")&amp;IF(AND($F29="Quotation Sent",$AV29=""),"ยังไม่มีใบราคาที่ตรวจผ่าน; ","")&amp;IF(AND($F29="Won",$AY29=0),"Won ยังไม่มี PO ที่ตรวจผ่าน; ","")&amp;IF(AND($AY29&gt;0,$F29&lt;&gt;"Won"),"มี PO แล้ว—ตรวจสถานะ; ","")&amp;IF(AND($F29="Lost",OR($W29="",$X29="")),"Lost ขาดวัน/เหตุผล; ","")&amp;IF(AND($AA29="Real",NOT(OR($F29="Won",$F29="Lost",$F29="Unqualified")),OR($H29="",$I29="")),"ขาดนัด/งานถัดไป; ","")&amp;IF(OR($AC29="",$AD29=""),"ขาดเวลา/ผู้บันทึก; ","")&amp;IF(AND(ISNUMBER($S29),ISNUMBER($AF29),$S29&lt;$AF29),"ตรวจเวลา attempt ก่อนรับ Lead; ","")))</x:f>
      </x:c>
      <x:c r="BA29" s="42" t="str">
        <x:f>IF($A29="","",IF(AND($AE29&lt;&gt;"",$AA29="Real",$AT29="production",COUNTIF('Leads'!$AE$8:$AE$107,$AE29)=1,COUNTIF('Leads'!$A$8:$A$107,$A29)=1,COUNTIF('Guide_Lists'!$AR$2:$AR$4,$A29)=0),1,0))</x:f>
      </x:c>
    </x:row>
    <x:row r="30" ht="30" customHeight="1">
      <x:c r="A30" s="94"/>
      <x:c r="B30" s="32"/>
      <x:c r="C30" s="32"/>
      <x:c r="D30" s="32"/>
      <x:c r="E30" s="92"/>
      <x:c r="F30" s="36"/>
      <x:c r="G30" s="36"/>
      <x:c r="H30" s="82"/>
      <x:c r="I30" s="36"/>
      <x:c r="J30" s="42" t="str">
        <x:f>IF($A30="","",IF(OR($AA30="Test",$AA30="Spam",$AA30="Duplicate",COUNTIF('Guide_Lists'!$AR$2:$AR$4,$A30)&gt;0),"ไม่นับผลธุรกิจ",IF($AA30&lt;&gt;"Real","ระบุประเภทข้อมูล",IF(OR($F30="Won",$F30="Lost",$F30="Unqualified"),"ปิดงานขาย",IF($H30="","ยังไม่นัด",IF(NOT(ISNUMBER($H30)),"ตรวจวันนัด",IF(INT($H30)&lt;'Guide_Lists'!$B$4,"เกินกำหนด",IF(INT($H30)='Guide_Lists'!$B$4,"ติดตามวันนี้","รอนัด"))))))))</x:f>
      </x:c>
      <x:c r="K30" s="32"/>
      <x:c r="L30" s="94"/>
      <x:c r="M30" s="94"/>
      <x:c r="N30" s="94"/>
      <x:c r="O30" s="36"/>
      <x:c r="P30" s="36"/>
      <x:c r="Q30" s="36"/>
      <x:c r="R30" s="36"/>
      <x:c r="S30" s="82"/>
      <x:c r="T30" s="82"/>
      <x:c r="U30" s="82"/>
      <x:c r="V30" s="82"/>
      <x:c r="W30" s="82"/>
      <x:c r="X30" s="36"/>
      <x:c r="Y30" s="36"/>
      <x:c r="Z30" s="36"/>
      <x:c r="AA30" s="36"/>
      <x:c r="AB30" s="96"/>
      <x:c r="AC30" s="82"/>
      <x:c r="AD30" s="36"/>
      <x:c r="AE30" s="94"/>
      <x:c r="AF30" s="86"/>
      <x:c r="AG30" s="32"/>
      <x:c r="AH30" s="32"/>
      <x:c r="AI30" s="32"/>
      <x:c r="AJ30" s="88"/>
      <x:c r="AK30" s="32"/>
      <x:c r="AL30" s="32"/>
      <x:c r="AM30" s="32"/>
      <x:c r="AN30" s="32"/>
      <x:c r="AO30" s="32"/>
      <x:c r="AP30" s="32"/>
      <x:c r="AQ30" s="94"/>
      <x:c r="AR30" s="32"/>
      <x:c r="AS30" s="32"/>
      <x:c r="AT30" s="32"/>
      <x:c r="AU30" s="86"/>
      <x:c r="AV30" s="90" t="str">
        <x:f>IF($A30="","",IF(COUNTIFS('Quotations'!$L$8:$L$107,$AE30,'Quotations'!$O$8:$O$107,1)=0,"",MINIFS('Quotations'!$E$8:$E$107,'Quotations'!$L$8:$L$107,$AE30,'Quotations'!$O$8:$O$107,1)))</x:f>
      </x:c>
      <x:c r="AW30" s="90" t="str">
        <x:f>IF($A30="","",IF(COUNTIFS('Orders_PO'!$N$8:$N$107,$AE30,'Orders_PO'!$Q$8:$Q$107,1)=0,"",MINIFS('Orders_PO'!$E$8:$E$107,'Orders_PO'!$N$8:$N$107,$AE30,'Orders_PO'!$Q$8:$Q$107,1)))</x:f>
      </x:c>
      <x:c r="AX30" s="42" t="str">
        <x:f>IF($A30="","",COUNTIFS('Quotations'!$L$8:$L$107,$AE30,'Quotations'!$O$8:$O$107,1,'Quotations'!$I$8:$I$107,"Yes"))</x:f>
      </x:c>
      <x:c r="AY30" s="42" t="str">
        <x:f>IF($A30="","",COUNTIFS('Orders_PO'!$N$8:$N$107,$AE30,'Orders_PO'!$Q$8:$Q$107,1))</x:f>
      </x:c>
      <x:c r="AZ30" s="42" t="str">
        <x:f>IF($A30="","",IF((IF($AE30="","ขาด Lead ID; ","")&amp;IF(AND($AE30&lt;&gt;"",COUNTIF('Leads'!$AE$8:$AE$107,$AE30)&gt;1),"Lead ID ซ้ำ; ","")&amp;IF(COUNTIF('Leads'!$A$8:$A$107,$A30)&gt;1,"Reference ซ้ำ; ","")&amp;IF(COUNTIF('Guide_Lists'!$AR$2:$AR$4,$A30)&gt;0,"Known TEST — ห้ามนับผล; ","")&amp;IF(OR($B30="",$D30=""),"ขาดชื่อ/งาน; ","")&amp;IF(AND($L30="",$M30="",$N30=""),"ขาดช่องทางติดต่อ; ","")&amp;IF(OR($Z30="",$AA30="",$F30="",$G30="",$AT30=""),"ขาดผู้ดูแล/ประเภท/สถานะ/Environment; ","")&amp;IF(NOT(ISNUMBER($AF30)),"ขาดเวลารับ Lead; ","")&amp;IF(AND($AA30="Duplicate",$AB30=""),"ขาด duplicate_of; ","")&amp;IF(AND($G30="Qualified",OR($R30="",$U30="")),"Qualified ขาดเหตุผล/วันที่; ","")&amp;IF(AND($G30="Unqualified",$R30=""),"Unqualified ขาดเหตุผล; ","")&amp;IF(AND($F30="Qualified",$G30&lt;&gt;"Qualified"),"สถานะ/ผลคัดกรองไม่ตรง; ","")&amp;IF(AND($F30="Unqualified",$G30&lt;&gt;"Unqualified"),"สถานะ/ผลคัดกรองไม่ตรง; ","")&amp;IF(AND($F30="Contacting",$S30=""),"ขาดเวลาพยายามติดต่อ; ","")&amp;IF(AND($O30="Contactable",$T30=""),"ขาดเวลาติดต่อสำเร็จ; ","")&amp;IF(AND($F30="Quotation Sent",$AV30=""),"ยังไม่มีใบราคาที่ตรวจผ่าน; ","")&amp;IF(AND($F30="Won",$AY30=0),"Won ยังไม่มี PO ที่ตรวจผ่าน; ","")&amp;IF(AND($AY30&gt;0,$F30&lt;&gt;"Won"),"มี PO แล้ว—ตรวจสถานะ; ","")&amp;IF(AND($F30="Lost",OR($W30="",$X30="")),"Lost ขาดวัน/เหตุผล; ","")&amp;IF(AND($AA30="Real",NOT(OR($F30="Won",$F30="Lost",$F30="Unqualified")),OR($H30="",$I30="")),"ขาดนัด/งานถัดไป; ","")&amp;IF(OR($AC30="",$AD30=""),"ขาดเวลา/ผู้บันทึก; ","")&amp;IF(AND(ISNUMBER($S30),ISNUMBER($AF30),$S30&lt;$AF30),"ตรวจเวลา attempt ก่อนรับ Lead; ",""))="","ครบ",IF($AE30="","ขาด Lead ID; ","")&amp;IF(AND($AE30&lt;&gt;"",COUNTIF('Leads'!$AE$8:$AE$107,$AE30)&gt;1),"Lead ID ซ้ำ; ","")&amp;IF(COUNTIF('Leads'!$A$8:$A$107,$A30)&gt;1,"Reference ซ้ำ; ","")&amp;IF(COUNTIF('Guide_Lists'!$AR$2:$AR$4,$A30)&gt;0,"Known TEST — ห้ามนับผล; ","")&amp;IF(OR($B30="",$D30=""),"ขาดชื่อ/งาน; ","")&amp;IF(AND($L30="",$M30="",$N30=""),"ขาดช่องทางติดต่อ; ","")&amp;IF(OR($Z30="",$AA30="",$F30="",$G30="",$AT30=""),"ขาดผู้ดูแล/ประเภท/สถานะ/Environment; ","")&amp;IF(NOT(ISNUMBER($AF30)),"ขาดเวลารับ Lead; ","")&amp;IF(AND($AA30="Duplicate",$AB30=""),"ขาด duplicate_of; ","")&amp;IF(AND($G30="Qualified",OR($R30="",$U30="")),"Qualified ขาดเหตุผล/วันที่; ","")&amp;IF(AND($G30="Unqualified",$R30=""),"Unqualified ขาดเหตุผล; ","")&amp;IF(AND($F30="Qualified",$G30&lt;&gt;"Qualified"),"สถานะ/ผลคัดกรองไม่ตรง; ","")&amp;IF(AND($F30="Unqualified",$G30&lt;&gt;"Unqualified"),"สถานะ/ผลคัดกรองไม่ตรง; ","")&amp;IF(AND($F30="Contacting",$S30=""),"ขาดเวลาพยายามติดต่อ; ","")&amp;IF(AND($O30="Contactable",$T30=""),"ขาดเวลาติดต่อสำเร็จ; ","")&amp;IF(AND($F30="Quotation Sent",$AV30=""),"ยังไม่มีใบราคาที่ตรวจผ่าน; ","")&amp;IF(AND($F30="Won",$AY30=0),"Won ยังไม่มี PO ที่ตรวจผ่าน; ","")&amp;IF(AND($AY30&gt;0,$F30&lt;&gt;"Won"),"มี PO แล้ว—ตรวจสถานะ; ","")&amp;IF(AND($F30="Lost",OR($W30="",$X30="")),"Lost ขาดวัน/เหตุผล; ","")&amp;IF(AND($AA30="Real",NOT(OR($F30="Won",$F30="Lost",$F30="Unqualified")),OR($H30="",$I30="")),"ขาดนัด/งานถัดไป; ","")&amp;IF(OR($AC30="",$AD30=""),"ขาดเวลา/ผู้บันทึก; ","")&amp;IF(AND(ISNUMBER($S30),ISNUMBER($AF30),$S30&lt;$AF30),"ตรวจเวลา attempt ก่อนรับ Lead; ","")))</x:f>
      </x:c>
      <x:c r="BA30" s="42" t="str">
        <x:f>IF($A30="","",IF(AND($AE30&lt;&gt;"",$AA30="Real",$AT30="production",COUNTIF('Leads'!$AE$8:$AE$107,$AE30)=1,COUNTIF('Leads'!$A$8:$A$107,$A30)=1,COUNTIF('Guide_Lists'!$AR$2:$AR$4,$A30)=0),1,0))</x:f>
      </x:c>
    </x:row>
    <x:row r="31" ht="30" customHeight="1">
      <x:c r="A31" s="94"/>
      <x:c r="B31" s="32"/>
      <x:c r="C31" s="32"/>
      <x:c r="D31" s="32"/>
      <x:c r="E31" s="92"/>
      <x:c r="F31" s="36"/>
      <x:c r="G31" s="36"/>
      <x:c r="H31" s="82"/>
      <x:c r="I31" s="36"/>
      <x:c r="J31" s="42" t="str">
        <x:f>IF($A31="","",IF(OR($AA31="Test",$AA31="Spam",$AA31="Duplicate",COUNTIF('Guide_Lists'!$AR$2:$AR$4,$A31)&gt;0),"ไม่นับผลธุรกิจ",IF($AA31&lt;&gt;"Real","ระบุประเภทข้อมูล",IF(OR($F31="Won",$F31="Lost",$F31="Unqualified"),"ปิดงานขาย",IF($H31="","ยังไม่นัด",IF(NOT(ISNUMBER($H31)),"ตรวจวันนัด",IF(INT($H31)&lt;'Guide_Lists'!$B$4,"เกินกำหนด",IF(INT($H31)='Guide_Lists'!$B$4,"ติดตามวันนี้","รอนัด"))))))))</x:f>
      </x:c>
      <x:c r="K31" s="32"/>
      <x:c r="L31" s="94"/>
      <x:c r="M31" s="94"/>
      <x:c r="N31" s="94"/>
      <x:c r="O31" s="36"/>
      <x:c r="P31" s="36"/>
      <x:c r="Q31" s="36"/>
      <x:c r="R31" s="36"/>
      <x:c r="S31" s="82"/>
      <x:c r="T31" s="82"/>
      <x:c r="U31" s="82"/>
      <x:c r="V31" s="82"/>
      <x:c r="W31" s="82"/>
      <x:c r="X31" s="36"/>
      <x:c r="Y31" s="36"/>
      <x:c r="Z31" s="36"/>
      <x:c r="AA31" s="36"/>
      <x:c r="AB31" s="96"/>
      <x:c r="AC31" s="82"/>
      <x:c r="AD31" s="36"/>
      <x:c r="AE31" s="94"/>
      <x:c r="AF31" s="86"/>
      <x:c r="AG31" s="32"/>
      <x:c r="AH31" s="32"/>
      <x:c r="AI31" s="32"/>
      <x:c r="AJ31" s="88"/>
      <x:c r="AK31" s="32"/>
      <x:c r="AL31" s="32"/>
      <x:c r="AM31" s="32"/>
      <x:c r="AN31" s="32"/>
      <x:c r="AO31" s="32"/>
      <x:c r="AP31" s="32"/>
      <x:c r="AQ31" s="94"/>
      <x:c r="AR31" s="32"/>
      <x:c r="AS31" s="32"/>
      <x:c r="AT31" s="32"/>
      <x:c r="AU31" s="86"/>
      <x:c r="AV31" s="90" t="str">
        <x:f>IF($A31="","",IF(COUNTIFS('Quotations'!$L$8:$L$107,$AE31,'Quotations'!$O$8:$O$107,1)=0,"",MINIFS('Quotations'!$E$8:$E$107,'Quotations'!$L$8:$L$107,$AE31,'Quotations'!$O$8:$O$107,1)))</x:f>
      </x:c>
      <x:c r="AW31" s="90" t="str">
        <x:f>IF($A31="","",IF(COUNTIFS('Orders_PO'!$N$8:$N$107,$AE31,'Orders_PO'!$Q$8:$Q$107,1)=0,"",MINIFS('Orders_PO'!$E$8:$E$107,'Orders_PO'!$N$8:$N$107,$AE31,'Orders_PO'!$Q$8:$Q$107,1)))</x:f>
      </x:c>
      <x:c r="AX31" s="42" t="str">
        <x:f>IF($A31="","",COUNTIFS('Quotations'!$L$8:$L$107,$AE31,'Quotations'!$O$8:$O$107,1,'Quotations'!$I$8:$I$107,"Yes"))</x:f>
      </x:c>
      <x:c r="AY31" s="42" t="str">
        <x:f>IF($A31="","",COUNTIFS('Orders_PO'!$N$8:$N$107,$AE31,'Orders_PO'!$Q$8:$Q$107,1))</x:f>
      </x:c>
      <x:c r="AZ31" s="42" t="str">
        <x:f>IF($A31="","",IF((IF($AE31="","ขาด Lead ID; ","")&amp;IF(AND($AE31&lt;&gt;"",COUNTIF('Leads'!$AE$8:$AE$107,$AE31)&gt;1),"Lead ID ซ้ำ; ","")&amp;IF(COUNTIF('Leads'!$A$8:$A$107,$A31)&gt;1,"Reference ซ้ำ; ","")&amp;IF(COUNTIF('Guide_Lists'!$AR$2:$AR$4,$A31)&gt;0,"Known TEST — ห้ามนับผล; ","")&amp;IF(OR($B31="",$D31=""),"ขาดชื่อ/งาน; ","")&amp;IF(AND($L31="",$M31="",$N31=""),"ขาดช่องทางติดต่อ; ","")&amp;IF(OR($Z31="",$AA31="",$F31="",$G31="",$AT31=""),"ขาดผู้ดูแล/ประเภท/สถานะ/Environment; ","")&amp;IF(NOT(ISNUMBER($AF31)),"ขาดเวลารับ Lead; ","")&amp;IF(AND($AA31="Duplicate",$AB31=""),"ขาด duplicate_of; ","")&amp;IF(AND($G31="Qualified",OR($R31="",$U31="")),"Qualified ขาดเหตุผล/วันที่; ","")&amp;IF(AND($G31="Unqualified",$R31=""),"Unqualified ขาดเหตุผล; ","")&amp;IF(AND($F31="Qualified",$G31&lt;&gt;"Qualified"),"สถานะ/ผลคัดกรองไม่ตรง; ","")&amp;IF(AND($F31="Unqualified",$G31&lt;&gt;"Unqualified"),"สถานะ/ผลคัดกรองไม่ตรง; ","")&amp;IF(AND($F31="Contacting",$S31=""),"ขาดเวลาพยายามติดต่อ; ","")&amp;IF(AND($O31="Contactable",$T31=""),"ขาดเวลาติดต่อสำเร็จ; ","")&amp;IF(AND($F31="Quotation Sent",$AV31=""),"ยังไม่มีใบราคาที่ตรวจผ่าน; ","")&amp;IF(AND($F31="Won",$AY31=0),"Won ยังไม่มี PO ที่ตรวจผ่าน; ","")&amp;IF(AND($AY31&gt;0,$F31&lt;&gt;"Won"),"มี PO แล้ว—ตรวจสถานะ; ","")&amp;IF(AND($F31="Lost",OR($W31="",$X31="")),"Lost ขาดวัน/เหตุผล; ","")&amp;IF(AND($AA31="Real",NOT(OR($F31="Won",$F31="Lost",$F31="Unqualified")),OR($H31="",$I31="")),"ขาดนัด/งานถัดไป; ","")&amp;IF(OR($AC31="",$AD31=""),"ขาดเวลา/ผู้บันทึก; ","")&amp;IF(AND(ISNUMBER($S31),ISNUMBER($AF31),$S31&lt;$AF31),"ตรวจเวลา attempt ก่อนรับ Lead; ",""))="","ครบ",IF($AE31="","ขาด Lead ID; ","")&amp;IF(AND($AE31&lt;&gt;"",COUNTIF('Leads'!$AE$8:$AE$107,$AE31)&gt;1),"Lead ID ซ้ำ; ","")&amp;IF(COUNTIF('Leads'!$A$8:$A$107,$A31)&gt;1,"Reference ซ้ำ; ","")&amp;IF(COUNTIF('Guide_Lists'!$AR$2:$AR$4,$A31)&gt;0,"Known TEST — ห้ามนับผล; ","")&amp;IF(OR($B31="",$D31=""),"ขาดชื่อ/งาน; ","")&amp;IF(AND($L31="",$M31="",$N31=""),"ขาดช่องทางติดต่อ; ","")&amp;IF(OR($Z31="",$AA31="",$F31="",$G31="",$AT31=""),"ขาดผู้ดูแล/ประเภท/สถานะ/Environment; ","")&amp;IF(NOT(ISNUMBER($AF31)),"ขาดเวลารับ Lead; ","")&amp;IF(AND($AA31="Duplicate",$AB31=""),"ขาด duplicate_of; ","")&amp;IF(AND($G31="Qualified",OR($R31="",$U31="")),"Qualified ขาดเหตุผล/วันที่; ","")&amp;IF(AND($G31="Unqualified",$R31=""),"Unqualified ขาดเหตุผล; ","")&amp;IF(AND($F31="Qualified",$G31&lt;&gt;"Qualified"),"สถานะ/ผลคัดกรองไม่ตรง; ","")&amp;IF(AND($F31="Unqualified",$G31&lt;&gt;"Unqualified"),"สถานะ/ผลคัดกรองไม่ตรง; ","")&amp;IF(AND($F31="Contacting",$S31=""),"ขาดเวลาพยายามติดต่อ; ","")&amp;IF(AND($O31="Contactable",$T31=""),"ขาดเวลาติดต่อสำเร็จ; ","")&amp;IF(AND($F31="Quotation Sent",$AV31=""),"ยังไม่มีใบราคาที่ตรวจผ่าน; ","")&amp;IF(AND($F31="Won",$AY31=0),"Won ยังไม่มี PO ที่ตรวจผ่าน; ","")&amp;IF(AND($AY31&gt;0,$F31&lt;&gt;"Won"),"มี PO แล้ว—ตรวจสถานะ; ","")&amp;IF(AND($F31="Lost",OR($W31="",$X31="")),"Lost ขาดวัน/เหตุผล; ","")&amp;IF(AND($AA31="Real",NOT(OR($F31="Won",$F31="Lost",$F31="Unqualified")),OR($H31="",$I31="")),"ขาดนัด/งานถัดไป; ","")&amp;IF(OR($AC31="",$AD31=""),"ขาดเวลา/ผู้บันทึก; ","")&amp;IF(AND(ISNUMBER($S31),ISNUMBER($AF31),$S31&lt;$AF31),"ตรวจเวลา attempt ก่อนรับ Lead; ","")))</x:f>
      </x:c>
      <x:c r="BA31" s="42" t="str">
        <x:f>IF($A31="","",IF(AND($AE31&lt;&gt;"",$AA31="Real",$AT31="production",COUNTIF('Leads'!$AE$8:$AE$107,$AE31)=1,COUNTIF('Leads'!$A$8:$A$107,$A31)=1,COUNTIF('Guide_Lists'!$AR$2:$AR$4,$A31)=0),1,0))</x:f>
      </x:c>
    </x:row>
    <x:row r="32" ht="30" customHeight="1">
      <x:c r="A32" s="94"/>
      <x:c r="B32" s="32"/>
      <x:c r="C32" s="32"/>
      <x:c r="D32" s="32"/>
      <x:c r="E32" s="92"/>
      <x:c r="F32" s="36"/>
      <x:c r="G32" s="36"/>
      <x:c r="H32" s="82"/>
      <x:c r="I32" s="36"/>
      <x:c r="J32" s="42" t="str">
        <x:f>IF($A32="","",IF(OR($AA32="Test",$AA32="Spam",$AA32="Duplicate",COUNTIF('Guide_Lists'!$AR$2:$AR$4,$A32)&gt;0),"ไม่นับผลธุรกิจ",IF($AA32&lt;&gt;"Real","ระบุประเภทข้อมูล",IF(OR($F32="Won",$F32="Lost",$F32="Unqualified"),"ปิดงานขาย",IF($H32="","ยังไม่นัด",IF(NOT(ISNUMBER($H32)),"ตรวจวันนัด",IF(INT($H32)&lt;'Guide_Lists'!$B$4,"เกินกำหนด",IF(INT($H32)='Guide_Lists'!$B$4,"ติดตามวันนี้","รอนัด"))))))))</x:f>
      </x:c>
      <x:c r="K32" s="32"/>
      <x:c r="L32" s="94"/>
      <x:c r="M32" s="94"/>
      <x:c r="N32" s="94"/>
      <x:c r="O32" s="36"/>
      <x:c r="P32" s="36"/>
      <x:c r="Q32" s="36"/>
      <x:c r="R32" s="36"/>
      <x:c r="S32" s="82"/>
      <x:c r="T32" s="82"/>
      <x:c r="U32" s="82"/>
      <x:c r="V32" s="82"/>
      <x:c r="W32" s="82"/>
      <x:c r="X32" s="36"/>
      <x:c r="Y32" s="36"/>
      <x:c r="Z32" s="36"/>
      <x:c r="AA32" s="36"/>
      <x:c r="AB32" s="96"/>
      <x:c r="AC32" s="82"/>
      <x:c r="AD32" s="36"/>
      <x:c r="AE32" s="94"/>
      <x:c r="AF32" s="86"/>
      <x:c r="AG32" s="32"/>
      <x:c r="AH32" s="32"/>
      <x:c r="AI32" s="32"/>
      <x:c r="AJ32" s="88"/>
      <x:c r="AK32" s="32"/>
      <x:c r="AL32" s="32"/>
      <x:c r="AM32" s="32"/>
      <x:c r="AN32" s="32"/>
      <x:c r="AO32" s="32"/>
      <x:c r="AP32" s="32"/>
      <x:c r="AQ32" s="94"/>
      <x:c r="AR32" s="32"/>
      <x:c r="AS32" s="32"/>
      <x:c r="AT32" s="32"/>
      <x:c r="AU32" s="86"/>
      <x:c r="AV32" s="90" t="str">
        <x:f>IF($A32="","",IF(COUNTIFS('Quotations'!$L$8:$L$107,$AE32,'Quotations'!$O$8:$O$107,1)=0,"",MINIFS('Quotations'!$E$8:$E$107,'Quotations'!$L$8:$L$107,$AE32,'Quotations'!$O$8:$O$107,1)))</x:f>
      </x:c>
      <x:c r="AW32" s="90" t="str">
        <x:f>IF($A32="","",IF(COUNTIFS('Orders_PO'!$N$8:$N$107,$AE32,'Orders_PO'!$Q$8:$Q$107,1)=0,"",MINIFS('Orders_PO'!$E$8:$E$107,'Orders_PO'!$N$8:$N$107,$AE32,'Orders_PO'!$Q$8:$Q$107,1)))</x:f>
      </x:c>
      <x:c r="AX32" s="42" t="str">
        <x:f>IF($A32="","",COUNTIFS('Quotations'!$L$8:$L$107,$AE32,'Quotations'!$O$8:$O$107,1,'Quotations'!$I$8:$I$107,"Yes"))</x:f>
      </x:c>
      <x:c r="AY32" s="42" t="str">
        <x:f>IF($A32="","",COUNTIFS('Orders_PO'!$N$8:$N$107,$AE32,'Orders_PO'!$Q$8:$Q$107,1))</x:f>
      </x:c>
      <x:c r="AZ32" s="42" t="str">
        <x:f>IF($A32="","",IF((IF($AE32="","ขาด Lead ID; ","")&amp;IF(AND($AE32&lt;&gt;"",COUNTIF('Leads'!$AE$8:$AE$107,$AE32)&gt;1),"Lead ID ซ้ำ; ","")&amp;IF(COUNTIF('Leads'!$A$8:$A$107,$A32)&gt;1,"Reference ซ้ำ; ","")&amp;IF(COUNTIF('Guide_Lists'!$AR$2:$AR$4,$A32)&gt;0,"Known TEST — ห้ามนับผล; ","")&amp;IF(OR($B32="",$D32=""),"ขาดชื่อ/งาน; ","")&amp;IF(AND($L32="",$M32="",$N32=""),"ขาดช่องทางติดต่อ; ","")&amp;IF(OR($Z32="",$AA32="",$F32="",$G32="",$AT32=""),"ขาดผู้ดูแล/ประเภท/สถานะ/Environment; ","")&amp;IF(NOT(ISNUMBER($AF32)),"ขาดเวลารับ Lead; ","")&amp;IF(AND($AA32="Duplicate",$AB32=""),"ขาด duplicate_of; ","")&amp;IF(AND($G32="Qualified",OR($R32="",$U32="")),"Qualified ขาดเหตุผล/วันที่; ","")&amp;IF(AND($G32="Unqualified",$R32=""),"Unqualified ขาดเหตุผล; ","")&amp;IF(AND($F32="Qualified",$G32&lt;&gt;"Qualified"),"สถานะ/ผลคัดกรองไม่ตรง; ","")&amp;IF(AND($F32="Unqualified",$G32&lt;&gt;"Unqualified"),"สถานะ/ผลคัดกรองไม่ตรง; ","")&amp;IF(AND($F32="Contacting",$S32=""),"ขาดเวลาพยายามติดต่อ; ","")&amp;IF(AND($O32="Contactable",$T32=""),"ขาดเวลาติดต่อสำเร็จ; ","")&amp;IF(AND($F32="Quotation Sent",$AV32=""),"ยังไม่มีใบราคาที่ตรวจผ่าน; ","")&amp;IF(AND($F32="Won",$AY32=0),"Won ยังไม่มี PO ที่ตรวจผ่าน; ","")&amp;IF(AND($AY32&gt;0,$F32&lt;&gt;"Won"),"มี PO แล้ว—ตรวจสถานะ; ","")&amp;IF(AND($F32="Lost",OR($W32="",$X32="")),"Lost ขาดวัน/เหตุผล; ","")&amp;IF(AND($AA32="Real",NOT(OR($F32="Won",$F32="Lost",$F32="Unqualified")),OR($H32="",$I32="")),"ขาดนัด/งานถัดไป; ","")&amp;IF(OR($AC32="",$AD32=""),"ขาดเวลา/ผู้บันทึก; ","")&amp;IF(AND(ISNUMBER($S32),ISNUMBER($AF32),$S32&lt;$AF32),"ตรวจเวลา attempt ก่อนรับ Lead; ",""))="","ครบ",IF($AE32="","ขาด Lead ID; ","")&amp;IF(AND($AE32&lt;&gt;"",COUNTIF('Leads'!$AE$8:$AE$107,$AE32)&gt;1),"Lead ID ซ้ำ; ","")&amp;IF(COUNTIF('Leads'!$A$8:$A$107,$A32)&gt;1,"Reference ซ้ำ; ","")&amp;IF(COUNTIF('Guide_Lists'!$AR$2:$AR$4,$A32)&gt;0,"Known TEST — ห้ามนับผล; ","")&amp;IF(OR($B32="",$D32=""),"ขาดชื่อ/งาน; ","")&amp;IF(AND($L32="",$M32="",$N32=""),"ขาดช่องทางติดต่อ; ","")&amp;IF(OR($Z32="",$AA32="",$F32="",$G32="",$AT32=""),"ขาดผู้ดูแล/ประเภท/สถานะ/Environment; ","")&amp;IF(NOT(ISNUMBER($AF32)),"ขาดเวลารับ Lead; ","")&amp;IF(AND($AA32="Duplicate",$AB32=""),"ขาด duplicate_of; ","")&amp;IF(AND($G32="Qualified",OR($R32="",$U32="")),"Qualified ขาดเหตุผล/วันที่; ","")&amp;IF(AND($G32="Unqualified",$R32=""),"Unqualified ขาดเหตุผล; ","")&amp;IF(AND($F32="Qualified",$G32&lt;&gt;"Qualified"),"สถานะ/ผลคัดกรองไม่ตรง; ","")&amp;IF(AND($F32="Unqualified",$G32&lt;&gt;"Unqualified"),"สถานะ/ผลคัดกรองไม่ตรง; ","")&amp;IF(AND($F32="Contacting",$S32=""),"ขาดเวลาพยายามติดต่อ; ","")&amp;IF(AND($O32="Contactable",$T32=""),"ขาดเวลาติดต่อสำเร็จ; ","")&amp;IF(AND($F32="Quotation Sent",$AV32=""),"ยังไม่มีใบราคาที่ตรวจผ่าน; ","")&amp;IF(AND($F32="Won",$AY32=0),"Won ยังไม่มี PO ที่ตรวจผ่าน; ","")&amp;IF(AND($AY32&gt;0,$F32&lt;&gt;"Won"),"มี PO แล้ว—ตรวจสถานะ; ","")&amp;IF(AND($F32="Lost",OR($W32="",$X32="")),"Lost ขาดวัน/เหตุผล; ","")&amp;IF(AND($AA32="Real",NOT(OR($F32="Won",$F32="Lost",$F32="Unqualified")),OR($H32="",$I32="")),"ขาดนัด/งานถัดไป; ","")&amp;IF(OR($AC32="",$AD32=""),"ขาดเวลา/ผู้บันทึก; ","")&amp;IF(AND(ISNUMBER($S32),ISNUMBER($AF32),$S32&lt;$AF32),"ตรวจเวลา attempt ก่อนรับ Lead; ","")))</x:f>
      </x:c>
      <x:c r="BA32" s="42" t="str">
        <x:f>IF($A32="","",IF(AND($AE32&lt;&gt;"",$AA32="Real",$AT32="production",COUNTIF('Leads'!$AE$8:$AE$107,$AE32)=1,COUNTIF('Leads'!$A$8:$A$107,$A32)=1,COUNTIF('Guide_Lists'!$AR$2:$AR$4,$A32)=0),1,0))</x:f>
      </x:c>
    </x:row>
    <x:row r="33" ht="30" customHeight="1">
      <x:c r="A33" s="94"/>
      <x:c r="B33" s="32"/>
      <x:c r="C33" s="32"/>
      <x:c r="D33" s="32"/>
      <x:c r="E33" s="92"/>
      <x:c r="F33" s="36"/>
      <x:c r="G33" s="36"/>
      <x:c r="H33" s="82"/>
      <x:c r="I33" s="36"/>
      <x:c r="J33" s="42" t="str">
        <x:f>IF($A33="","",IF(OR($AA33="Test",$AA33="Spam",$AA33="Duplicate",COUNTIF('Guide_Lists'!$AR$2:$AR$4,$A33)&gt;0),"ไม่นับผลธุรกิจ",IF($AA33&lt;&gt;"Real","ระบุประเภทข้อมูล",IF(OR($F33="Won",$F33="Lost",$F33="Unqualified"),"ปิดงานขาย",IF($H33="","ยังไม่นัด",IF(NOT(ISNUMBER($H33)),"ตรวจวันนัด",IF(INT($H33)&lt;'Guide_Lists'!$B$4,"เกินกำหนด",IF(INT($H33)='Guide_Lists'!$B$4,"ติดตามวันนี้","รอนัด"))))))))</x:f>
      </x:c>
      <x:c r="K33" s="32"/>
      <x:c r="L33" s="94"/>
      <x:c r="M33" s="94"/>
      <x:c r="N33" s="94"/>
      <x:c r="O33" s="36"/>
      <x:c r="P33" s="36"/>
      <x:c r="Q33" s="36"/>
      <x:c r="R33" s="36"/>
      <x:c r="S33" s="82"/>
      <x:c r="T33" s="82"/>
      <x:c r="U33" s="82"/>
      <x:c r="V33" s="82"/>
      <x:c r="W33" s="82"/>
      <x:c r="X33" s="36"/>
      <x:c r="Y33" s="36"/>
      <x:c r="Z33" s="36"/>
      <x:c r="AA33" s="36"/>
      <x:c r="AB33" s="96"/>
      <x:c r="AC33" s="82"/>
      <x:c r="AD33" s="36"/>
      <x:c r="AE33" s="94"/>
      <x:c r="AF33" s="86"/>
      <x:c r="AG33" s="32"/>
      <x:c r="AH33" s="32"/>
      <x:c r="AI33" s="32"/>
      <x:c r="AJ33" s="88"/>
      <x:c r="AK33" s="32"/>
      <x:c r="AL33" s="32"/>
      <x:c r="AM33" s="32"/>
      <x:c r="AN33" s="32"/>
      <x:c r="AO33" s="32"/>
      <x:c r="AP33" s="32"/>
      <x:c r="AQ33" s="94"/>
      <x:c r="AR33" s="32"/>
      <x:c r="AS33" s="32"/>
      <x:c r="AT33" s="32"/>
      <x:c r="AU33" s="86"/>
      <x:c r="AV33" s="90" t="str">
        <x:f>IF($A33="","",IF(COUNTIFS('Quotations'!$L$8:$L$107,$AE33,'Quotations'!$O$8:$O$107,1)=0,"",MINIFS('Quotations'!$E$8:$E$107,'Quotations'!$L$8:$L$107,$AE33,'Quotations'!$O$8:$O$107,1)))</x:f>
      </x:c>
      <x:c r="AW33" s="90" t="str">
        <x:f>IF($A33="","",IF(COUNTIFS('Orders_PO'!$N$8:$N$107,$AE33,'Orders_PO'!$Q$8:$Q$107,1)=0,"",MINIFS('Orders_PO'!$E$8:$E$107,'Orders_PO'!$N$8:$N$107,$AE33,'Orders_PO'!$Q$8:$Q$107,1)))</x:f>
      </x:c>
      <x:c r="AX33" s="42" t="str">
        <x:f>IF($A33="","",COUNTIFS('Quotations'!$L$8:$L$107,$AE33,'Quotations'!$O$8:$O$107,1,'Quotations'!$I$8:$I$107,"Yes"))</x:f>
      </x:c>
      <x:c r="AY33" s="42" t="str">
        <x:f>IF($A33="","",COUNTIFS('Orders_PO'!$N$8:$N$107,$AE33,'Orders_PO'!$Q$8:$Q$107,1))</x:f>
      </x:c>
      <x:c r="AZ33" s="42" t="str">
        <x:f>IF($A33="","",IF((IF($AE33="","ขาด Lead ID; ","")&amp;IF(AND($AE33&lt;&gt;"",COUNTIF('Leads'!$AE$8:$AE$107,$AE33)&gt;1),"Lead ID ซ้ำ; ","")&amp;IF(COUNTIF('Leads'!$A$8:$A$107,$A33)&gt;1,"Reference ซ้ำ; ","")&amp;IF(COUNTIF('Guide_Lists'!$AR$2:$AR$4,$A33)&gt;0,"Known TEST — ห้ามนับผล; ","")&amp;IF(OR($B33="",$D33=""),"ขาดชื่อ/งาน; ","")&amp;IF(AND($L33="",$M33="",$N33=""),"ขาดช่องทางติดต่อ; ","")&amp;IF(OR($Z33="",$AA33="",$F33="",$G33="",$AT33=""),"ขาดผู้ดูแล/ประเภท/สถานะ/Environment; ","")&amp;IF(NOT(ISNUMBER($AF33)),"ขาดเวลารับ Lead; ","")&amp;IF(AND($AA33="Duplicate",$AB33=""),"ขาด duplicate_of; ","")&amp;IF(AND($G33="Qualified",OR($R33="",$U33="")),"Qualified ขาดเหตุผล/วันที่; ","")&amp;IF(AND($G33="Unqualified",$R33=""),"Unqualified ขาดเหตุผล; ","")&amp;IF(AND($F33="Qualified",$G33&lt;&gt;"Qualified"),"สถานะ/ผลคัดกรองไม่ตรง; ","")&amp;IF(AND($F33="Unqualified",$G33&lt;&gt;"Unqualified"),"สถานะ/ผลคัดกรองไม่ตรง; ","")&amp;IF(AND($F33="Contacting",$S33=""),"ขาดเวลาพยายามติดต่อ; ","")&amp;IF(AND($O33="Contactable",$T33=""),"ขาดเวลาติดต่อสำเร็จ; ","")&amp;IF(AND($F33="Quotation Sent",$AV33=""),"ยังไม่มีใบราคาที่ตรวจผ่าน; ","")&amp;IF(AND($F33="Won",$AY33=0),"Won ยังไม่มี PO ที่ตรวจผ่าน; ","")&amp;IF(AND($AY33&gt;0,$F33&lt;&gt;"Won"),"มี PO แล้ว—ตรวจสถานะ; ","")&amp;IF(AND($F33="Lost",OR($W33="",$X33="")),"Lost ขาดวัน/เหตุผล; ","")&amp;IF(AND($AA33="Real",NOT(OR($F33="Won",$F33="Lost",$F33="Unqualified")),OR($H33="",$I33="")),"ขาดนัด/งานถัดไป; ","")&amp;IF(OR($AC33="",$AD33=""),"ขาดเวลา/ผู้บันทึก; ","")&amp;IF(AND(ISNUMBER($S33),ISNUMBER($AF33),$S33&lt;$AF33),"ตรวจเวลา attempt ก่อนรับ Lead; ",""))="","ครบ",IF($AE33="","ขาด Lead ID; ","")&amp;IF(AND($AE33&lt;&gt;"",COUNTIF('Leads'!$AE$8:$AE$107,$AE33)&gt;1),"Lead ID ซ้ำ; ","")&amp;IF(COUNTIF('Leads'!$A$8:$A$107,$A33)&gt;1,"Reference ซ้ำ; ","")&amp;IF(COUNTIF('Guide_Lists'!$AR$2:$AR$4,$A33)&gt;0,"Known TEST — ห้ามนับผล; ","")&amp;IF(OR($B33="",$D33=""),"ขาดชื่อ/งาน; ","")&amp;IF(AND($L33="",$M33="",$N33=""),"ขาดช่องทางติดต่อ; ","")&amp;IF(OR($Z33="",$AA33="",$F33="",$G33="",$AT33=""),"ขาดผู้ดูแล/ประเภท/สถานะ/Environment; ","")&amp;IF(NOT(ISNUMBER($AF33)),"ขาดเวลารับ Lead; ","")&amp;IF(AND($AA33="Duplicate",$AB33=""),"ขาด duplicate_of; ","")&amp;IF(AND($G33="Qualified",OR($R33="",$U33="")),"Qualified ขาดเหตุผล/วันที่; ","")&amp;IF(AND($G33="Unqualified",$R33=""),"Unqualified ขาดเหตุผล; ","")&amp;IF(AND($F33="Qualified",$G33&lt;&gt;"Qualified"),"สถานะ/ผลคัดกรองไม่ตรง; ","")&amp;IF(AND($F33="Unqualified",$G33&lt;&gt;"Unqualified"),"สถานะ/ผลคัดกรองไม่ตรง; ","")&amp;IF(AND($F33="Contacting",$S33=""),"ขาดเวลาพยายามติดต่อ; ","")&amp;IF(AND($O33="Contactable",$T33=""),"ขาดเวลาติดต่อสำเร็จ; ","")&amp;IF(AND($F33="Quotation Sent",$AV33=""),"ยังไม่มีใบราคาที่ตรวจผ่าน; ","")&amp;IF(AND($F33="Won",$AY33=0),"Won ยังไม่มี PO ที่ตรวจผ่าน; ","")&amp;IF(AND($AY33&gt;0,$F33&lt;&gt;"Won"),"มี PO แล้ว—ตรวจสถานะ; ","")&amp;IF(AND($F33="Lost",OR($W33="",$X33="")),"Lost ขาดวัน/เหตุผล; ","")&amp;IF(AND($AA33="Real",NOT(OR($F33="Won",$F33="Lost",$F33="Unqualified")),OR($H33="",$I33="")),"ขาดนัด/งานถัดไป; ","")&amp;IF(OR($AC33="",$AD33=""),"ขาดเวลา/ผู้บันทึก; ","")&amp;IF(AND(ISNUMBER($S33),ISNUMBER($AF33),$S33&lt;$AF33),"ตรวจเวลา attempt ก่อนรับ Lead; ","")))</x:f>
      </x:c>
      <x:c r="BA33" s="42" t="str">
        <x:f>IF($A33="","",IF(AND($AE33&lt;&gt;"",$AA33="Real",$AT33="production",COUNTIF('Leads'!$AE$8:$AE$107,$AE33)=1,COUNTIF('Leads'!$A$8:$A$107,$A33)=1,COUNTIF('Guide_Lists'!$AR$2:$AR$4,$A33)=0),1,0))</x:f>
      </x:c>
    </x:row>
    <x:row r="34" ht="30" customHeight="1">
      <x:c r="A34" s="94"/>
      <x:c r="B34" s="32"/>
      <x:c r="C34" s="32"/>
      <x:c r="D34" s="32"/>
      <x:c r="E34" s="92"/>
      <x:c r="F34" s="36"/>
      <x:c r="G34" s="36"/>
      <x:c r="H34" s="82"/>
      <x:c r="I34" s="36"/>
      <x:c r="J34" s="42" t="str">
        <x:f>IF($A34="","",IF(OR($AA34="Test",$AA34="Spam",$AA34="Duplicate",COUNTIF('Guide_Lists'!$AR$2:$AR$4,$A34)&gt;0),"ไม่นับผลธุรกิจ",IF($AA34&lt;&gt;"Real","ระบุประเภทข้อมูล",IF(OR($F34="Won",$F34="Lost",$F34="Unqualified"),"ปิดงานขาย",IF($H34="","ยังไม่นัด",IF(NOT(ISNUMBER($H34)),"ตรวจวันนัด",IF(INT($H34)&lt;'Guide_Lists'!$B$4,"เกินกำหนด",IF(INT($H34)='Guide_Lists'!$B$4,"ติดตามวันนี้","รอนัด"))))))))</x:f>
      </x:c>
      <x:c r="K34" s="32"/>
      <x:c r="L34" s="94"/>
      <x:c r="M34" s="94"/>
      <x:c r="N34" s="94"/>
      <x:c r="O34" s="36"/>
      <x:c r="P34" s="36"/>
      <x:c r="Q34" s="36"/>
      <x:c r="R34" s="36"/>
      <x:c r="S34" s="82"/>
      <x:c r="T34" s="82"/>
      <x:c r="U34" s="82"/>
      <x:c r="V34" s="82"/>
      <x:c r="W34" s="82"/>
      <x:c r="X34" s="36"/>
      <x:c r="Y34" s="36"/>
      <x:c r="Z34" s="36"/>
      <x:c r="AA34" s="36"/>
      <x:c r="AB34" s="96"/>
      <x:c r="AC34" s="82"/>
      <x:c r="AD34" s="36"/>
      <x:c r="AE34" s="94"/>
      <x:c r="AF34" s="86"/>
      <x:c r="AG34" s="32"/>
      <x:c r="AH34" s="32"/>
      <x:c r="AI34" s="32"/>
      <x:c r="AJ34" s="88"/>
      <x:c r="AK34" s="32"/>
      <x:c r="AL34" s="32"/>
      <x:c r="AM34" s="32"/>
      <x:c r="AN34" s="32"/>
      <x:c r="AO34" s="32"/>
      <x:c r="AP34" s="32"/>
      <x:c r="AQ34" s="94"/>
      <x:c r="AR34" s="32"/>
      <x:c r="AS34" s="32"/>
      <x:c r="AT34" s="32"/>
      <x:c r="AU34" s="86"/>
      <x:c r="AV34" s="90" t="str">
        <x:f>IF($A34="","",IF(COUNTIFS('Quotations'!$L$8:$L$107,$AE34,'Quotations'!$O$8:$O$107,1)=0,"",MINIFS('Quotations'!$E$8:$E$107,'Quotations'!$L$8:$L$107,$AE34,'Quotations'!$O$8:$O$107,1)))</x:f>
      </x:c>
      <x:c r="AW34" s="90" t="str">
        <x:f>IF($A34="","",IF(COUNTIFS('Orders_PO'!$N$8:$N$107,$AE34,'Orders_PO'!$Q$8:$Q$107,1)=0,"",MINIFS('Orders_PO'!$E$8:$E$107,'Orders_PO'!$N$8:$N$107,$AE34,'Orders_PO'!$Q$8:$Q$107,1)))</x:f>
      </x:c>
      <x:c r="AX34" s="42" t="str">
        <x:f>IF($A34="","",COUNTIFS('Quotations'!$L$8:$L$107,$AE34,'Quotations'!$O$8:$O$107,1,'Quotations'!$I$8:$I$107,"Yes"))</x:f>
      </x:c>
      <x:c r="AY34" s="42" t="str">
        <x:f>IF($A34="","",COUNTIFS('Orders_PO'!$N$8:$N$107,$AE34,'Orders_PO'!$Q$8:$Q$107,1))</x:f>
      </x:c>
      <x:c r="AZ34" s="42" t="str">
        <x:f>IF($A34="","",IF((IF($AE34="","ขาด Lead ID; ","")&amp;IF(AND($AE34&lt;&gt;"",COUNTIF('Leads'!$AE$8:$AE$107,$AE34)&gt;1),"Lead ID ซ้ำ; ","")&amp;IF(COUNTIF('Leads'!$A$8:$A$107,$A34)&gt;1,"Reference ซ้ำ; ","")&amp;IF(COUNTIF('Guide_Lists'!$AR$2:$AR$4,$A34)&gt;0,"Known TEST — ห้ามนับผล; ","")&amp;IF(OR($B34="",$D34=""),"ขาดชื่อ/งาน; ","")&amp;IF(AND($L34="",$M34="",$N34=""),"ขาดช่องทางติดต่อ; ","")&amp;IF(OR($Z34="",$AA34="",$F34="",$G34="",$AT34=""),"ขาดผู้ดูแล/ประเภท/สถานะ/Environment; ","")&amp;IF(NOT(ISNUMBER($AF34)),"ขาดเวลารับ Lead; ","")&amp;IF(AND($AA34="Duplicate",$AB34=""),"ขาด duplicate_of; ","")&amp;IF(AND($G34="Qualified",OR($R34="",$U34="")),"Qualified ขาดเหตุผล/วันที่; ","")&amp;IF(AND($G34="Unqualified",$R34=""),"Unqualified ขาดเหตุผล; ","")&amp;IF(AND($F34="Qualified",$G34&lt;&gt;"Qualified"),"สถานะ/ผลคัดกรองไม่ตรง; ","")&amp;IF(AND($F34="Unqualified",$G34&lt;&gt;"Unqualified"),"สถานะ/ผลคัดกรองไม่ตรง; ","")&amp;IF(AND($F34="Contacting",$S34=""),"ขาดเวลาพยายามติดต่อ; ","")&amp;IF(AND($O34="Contactable",$T34=""),"ขาดเวลาติดต่อสำเร็จ; ","")&amp;IF(AND($F34="Quotation Sent",$AV34=""),"ยังไม่มีใบราคาที่ตรวจผ่าน; ","")&amp;IF(AND($F34="Won",$AY34=0),"Won ยังไม่มี PO ที่ตรวจผ่าน; ","")&amp;IF(AND($AY34&gt;0,$F34&lt;&gt;"Won"),"มี PO แล้ว—ตรวจสถานะ; ","")&amp;IF(AND($F34="Lost",OR($W34="",$X34="")),"Lost ขาดวัน/เหตุผล; ","")&amp;IF(AND($AA34="Real",NOT(OR($F34="Won",$F34="Lost",$F34="Unqualified")),OR($H34="",$I34="")),"ขาดนัด/งานถัดไป; ","")&amp;IF(OR($AC34="",$AD34=""),"ขาดเวลา/ผู้บันทึก; ","")&amp;IF(AND(ISNUMBER($S34),ISNUMBER($AF34),$S34&lt;$AF34),"ตรวจเวลา attempt ก่อนรับ Lead; ",""))="","ครบ",IF($AE34="","ขาด Lead ID; ","")&amp;IF(AND($AE34&lt;&gt;"",COUNTIF('Leads'!$AE$8:$AE$107,$AE34)&gt;1),"Lead ID ซ้ำ; ","")&amp;IF(COUNTIF('Leads'!$A$8:$A$107,$A34)&gt;1,"Reference ซ้ำ; ","")&amp;IF(COUNTIF('Guide_Lists'!$AR$2:$AR$4,$A34)&gt;0,"Known TEST — ห้ามนับผล; ","")&amp;IF(OR($B34="",$D34=""),"ขาดชื่อ/งาน; ","")&amp;IF(AND($L34="",$M34="",$N34=""),"ขาดช่องทางติดต่อ; ","")&amp;IF(OR($Z34="",$AA34="",$F34="",$G34="",$AT34=""),"ขาดผู้ดูแล/ประเภท/สถานะ/Environment; ","")&amp;IF(NOT(ISNUMBER($AF34)),"ขาดเวลารับ Lead; ","")&amp;IF(AND($AA34="Duplicate",$AB34=""),"ขาด duplicate_of; ","")&amp;IF(AND($G34="Qualified",OR($R34="",$U34="")),"Qualified ขาดเหตุผล/วันที่; ","")&amp;IF(AND($G34="Unqualified",$R34=""),"Unqualified ขาดเหตุผล; ","")&amp;IF(AND($F34="Qualified",$G34&lt;&gt;"Qualified"),"สถานะ/ผลคัดกรองไม่ตรง; ","")&amp;IF(AND($F34="Unqualified",$G34&lt;&gt;"Unqualified"),"สถานะ/ผลคัดกรองไม่ตรง; ","")&amp;IF(AND($F34="Contacting",$S34=""),"ขาดเวลาพยายามติดต่อ; ","")&amp;IF(AND($O34="Contactable",$T34=""),"ขาดเวลาติดต่อสำเร็จ; ","")&amp;IF(AND($F34="Quotation Sent",$AV34=""),"ยังไม่มีใบราคาที่ตรวจผ่าน; ","")&amp;IF(AND($F34="Won",$AY34=0),"Won ยังไม่มี PO ที่ตรวจผ่าน; ","")&amp;IF(AND($AY34&gt;0,$F34&lt;&gt;"Won"),"มี PO แล้ว—ตรวจสถานะ; ","")&amp;IF(AND($F34="Lost",OR($W34="",$X34="")),"Lost ขาดวัน/เหตุผล; ","")&amp;IF(AND($AA34="Real",NOT(OR($F34="Won",$F34="Lost",$F34="Unqualified")),OR($H34="",$I34="")),"ขาดนัด/งานถัดไป; ","")&amp;IF(OR($AC34="",$AD34=""),"ขาดเวลา/ผู้บันทึก; ","")&amp;IF(AND(ISNUMBER($S34),ISNUMBER($AF34),$S34&lt;$AF34),"ตรวจเวลา attempt ก่อนรับ Lead; ","")))</x:f>
      </x:c>
      <x:c r="BA34" s="42" t="str">
        <x:f>IF($A34="","",IF(AND($AE34&lt;&gt;"",$AA34="Real",$AT34="production",COUNTIF('Leads'!$AE$8:$AE$107,$AE34)=1,COUNTIF('Leads'!$A$8:$A$107,$A34)=1,COUNTIF('Guide_Lists'!$AR$2:$AR$4,$A34)=0),1,0))</x:f>
      </x:c>
    </x:row>
    <x:row r="35" ht="30" customHeight="1">
      <x:c r="A35" s="94"/>
      <x:c r="B35" s="32"/>
      <x:c r="C35" s="32"/>
      <x:c r="D35" s="32"/>
      <x:c r="E35" s="92"/>
      <x:c r="F35" s="36"/>
      <x:c r="G35" s="36"/>
      <x:c r="H35" s="82"/>
      <x:c r="I35" s="36"/>
      <x:c r="J35" s="42" t="str">
        <x:f>IF($A35="","",IF(OR($AA35="Test",$AA35="Spam",$AA35="Duplicate",COUNTIF('Guide_Lists'!$AR$2:$AR$4,$A35)&gt;0),"ไม่นับผลธุรกิจ",IF($AA35&lt;&gt;"Real","ระบุประเภทข้อมูล",IF(OR($F35="Won",$F35="Lost",$F35="Unqualified"),"ปิดงานขาย",IF($H35="","ยังไม่นัด",IF(NOT(ISNUMBER($H35)),"ตรวจวันนัด",IF(INT($H35)&lt;'Guide_Lists'!$B$4,"เกินกำหนด",IF(INT($H35)='Guide_Lists'!$B$4,"ติดตามวันนี้","รอนัด"))))))))</x:f>
      </x:c>
      <x:c r="K35" s="32"/>
      <x:c r="L35" s="94"/>
      <x:c r="M35" s="94"/>
      <x:c r="N35" s="94"/>
      <x:c r="O35" s="36"/>
      <x:c r="P35" s="36"/>
      <x:c r="Q35" s="36"/>
      <x:c r="R35" s="36"/>
      <x:c r="S35" s="82"/>
      <x:c r="T35" s="82"/>
      <x:c r="U35" s="82"/>
      <x:c r="V35" s="82"/>
      <x:c r="W35" s="82"/>
      <x:c r="X35" s="36"/>
      <x:c r="Y35" s="36"/>
      <x:c r="Z35" s="36"/>
      <x:c r="AA35" s="36"/>
      <x:c r="AB35" s="96"/>
      <x:c r="AC35" s="82"/>
      <x:c r="AD35" s="36"/>
      <x:c r="AE35" s="94"/>
      <x:c r="AF35" s="86"/>
      <x:c r="AG35" s="32"/>
      <x:c r="AH35" s="32"/>
      <x:c r="AI35" s="32"/>
      <x:c r="AJ35" s="88"/>
      <x:c r="AK35" s="32"/>
      <x:c r="AL35" s="32"/>
      <x:c r="AM35" s="32"/>
      <x:c r="AN35" s="32"/>
      <x:c r="AO35" s="32"/>
      <x:c r="AP35" s="32"/>
      <x:c r="AQ35" s="94"/>
      <x:c r="AR35" s="32"/>
      <x:c r="AS35" s="32"/>
      <x:c r="AT35" s="32"/>
      <x:c r="AU35" s="86"/>
      <x:c r="AV35" s="90" t="str">
        <x:f>IF($A35="","",IF(COUNTIFS('Quotations'!$L$8:$L$107,$AE35,'Quotations'!$O$8:$O$107,1)=0,"",MINIFS('Quotations'!$E$8:$E$107,'Quotations'!$L$8:$L$107,$AE35,'Quotations'!$O$8:$O$107,1)))</x:f>
      </x:c>
      <x:c r="AW35" s="90" t="str">
        <x:f>IF($A35="","",IF(COUNTIFS('Orders_PO'!$N$8:$N$107,$AE35,'Orders_PO'!$Q$8:$Q$107,1)=0,"",MINIFS('Orders_PO'!$E$8:$E$107,'Orders_PO'!$N$8:$N$107,$AE35,'Orders_PO'!$Q$8:$Q$107,1)))</x:f>
      </x:c>
      <x:c r="AX35" s="42" t="str">
        <x:f>IF($A35="","",COUNTIFS('Quotations'!$L$8:$L$107,$AE35,'Quotations'!$O$8:$O$107,1,'Quotations'!$I$8:$I$107,"Yes"))</x:f>
      </x:c>
      <x:c r="AY35" s="42" t="str">
        <x:f>IF($A35="","",COUNTIFS('Orders_PO'!$N$8:$N$107,$AE35,'Orders_PO'!$Q$8:$Q$107,1))</x:f>
      </x:c>
      <x:c r="AZ35" s="42" t="str">
        <x:f>IF($A35="","",IF((IF($AE35="","ขาด Lead ID; ","")&amp;IF(AND($AE35&lt;&gt;"",COUNTIF('Leads'!$AE$8:$AE$107,$AE35)&gt;1),"Lead ID ซ้ำ; ","")&amp;IF(COUNTIF('Leads'!$A$8:$A$107,$A35)&gt;1,"Reference ซ้ำ; ","")&amp;IF(COUNTIF('Guide_Lists'!$AR$2:$AR$4,$A35)&gt;0,"Known TEST — ห้ามนับผล; ","")&amp;IF(OR($B35="",$D35=""),"ขาดชื่อ/งาน; ","")&amp;IF(AND($L35="",$M35="",$N35=""),"ขาดช่องทางติดต่อ; ","")&amp;IF(OR($Z35="",$AA35="",$F35="",$G35="",$AT35=""),"ขาดผู้ดูแล/ประเภท/สถานะ/Environment; ","")&amp;IF(NOT(ISNUMBER($AF35)),"ขาดเวลารับ Lead; ","")&amp;IF(AND($AA35="Duplicate",$AB35=""),"ขาด duplicate_of; ","")&amp;IF(AND($G35="Qualified",OR($R35="",$U35="")),"Qualified ขาดเหตุผล/วันที่; ","")&amp;IF(AND($G35="Unqualified",$R35=""),"Unqualified ขาดเหตุผล; ","")&amp;IF(AND($F35="Qualified",$G35&lt;&gt;"Qualified"),"สถานะ/ผลคัดกรองไม่ตรง; ","")&amp;IF(AND($F35="Unqualified",$G35&lt;&gt;"Unqualified"),"สถานะ/ผลคัดกรองไม่ตรง; ","")&amp;IF(AND($F35="Contacting",$S35=""),"ขาดเวลาพยายามติดต่อ; ","")&amp;IF(AND($O35="Contactable",$T35=""),"ขาดเวลาติดต่อสำเร็จ; ","")&amp;IF(AND($F35="Quotation Sent",$AV35=""),"ยังไม่มีใบราคาที่ตรวจผ่าน; ","")&amp;IF(AND($F35="Won",$AY35=0),"Won ยังไม่มี PO ที่ตรวจผ่าน; ","")&amp;IF(AND($AY35&gt;0,$F35&lt;&gt;"Won"),"มี PO แล้ว—ตรวจสถานะ; ","")&amp;IF(AND($F35="Lost",OR($W35="",$X35="")),"Lost ขาดวัน/เหตุผล; ","")&amp;IF(AND($AA35="Real",NOT(OR($F35="Won",$F35="Lost",$F35="Unqualified")),OR($H35="",$I35="")),"ขาดนัด/งานถัดไป; ","")&amp;IF(OR($AC35="",$AD35=""),"ขาดเวลา/ผู้บันทึก; ","")&amp;IF(AND(ISNUMBER($S35),ISNUMBER($AF35),$S35&lt;$AF35),"ตรวจเวลา attempt ก่อนรับ Lead; ",""))="","ครบ",IF($AE35="","ขาด Lead ID; ","")&amp;IF(AND($AE35&lt;&gt;"",COUNTIF('Leads'!$AE$8:$AE$107,$AE35)&gt;1),"Lead ID ซ้ำ; ","")&amp;IF(COUNTIF('Leads'!$A$8:$A$107,$A35)&gt;1,"Reference ซ้ำ; ","")&amp;IF(COUNTIF('Guide_Lists'!$AR$2:$AR$4,$A35)&gt;0,"Known TEST — ห้ามนับผล; ","")&amp;IF(OR($B35="",$D35=""),"ขาดชื่อ/งาน; ","")&amp;IF(AND($L35="",$M35="",$N35=""),"ขาดช่องทางติดต่อ; ","")&amp;IF(OR($Z35="",$AA35="",$F35="",$G35="",$AT35=""),"ขาดผู้ดูแล/ประเภท/สถานะ/Environment; ","")&amp;IF(NOT(ISNUMBER($AF35)),"ขาดเวลารับ Lead; ","")&amp;IF(AND($AA35="Duplicate",$AB35=""),"ขาด duplicate_of; ","")&amp;IF(AND($G35="Qualified",OR($R35="",$U35="")),"Qualified ขาดเหตุผล/วันที่; ","")&amp;IF(AND($G35="Unqualified",$R35=""),"Unqualified ขาดเหตุผล; ","")&amp;IF(AND($F35="Qualified",$G35&lt;&gt;"Qualified"),"สถานะ/ผลคัดกรองไม่ตรง; ","")&amp;IF(AND($F35="Unqualified",$G35&lt;&gt;"Unqualified"),"สถานะ/ผลคัดกรองไม่ตรง; ","")&amp;IF(AND($F35="Contacting",$S35=""),"ขาดเวลาพยายามติดต่อ; ","")&amp;IF(AND($O35="Contactable",$T35=""),"ขาดเวลาติดต่อสำเร็จ; ","")&amp;IF(AND($F35="Quotation Sent",$AV35=""),"ยังไม่มีใบราคาที่ตรวจผ่าน; ","")&amp;IF(AND($F35="Won",$AY35=0),"Won ยังไม่มี PO ที่ตรวจผ่าน; ","")&amp;IF(AND($AY35&gt;0,$F35&lt;&gt;"Won"),"มี PO แล้ว—ตรวจสถานะ; ","")&amp;IF(AND($F35="Lost",OR($W35="",$X35="")),"Lost ขาดวัน/เหตุผล; ","")&amp;IF(AND($AA35="Real",NOT(OR($F35="Won",$F35="Lost",$F35="Unqualified")),OR($H35="",$I35="")),"ขาดนัด/งานถัดไป; ","")&amp;IF(OR($AC35="",$AD35=""),"ขาดเวลา/ผู้บันทึก; ","")&amp;IF(AND(ISNUMBER($S35),ISNUMBER($AF35),$S35&lt;$AF35),"ตรวจเวลา attempt ก่อนรับ Lead; ","")))</x:f>
      </x:c>
      <x:c r="BA35" s="42" t="str">
        <x:f>IF($A35="","",IF(AND($AE35&lt;&gt;"",$AA35="Real",$AT35="production",COUNTIF('Leads'!$AE$8:$AE$107,$AE35)=1,COUNTIF('Leads'!$A$8:$A$107,$A35)=1,COUNTIF('Guide_Lists'!$AR$2:$AR$4,$A35)=0),1,0))</x:f>
      </x:c>
    </x:row>
    <x:row r="36" ht="30" customHeight="1">
      <x:c r="A36" s="94"/>
      <x:c r="B36" s="32"/>
      <x:c r="C36" s="32"/>
      <x:c r="D36" s="32"/>
      <x:c r="E36" s="92"/>
      <x:c r="F36" s="36"/>
      <x:c r="G36" s="36"/>
      <x:c r="H36" s="82"/>
      <x:c r="I36" s="36"/>
      <x:c r="J36" s="42" t="str">
        <x:f>IF($A36="","",IF(OR($AA36="Test",$AA36="Spam",$AA36="Duplicate",COUNTIF('Guide_Lists'!$AR$2:$AR$4,$A36)&gt;0),"ไม่นับผลธุรกิจ",IF($AA36&lt;&gt;"Real","ระบุประเภทข้อมูล",IF(OR($F36="Won",$F36="Lost",$F36="Unqualified"),"ปิดงานขาย",IF($H36="","ยังไม่นัด",IF(NOT(ISNUMBER($H36)),"ตรวจวันนัด",IF(INT($H36)&lt;'Guide_Lists'!$B$4,"เกินกำหนด",IF(INT($H36)='Guide_Lists'!$B$4,"ติดตามวันนี้","รอนัด"))))))))</x:f>
      </x:c>
      <x:c r="K36" s="32"/>
      <x:c r="L36" s="94"/>
      <x:c r="M36" s="94"/>
      <x:c r="N36" s="94"/>
      <x:c r="O36" s="36"/>
      <x:c r="P36" s="36"/>
      <x:c r="Q36" s="36"/>
      <x:c r="R36" s="36"/>
      <x:c r="S36" s="82"/>
      <x:c r="T36" s="82"/>
      <x:c r="U36" s="82"/>
      <x:c r="V36" s="82"/>
      <x:c r="W36" s="82"/>
      <x:c r="X36" s="36"/>
      <x:c r="Y36" s="36"/>
      <x:c r="Z36" s="36"/>
      <x:c r="AA36" s="36"/>
      <x:c r="AB36" s="96"/>
      <x:c r="AC36" s="82"/>
      <x:c r="AD36" s="36"/>
      <x:c r="AE36" s="94"/>
      <x:c r="AF36" s="86"/>
      <x:c r="AG36" s="32"/>
      <x:c r="AH36" s="32"/>
      <x:c r="AI36" s="32"/>
      <x:c r="AJ36" s="88"/>
      <x:c r="AK36" s="32"/>
      <x:c r="AL36" s="32"/>
      <x:c r="AM36" s="32"/>
      <x:c r="AN36" s="32"/>
      <x:c r="AO36" s="32"/>
      <x:c r="AP36" s="32"/>
      <x:c r="AQ36" s="94"/>
      <x:c r="AR36" s="32"/>
      <x:c r="AS36" s="32"/>
      <x:c r="AT36" s="32"/>
      <x:c r="AU36" s="86"/>
      <x:c r="AV36" s="90" t="str">
        <x:f>IF($A36="","",IF(COUNTIFS('Quotations'!$L$8:$L$107,$AE36,'Quotations'!$O$8:$O$107,1)=0,"",MINIFS('Quotations'!$E$8:$E$107,'Quotations'!$L$8:$L$107,$AE36,'Quotations'!$O$8:$O$107,1)))</x:f>
      </x:c>
      <x:c r="AW36" s="90" t="str">
        <x:f>IF($A36="","",IF(COUNTIFS('Orders_PO'!$N$8:$N$107,$AE36,'Orders_PO'!$Q$8:$Q$107,1)=0,"",MINIFS('Orders_PO'!$E$8:$E$107,'Orders_PO'!$N$8:$N$107,$AE36,'Orders_PO'!$Q$8:$Q$107,1)))</x:f>
      </x:c>
      <x:c r="AX36" s="42" t="str">
        <x:f>IF($A36="","",COUNTIFS('Quotations'!$L$8:$L$107,$AE36,'Quotations'!$O$8:$O$107,1,'Quotations'!$I$8:$I$107,"Yes"))</x:f>
      </x:c>
      <x:c r="AY36" s="42" t="str">
        <x:f>IF($A36="","",COUNTIFS('Orders_PO'!$N$8:$N$107,$AE36,'Orders_PO'!$Q$8:$Q$107,1))</x:f>
      </x:c>
      <x:c r="AZ36" s="42" t="str">
        <x:f>IF($A36="","",IF((IF($AE36="","ขาด Lead ID; ","")&amp;IF(AND($AE36&lt;&gt;"",COUNTIF('Leads'!$AE$8:$AE$107,$AE36)&gt;1),"Lead ID ซ้ำ; ","")&amp;IF(COUNTIF('Leads'!$A$8:$A$107,$A36)&gt;1,"Reference ซ้ำ; ","")&amp;IF(COUNTIF('Guide_Lists'!$AR$2:$AR$4,$A36)&gt;0,"Known TEST — ห้ามนับผล; ","")&amp;IF(OR($B36="",$D36=""),"ขาดชื่อ/งาน; ","")&amp;IF(AND($L36="",$M36="",$N36=""),"ขาดช่องทางติดต่อ; ","")&amp;IF(OR($Z36="",$AA36="",$F36="",$G36="",$AT36=""),"ขาดผู้ดูแล/ประเภท/สถานะ/Environment; ","")&amp;IF(NOT(ISNUMBER($AF36)),"ขาดเวลารับ Lead; ","")&amp;IF(AND($AA36="Duplicate",$AB36=""),"ขาด duplicate_of; ","")&amp;IF(AND($G36="Qualified",OR($R36="",$U36="")),"Qualified ขาดเหตุผล/วันที่; ","")&amp;IF(AND($G36="Unqualified",$R36=""),"Unqualified ขาดเหตุผล; ","")&amp;IF(AND($F36="Qualified",$G36&lt;&gt;"Qualified"),"สถานะ/ผลคัดกรองไม่ตรง; ","")&amp;IF(AND($F36="Unqualified",$G36&lt;&gt;"Unqualified"),"สถานะ/ผลคัดกรองไม่ตรง; ","")&amp;IF(AND($F36="Contacting",$S36=""),"ขาดเวลาพยายามติดต่อ; ","")&amp;IF(AND($O36="Contactable",$T36=""),"ขาดเวลาติดต่อสำเร็จ; ","")&amp;IF(AND($F36="Quotation Sent",$AV36=""),"ยังไม่มีใบราคาที่ตรวจผ่าน; ","")&amp;IF(AND($F36="Won",$AY36=0),"Won ยังไม่มี PO ที่ตรวจผ่าน; ","")&amp;IF(AND($AY36&gt;0,$F36&lt;&gt;"Won"),"มี PO แล้ว—ตรวจสถานะ; ","")&amp;IF(AND($F36="Lost",OR($W36="",$X36="")),"Lost ขาดวัน/เหตุผล; ","")&amp;IF(AND($AA36="Real",NOT(OR($F36="Won",$F36="Lost",$F36="Unqualified")),OR($H36="",$I36="")),"ขาดนัด/งานถัดไป; ","")&amp;IF(OR($AC36="",$AD36=""),"ขาดเวลา/ผู้บันทึก; ","")&amp;IF(AND(ISNUMBER($S36),ISNUMBER($AF36),$S36&lt;$AF36),"ตรวจเวลา attempt ก่อนรับ Lead; ",""))="","ครบ",IF($AE36="","ขาด Lead ID; ","")&amp;IF(AND($AE36&lt;&gt;"",COUNTIF('Leads'!$AE$8:$AE$107,$AE36)&gt;1),"Lead ID ซ้ำ; ","")&amp;IF(COUNTIF('Leads'!$A$8:$A$107,$A36)&gt;1,"Reference ซ้ำ; ","")&amp;IF(COUNTIF('Guide_Lists'!$AR$2:$AR$4,$A36)&gt;0,"Known TEST — ห้ามนับผล; ","")&amp;IF(OR($B36="",$D36=""),"ขาดชื่อ/งาน; ","")&amp;IF(AND($L36="",$M36="",$N36=""),"ขาดช่องทางติดต่อ; ","")&amp;IF(OR($Z36="",$AA36="",$F36="",$G36="",$AT36=""),"ขาดผู้ดูแล/ประเภท/สถานะ/Environment; ","")&amp;IF(NOT(ISNUMBER($AF36)),"ขาดเวลารับ Lead; ","")&amp;IF(AND($AA36="Duplicate",$AB36=""),"ขาด duplicate_of; ","")&amp;IF(AND($G36="Qualified",OR($R36="",$U36="")),"Qualified ขาดเหตุผล/วันที่; ","")&amp;IF(AND($G36="Unqualified",$R36=""),"Unqualified ขาดเหตุผล; ","")&amp;IF(AND($F36="Qualified",$G36&lt;&gt;"Qualified"),"สถานะ/ผลคัดกรองไม่ตรง; ","")&amp;IF(AND($F36="Unqualified",$G36&lt;&gt;"Unqualified"),"สถานะ/ผลคัดกรองไม่ตรง; ","")&amp;IF(AND($F36="Contacting",$S36=""),"ขาดเวลาพยายามติดต่อ; ","")&amp;IF(AND($O36="Contactable",$T36=""),"ขาดเวลาติดต่อสำเร็จ; ","")&amp;IF(AND($F36="Quotation Sent",$AV36=""),"ยังไม่มีใบราคาที่ตรวจผ่าน; ","")&amp;IF(AND($F36="Won",$AY36=0),"Won ยังไม่มี PO ที่ตรวจผ่าน; ","")&amp;IF(AND($AY36&gt;0,$F36&lt;&gt;"Won"),"มี PO แล้ว—ตรวจสถานะ; ","")&amp;IF(AND($F36="Lost",OR($W36="",$X36="")),"Lost ขาดวัน/เหตุผล; ","")&amp;IF(AND($AA36="Real",NOT(OR($F36="Won",$F36="Lost",$F36="Unqualified")),OR($H36="",$I36="")),"ขาดนัด/งานถัดไป; ","")&amp;IF(OR($AC36="",$AD36=""),"ขาดเวลา/ผู้บันทึก; ","")&amp;IF(AND(ISNUMBER($S36),ISNUMBER($AF36),$S36&lt;$AF36),"ตรวจเวลา attempt ก่อนรับ Lead; ","")))</x:f>
      </x:c>
      <x:c r="BA36" s="42" t="str">
        <x:f>IF($A36="","",IF(AND($AE36&lt;&gt;"",$AA36="Real",$AT36="production",COUNTIF('Leads'!$AE$8:$AE$107,$AE36)=1,COUNTIF('Leads'!$A$8:$A$107,$A36)=1,COUNTIF('Guide_Lists'!$AR$2:$AR$4,$A36)=0),1,0))</x:f>
      </x:c>
    </x:row>
    <x:row r="37" ht="30" customHeight="1">
      <x:c r="A37" s="94"/>
      <x:c r="B37" s="32"/>
      <x:c r="C37" s="32"/>
      <x:c r="D37" s="32"/>
      <x:c r="E37" s="92"/>
      <x:c r="F37" s="36"/>
      <x:c r="G37" s="36"/>
      <x:c r="H37" s="82"/>
      <x:c r="I37" s="36"/>
      <x:c r="J37" s="42" t="str">
        <x:f>IF($A37="","",IF(OR($AA37="Test",$AA37="Spam",$AA37="Duplicate",COUNTIF('Guide_Lists'!$AR$2:$AR$4,$A37)&gt;0),"ไม่นับผลธุรกิจ",IF($AA37&lt;&gt;"Real","ระบุประเภทข้อมูล",IF(OR($F37="Won",$F37="Lost",$F37="Unqualified"),"ปิดงานขาย",IF($H37="","ยังไม่นัด",IF(NOT(ISNUMBER($H37)),"ตรวจวันนัด",IF(INT($H37)&lt;'Guide_Lists'!$B$4,"เกินกำหนด",IF(INT($H37)='Guide_Lists'!$B$4,"ติดตามวันนี้","รอนัด"))))))))</x:f>
      </x:c>
      <x:c r="K37" s="32"/>
      <x:c r="L37" s="94"/>
      <x:c r="M37" s="94"/>
      <x:c r="N37" s="94"/>
      <x:c r="O37" s="36"/>
      <x:c r="P37" s="36"/>
      <x:c r="Q37" s="36"/>
      <x:c r="R37" s="36"/>
      <x:c r="S37" s="82"/>
      <x:c r="T37" s="82"/>
      <x:c r="U37" s="82"/>
      <x:c r="V37" s="82"/>
      <x:c r="W37" s="82"/>
      <x:c r="X37" s="36"/>
      <x:c r="Y37" s="36"/>
      <x:c r="Z37" s="36"/>
      <x:c r="AA37" s="36"/>
      <x:c r="AB37" s="96"/>
      <x:c r="AC37" s="82"/>
      <x:c r="AD37" s="36"/>
      <x:c r="AE37" s="94"/>
      <x:c r="AF37" s="86"/>
      <x:c r="AG37" s="32"/>
      <x:c r="AH37" s="32"/>
      <x:c r="AI37" s="32"/>
      <x:c r="AJ37" s="88"/>
      <x:c r="AK37" s="32"/>
      <x:c r="AL37" s="32"/>
      <x:c r="AM37" s="32"/>
      <x:c r="AN37" s="32"/>
      <x:c r="AO37" s="32"/>
      <x:c r="AP37" s="32"/>
      <x:c r="AQ37" s="94"/>
      <x:c r="AR37" s="32"/>
      <x:c r="AS37" s="32"/>
      <x:c r="AT37" s="32"/>
      <x:c r="AU37" s="86"/>
      <x:c r="AV37" s="90" t="str">
        <x:f>IF($A37="","",IF(COUNTIFS('Quotations'!$L$8:$L$107,$AE37,'Quotations'!$O$8:$O$107,1)=0,"",MINIFS('Quotations'!$E$8:$E$107,'Quotations'!$L$8:$L$107,$AE37,'Quotations'!$O$8:$O$107,1)))</x:f>
      </x:c>
      <x:c r="AW37" s="90" t="str">
        <x:f>IF($A37="","",IF(COUNTIFS('Orders_PO'!$N$8:$N$107,$AE37,'Orders_PO'!$Q$8:$Q$107,1)=0,"",MINIFS('Orders_PO'!$E$8:$E$107,'Orders_PO'!$N$8:$N$107,$AE37,'Orders_PO'!$Q$8:$Q$107,1)))</x:f>
      </x:c>
      <x:c r="AX37" s="42" t="str">
        <x:f>IF($A37="","",COUNTIFS('Quotations'!$L$8:$L$107,$AE37,'Quotations'!$O$8:$O$107,1,'Quotations'!$I$8:$I$107,"Yes"))</x:f>
      </x:c>
      <x:c r="AY37" s="42" t="str">
        <x:f>IF($A37="","",COUNTIFS('Orders_PO'!$N$8:$N$107,$AE37,'Orders_PO'!$Q$8:$Q$107,1))</x:f>
      </x:c>
      <x:c r="AZ37" s="42" t="str">
        <x:f>IF($A37="","",IF((IF($AE37="","ขาด Lead ID; ","")&amp;IF(AND($AE37&lt;&gt;"",COUNTIF('Leads'!$AE$8:$AE$107,$AE37)&gt;1),"Lead ID ซ้ำ; ","")&amp;IF(COUNTIF('Leads'!$A$8:$A$107,$A37)&gt;1,"Reference ซ้ำ; ","")&amp;IF(COUNTIF('Guide_Lists'!$AR$2:$AR$4,$A37)&gt;0,"Known TEST — ห้ามนับผล; ","")&amp;IF(OR($B37="",$D37=""),"ขาดชื่อ/งาน; ","")&amp;IF(AND($L37="",$M37="",$N37=""),"ขาดช่องทางติดต่อ; ","")&amp;IF(OR($Z37="",$AA37="",$F37="",$G37="",$AT37=""),"ขาดผู้ดูแล/ประเภท/สถานะ/Environment; ","")&amp;IF(NOT(ISNUMBER($AF37)),"ขาดเวลารับ Lead; ","")&amp;IF(AND($AA37="Duplicate",$AB37=""),"ขาด duplicate_of; ","")&amp;IF(AND($G37="Qualified",OR($R37="",$U37="")),"Qualified ขาดเหตุผล/วันที่; ","")&amp;IF(AND($G37="Unqualified",$R37=""),"Unqualified ขาดเหตุผล; ","")&amp;IF(AND($F37="Qualified",$G37&lt;&gt;"Qualified"),"สถานะ/ผลคัดกรองไม่ตรง; ","")&amp;IF(AND($F37="Unqualified",$G37&lt;&gt;"Unqualified"),"สถานะ/ผลคัดกรองไม่ตรง; ","")&amp;IF(AND($F37="Contacting",$S37=""),"ขาดเวลาพยายามติดต่อ; ","")&amp;IF(AND($O37="Contactable",$T37=""),"ขาดเวลาติดต่อสำเร็จ; ","")&amp;IF(AND($F37="Quotation Sent",$AV37=""),"ยังไม่มีใบราคาที่ตรวจผ่าน; ","")&amp;IF(AND($F37="Won",$AY37=0),"Won ยังไม่มี PO ที่ตรวจผ่าน; ","")&amp;IF(AND($AY37&gt;0,$F37&lt;&gt;"Won"),"มี PO แล้ว—ตรวจสถานะ; ","")&amp;IF(AND($F37="Lost",OR($W37="",$X37="")),"Lost ขาดวัน/เหตุผล; ","")&amp;IF(AND($AA37="Real",NOT(OR($F37="Won",$F37="Lost",$F37="Unqualified")),OR($H37="",$I37="")),"ขาดนัด/งานถัดไป; ","")&amp;IF(OR($AC37="",$AD37=""),"ขาดเวลา/ผู้บันทึก; ","")&amp;IF(AND(ISNUMBER($S37),ISNUMBER($AF37),$S37&lt;$AF37),"ตรวจเวลา attempt ก่อนรับ Lead; ",""))="","ครบ",IF($AE37="","ขาด Lead ID; ","")&amp;IF(AND($AE37&lt;&gt;"",COUNTIF('Leads'!$AE$8:$AE$107,$AE37)&gt;1),"Lead ID ซ้ำ; ","")&amp;IF(COUNTIF('Leads'!$A$8:$A$107,$A37)&gt;1,"Reference ซ้ำ; ","")&amp;IF(COUNTIF('Guide_Lists'!$AR$2:$AR$4,$A37)&gt;0,"Known TEST — ห้ามนับผล; ","")&amp;IF(OR($B37="",$D37=""),"ขาดชื่อ/งาน; ","")&amp;IF(AND($L37="",$M37="",$N37=""),"ขาดช่องทางติดต่อ; ","")&amp;IF(OR($Z37="",$AA37="",$F37="",$G37="",$AT37=""),"ขาดผู้ดูแล/ประเภท/สถานะ/Environment; ","")&amp;IF(NOT(ISNUMBER($AF37)),"ขาดเวลารับ Lead; ","")&amp;IF(AND($AA37="Duplicate",$AB37=""),"ขาด duplicate_of; ","")&amp;IF(AND($G37="Qualified",OR($R37="",$U37="")),"Qualified ขาดเหตุผล/วันที่; ","")&amp;IF(AND($G37="Unqualified",$R37=""),"Unqualified ขาดเหตุผล; ","")&amp;IF(AND($F37="Qualified",$G37&lt;&gt;"Qualified"),"สถานะ/ผลคัดกรองไม่ตรง; ","")&amp;IF(AND($F37="Unqualified",$G37&lt;&gt;"Unqualified"),"สถานะ/ผลคัดกรองไม่ตรง; ","")&amp;IF(AND($F37="Contacting",$S37=""),"ขาดเวลาพยายามติดต่อ; ","")&amp;IF(AND($O37="Contactable",$T37=""),"ขาดเวลาติดต่อสำเร็จ; ","")&amp;IF(AND($F37="Quotation Sent",$AV37=""),"ยังไม่มีใบราคาที่ตรวจผ่าน; ","")&amp;IF(AND($F37="Won",$AY37=0),"Won ยังไม่มี PO ที่ตรวจผ่าน; ","")&amp;IF(AND($AY37&gt;0,$F37&lt;&gt;"Won"),"มี PO แล้ว—ตรวจสถานะ; ","")&amp;IF(AND($F37="Lost",OR($W37="",$X37="")),"Lost ขาดวัน/เหตุผล; ","")&amp;IF(AND($AA37="Real",NOT(OR($F37="Won",$F37="Lost",$F37="Unqualified")),OR($H37="",$I37="")),"ขาดนัด/งานถัดไป; ","")&amp;IF(OR($AC37="",$AD37=""),"ขาดเวลา/ผู้บันทึก; ","")&amp;IF(AND(ISNUMBER($S37),ISNUMBER($AF37),$S37&lt;$AF37),"ตรวจเวลา attempt ก่อนรับ Lead; ","")))</x:f>
      </x:c>
      <x:c r="BA37" s="42" t="str">
        <x:f>IF($A37="","",IF(AND($AE37&lt;&gt;"",$AA37="Real",$AT37="production",COUNTIF('Leads'!$AE$8:$AE$107,$AE37)=1,COUNTIF('Leads'!$A$8:$A$107,$A37)=1,COUNTIF('Guide_Lists'!$AR$2:$AR$4,$A37)=0),1,0))</x:f>
      </x:c>
    </x:row>
    <x:row r="38" ht="30" customHeight="1">
      <x:c r="A38" s="94"/>
      <x:c r="B38" s="32"/>
      <x:c r="C38" s="32"/>
      <x:c r="D38" s="32"/>
      <x:c r="E38" s="92"/>
      <x:c r="F38" s="36"/>
      <x:c r="G38" s="36"/>
      <x:c r="H38" s="82"/>
      <x:c r="I38" s="36"/>
      <x:c r="J38" s="42" t="str">
        <x:f>IF($A38="","",IF(OR($AA38="Test",$AA38="Spam",$AA38="Duplicate",COUNTIF('Guide_Lists'!$AR$2:$AR$4,$A38)&gt;0),"ไม่นับผลธุรกิจ",IF($AA38&lt;&gt;"Real","ระบุประเภทข้อมูล",IF(OR($F38="Won",$F38="Lost",$F38="Unqualified"),"ปิดงานขาย",IF($H38="","ยังไม่นัด",IF(NOT(ISNUMBER($H38)),"ตรวจวันนัด",IF(INT($H38)&lt;'Guide_Lists'!$B$4,"เกินกำหนด",IF(INT($H38)='Guide_Lists'!$B$4,"ติดตามวันนี้","รอนัด"))))))))</x:f>
      </x:c>
      <x:c r="K38" s="32"/>
      <x:c r="L38" s="94"/>
      <x:c r="M38" s="94"/>
      <x:c r="N38" s="94"/>
      <x:c r="O38" s="36"/>
      <x:c r="P38" s="36"/>
      <x:c r="Q38" s="36"/>
      <x:c r="R38" s="36"/>
      <x:c r="S38" s="82"/>
      <x:c r="T38" s="82"/>
      <x:c r="U38" s="82"/>
      <x:c r="V38" s="82"/>
      <x:c r="W38" s="82"/>
      <x:c r="X38" s="36"/>
      <x:c r="Y38" s="36"/>
      <x:c r="Z38" s="36"/>
      <x:c r="AA38" s="36"/>
      <x:c r="AB38" s="96"/>
      <x:c r="AC38" s="82"/>
      <x:c r="AD38" s="36"/>
      <x:c r="AE38" s="94"/>
      <x:c r="AF38" s="86"/>
      <x:c r="AG38" s="32"/>
      <x:c r="AH38" s="32"/>
      <x:c r="AI38" s="32"/>
      <x:c r="AJ38" s="88"/>
      <x:c r="AK38" s="32"/>
      <x:c r="AL38" s="32"/>
      <x:c r="AM38" s="32"/>
      <x:c r="AN38" s="32"/>
      <x:c r="AO38" s="32"/>
      <x:c r="AP38" s="32"/>
      <x:c r="AQ38" s="94"/>
      <x:c r="AR38" s="32"/>
      <x:c r="AS38" s="32"/>
      <x:c r="AT38" s="32"/>
      <x:c r="AU38" s="86"/>
      <x:c r="AV38" s="90" t="str">
        <x:f>IF($A38="","",IF(COUNTIFS('Quotations'!$L$8:$L$107,$AE38,'Quotations'!$O$8:$O$107,1)=0,"",MINIFS('Quotations'!$E$8:$E$107,'Quotations'!$L$8:$L$107,$AE38,'Quotations'!$O$8:$O$107,1)))</x:f>
      </x:c>
      <x:c r="AW38" s="90" t="str">
        <x:f>IF($A38="","",IF(COUNTIFS('Orders_PO'!$N$8:$N$107,$AE38,'Orders_PO'!$Q$8:$Q$107,1)=0,"",MINIFS('Orders_PO'!$E$8:$E$107,'Orders_PO'!$N$8:$N$107,$AE38,'Orders_PO'!$Q$8:$Q$107,1)))</x:f>
      </x:c>
      <x:c r="AX38" s="42" t="str">
        <x:f>IF($A38="","",COUNTIFS('Quotations'!$L$8:$L$107,$AE38,'Quotations'!$O$8:$O$107,1,'Quotations'!$I$8:$I$107,"Yes"))</x:f>
      </x:c>
      <x:c r="AY38" s="42" t="str">
        <x:f>IF($A38="","",COUNTIFS('Orders_PO'!$N$8:$N$107,$AE38,'Orders_PO'!$Q$8:$Q$107,1))</x:f>
      </x:c>
      <x:c r="AZ38" s="42" t="str">
        <x:f>IF($A38="","",IF((IF($AE38="","ขาด Lead ID; ","")&amp;IF(AND($AE38&lt;&gt;"",COUNTIF('Leads'!$AE$8:$AE$107,$AE38)&gt;1),"Lead ID ซ้ำ; ","")&amp;IF(COUNTIF('Leads'!$A$8:$A$107,$A38)&gt;1,"Reference ซ้ำ; ","")&amp;IF(COUNTIF('Guide_Lists'!$AR$2:$AR$4,$A38)&gt;0,"Known TEST — ห้ามนับผล; ","")&amp;IF(OR($B38="",$D38=""),"ขาดชื่อ/งาน; ","")&amp;IF(AND($L38="",$M38="",$N38=""),"ขาดช่องทางติดต่อ; ","")&amp;IF(OR($Z38="",$AA38="",$F38="",$G38="",$AT38=""),"ขาดผู้ดูแล/ประเภท/สถานะ/Environment; ","")&amp;IF(NOT(ISNUMBER($AF38)),"ขาดเวลารับ Lead; ","")&amp;IF(AND($AA38="Duplicate",$AB38=""),"ขาด duplicate_of; ","")&amp;IF(AND($G38="Qualified",OR($R38="",$U38="")),"Qualified ขาดเหตุผล/วันที่; ","")&amp;IF(AND($G38="Unqualified",$R38=""),"Unqualified ขาดเหตุผล; ","")&amp;IF(AND($F38="Qualified",$G38&lt;&gt;"Qualified"),"สถานะ/ผลคัดกรองไม่ตรง; ","")&amp;IF(AND($F38="Unqualified",$G38&lt;&gt;"Unqualified"),"สถานะ/ผลคัดกรองไม่ตรง; ","")&amp;IF(AND($F38="Contacting",$S38=""),"ขาดเวลาพยายามติดต่อ; ","")&amp;IF(AND($O38="Contactable",$T38=""),"ขาดเวลาติดต่อสำเร็จ; ","")&amp;IF(AND($F38="Quotation Sent",$AV38=""),"ยังไม่มีใบราคาที่ตรวจผ่าน; ","")&amp;IF(AND($F38="Won",$AY38=0),"Won ยังไม่มี PO ที่ตรวจผ่าน; ","")&amp;IF(AND($AY38&gt;0,$F38&lt;&gt;"Won"),"มี PO แล้ว—ตรวจสถานะ; ","")&amp;IF(AND($F38="Lost",OR($W38="",$X38="")),"Lost ขาดวัน/เหตุผล; ","")&amp;IF(AND($AA38="Real",NOT(OR($F38="Won",$F38="Lost",$F38="Unqualified")),OR($H38="",$I38="")),"ขาดนัด/งานถัดไป; ","")&amp;IF(OR($AC38="",$AD38=""),"ขาดเวลา/ผู้บันทึก; ","")&amp;IF(AND(ISNUMBER($S38),ISNUMBER($AF38),$S38&lt;$AF38),"ตรวจเวลา attempt ก่อนรับ Lead; ",""))="","ครบ",IF($AE38="","ขาด Lead ID; ","")&amp;IF(AND($AE38&lt;&gt;"",COUNTIF('Leads'!$AE$8:$AE$107,$AE38)&gt;1),"Lead ID ซ้ำ; ","")&amp;IF(COUNTIF('Leads'!$A$8:$A$107,$A38)&gt;1,"Reference ซ้ำ; ","")&amp;IF(COUNTIF('Guide_Lists'!$AR$2:$AR$4,$A38)&gt;0,"Known TEST — ห้ามนับผล; ","")&amp;IF(OR($B38="",$D38=""),"ขาดชื่อ/งาน; ","")&amp;IF(AND($L38="",$M38="",$N38=""),"ขาดช่องทางติดต่อ; ","")&amp;IF(OR($Z38="",$AA38="",$F38="",$G38="",$AT38=""),"ขาดผู้ดูแล/ประเภท/สถานะ/Environment; ","")&amp;IF(NOT(ISNUMBER($AF38)),"ขาดเวลารับ Lead; ","")&amp;IF(AND($AA38="Duplicate",$AB38=""),"ขาด duplicate_of; ","")&amp;IF(AND($G38="Qualified",OR($R38="",$U38="")),"Qualified ขาดเหตุผล/วันที่; ","")&amp;IF(AND($G38="Unqualified",$R38=""),"Unqualified ขาดเหตุผล; ","")&amp;IF(AND($F38="Qualified",$G38&lt;&gt;"Qualified"),"สถานะ/ผลคัดกรองไม่ตรง; ","")&amp;IF(AND($F38="Unqualified",$G38&lt;&gt;"Unqualified"),"สถานะ/ผลคัดกรองไม่ตรง; ","")&amp;IF(AND($F38="Contacting",$S38=""),"ขาดเวลาพยายามติดต่อ; ","")&amp;IF(AND($O38="Contactable",$T38=""),"ขาดเวลาติดต่อสำเร็จ; ","")&amp;IF(AND($F38="Quotation Sent",$AV38=""),"ยังไม่มีใบราคาที่ตรวจผ่าน; ","")&amp;IF(AND($F38="Won",$AY38=0),"Won ยังไม่มี PO ที่ตรวจผ่าน; ","")&amp;IF(AND($AY38&gt;0,$F38&lt;&gt;"Won"),"มี PO แล้ว—ตรวจสถานะ; ","")&amp;IF(AND($F38="Lost",OR($W38="",$X38="")),"Lost ขาดวัน/เหตุผล; ","")&amp;IF(AND($AA38="Real",NOT(OR($F38="Won",$F38="Lost",$F38="Unqualified")),OR($H38="",$I38="")),"ขาดนัด/งานถัดไป; ","")&amp;IF(OR($AC38="",$AD38=""),"ขาดเวลา/ผู้บันทึก; ","")&amp;IF(AND(ISNUMBER($S38),ISNUMBER($AF38),$S38&lt;$AF38),"ตรวจเวลา attempt ก่อนรับ Lead; ","")))</x:f>
      </x:c>
      <x:c r="BA38" s="42" t="str">
        <x:f>IF($A38="","",IF(AND($AE38&lt;&gt;"",$AA38="Real",$AT38="production",COUNTIF('Leads'!$AE$8:$AE$107,$AE38)=1,COUNTIF('Leads'!$A$8:$A$107,$A38)=1,COUNTIF('Guide_Lists'!$AR$2:$AR$4,$A38)=0),1,0))</x:f>
      </x:c>
    </x:row>
    <x:row r="39" ht="30" customHeight="1">
      <x:c r="A39" s="94"/>
      <x:c r="B39" s="32"/>
      <x:c r="C39" s="32"/>
      <x:c r="D39" s="32"/>
      <x:c r="E39" s="92"/>
      <x:c r="F39" s="36"/>
      <x:c r="G39" s="36"/>
      <x:c r="H39" s="82"/>
      <x:c r="I39" s="36"/>
      <x:c r="J39" s="42" t="str">
        <x:f>IF($A39="","",IF(OR($AA39="Test",$AA39="Spam",$AA39="Duplicate",COUNTIF('Guide_Lists'!$AR$2:$AR$4,$A39)&gt;0),"ไม่นับผลธุรกิจ",IF($AA39&lt;&gt;"Real","ระบุประเภทข้อมูล",IF(OR($F39="Won",$F39="Lost",$F39="Unqualified"),"ปิดงานขาย",IF($H39="","ยังไม่นัด",IF(NOT(ISNUMBER($H39)),"ตรวจวันนัด",IF(INT($H39)&lt;'Guide_Lists'!$B$4,"เกินกำหนด",IF(INT($H39)='Guide_Lists'!$B$4,"ติดตามวันนี้","รอนัด"))))))))</x:f>
      </x:c>
      <x:c r="K39" s="32"/>
      <x:c r="L39" s="94"/>
      <x:c r="M39" s="94"/>
      <x:c r="N39" s="94"/>
      <x:c r="O39" s="36"/>
      <x:c r="P39" s="36"/>
      <x:c r="Q39" s="36"/>
      <x:c r="R39" s="36"/>
      <x:c r="S39" s="82"/>
      <x:c r="T39" s="82"/>
      <x:c r="U39" s="82"/>
      <x:c r="V39" s="82"/>
      <x:c r="W39" s="82"/>
      <x:c r="X39" s="36"/>
      <x:c r="Y39" s="36"/>
      <x:c r="Z39" s="36"/>
      <x:c r="AA39" s="36"/>
      <x:c r="AB39" s="96"/>
      <x:c r="AC39" s="82"/>
      <x:c r="AD39" s="36"/>
      <x:c r="AE39" s="94"/>
      <x:c r="AF39" s="86"/>
      <x:c r="AG39" s="32"/>
      <x:c r="AH39" s="32"/>
      <x:c r="AI39" s="32"/>
      <x:c r="AJ39" s="88"/>
      <x:c r="AK39" s="32"/>
      <x:c r="AL39" s="32"/>
      <x:c r="AM39" s="32"/>
      <x:c r="AN39" s="32"/>
      <x:c r="AO39" s="32"/>
      <x:c r="AP39" s="32"/>
      <x:c r="AQ39" s="94"/>
      <x:c r="AR39" s="32"/>
      <x:c r="AS39" s="32"/>
      <x:c r="AT39" s="32"/>
      <x:c r="AU39" s="86"/>
      <x:c r="AV39" s="90" t="str">
        <x:f>IF($A39="","",IF(COUNTIFS('Quotations'!$L$8:$L$107,$AE39,'Quotations'!$O$8:$O$107,1)=0,"",MINIFS('Quotations'!$E$8:$E$107,'Quotations'!$L$8:$L$107,$AE39,'Quotations'!$O$8:$O$107,1)))</x:f>
      </x:c>
      <x:c r="AW39" s="90" t="str">
        <x:f>IF($A39="","",IF(COUNTIFS('Orders_PO'!$N$8:$N$107,$AE39,'Orders_PO'!$Q$8:$Q$107,1)=0,"",MINIFS('Orders_PO'!$E$8:$E$107,'Orders_PO'!$N$8:$N$107,$AE39,'Orders_PO'!$Q$8:$Q$107,1)))</x:f>
      </x:c>
      <x:c r="AX39" s="42" t="str">
        <x:f>IF($A39="","",COUNTIFS('Quotations'!$L$8:$L$107,$AE39,'Quotations'!$O$8:$O$107,1,'Quotations'!$I$8:$I$107,"Yes"))</x:f>
      </x:c>
      <x:c r="AY39" s="42" t="str">
        <x:f>IF($A39="","",COUNTIFS('Orders_PO'!$N$8:$N$107,$AE39,'Orders_PO'!$Q$8:$Q$107,1))</x:f>
      </x:c>
      <x:c r="AZ39" s="42" t="str">
        <x:f>IF($A39="","",IF((IF($AE39="","ขาด Lead ID; ","")&amp;IF(AND($AE39&lt;&gt;"",COUNTIF('Leads'!$AE$8:$AE$107,$AE39)&gt;1),"Lead ID ซ้ำ; ","")&amp;IF(COUNTIF('Leads'!$A$8:$A$107,$A39)&gt;1,"Reference ซ้ำ; ","")&amp;IF(COUNTIF('Guide_Lists'!$AR$2:$AR$4,$A39)&gt;0,"Known TEST — ห้ามนับผล; ","")&amp;IF(OR($B39="",$D39=""),"ขาดชื่อ/งาน; ","")&amp;IF(AND($L39="",$M39="",$N39=""),"ขาดช่องทางติดต่อ; ","")&amp;IF(OR($Z39="",$AA39="",$F39="",$G39="",$AT39=""),"ขาดผู้ดูแล/ประเภท/สถานะ/Environment; ","")&amp;IF(NOT(ISNUMBER($AF39)),"ขาดเวลารับ Lead; ","")&amp;IF(AND($AA39="Duplicate",$AB39=""),"ขาด duplicate_of; ","")&amp;IF(AND($G39="Qualified",OR($R39="",$U39="")),"Qualified ขาดเหตุผล/วันที่; ","")&amp;IF(AND($G39="Unqualified",$R39=""),"Unqualified ขาดเหตุผล; ","")&amp;IF(AND($F39="Qualified",$G39&lt;&gt;"Qualified"),"สถานะ/ผลคัดกรองไม่ตรง; ","")&amp;IF(AND($F39="Unqualified",$G39&lt;&gt;"Unqualified"),"สถานะ/ผลคัดกรองไม่ตรง; ","")&amp;IF(AND($F39="Contacting",$S39=""),"ขาดเวลาพยายามติดต่อ; ","")&amp;IF(AND($O39="Contactable",$T39=""),"ขาดเวลาติดต่อสำเร็จ; ","")&amp;IF(AND($F39="Quotation Sent",$AV39=""),"ยังไม่มีใบราคาที่ตรวจผ่าน; ","")&amp;IF(AND($F39="Won",$AY39=0),"Won ยังไม่มี PO ที่ตรวจผ่าน; ","")&amp;IF(AND($AY39&gt;0,$F39&lt;&gt;"Won"),"มี PO แล้ว—ตรวจสถานะ; ","")&amp;IF(AND($F39="Lost",OR($W39="",$X39="")),"Lost ขาดวัน/เหตุผล; ","")&amp;IF(AND($AA39="Real",NOT(OR($F39="Won",$F39="Lost",$F39="Unqualified")),OR($H39="",$I39="")),"ขาดนัด/งานถัดไป; ","")&amp;IF(OR($AC39="",$AD39=""),"ขาดเวลา/ผู้บันทึก; ","")&amp;IF(AND(ISNUMBER($S39),ISNUMBER($AF39),$S39&lt;$AF39),"ตรวจเวลา attempt ก่อนรับ Lead; ",""))="","ครบ",IF($AE39="","ขาด Lead ID; ","")&amp;IF(AND($AE39&lt;&gt;"",COUNTIF('Leads'!$AE$8:$AE$107,$AE39)&gt;1),"Lead ID ซ้ำ; ","")&amp;IF(COUNTIF('Leads'!$A$8:$A$107,$A39)&gt;1,"Reference ซ้ำ; ","")&amp;IF(COUNTIF('Guide_Lists'!$AR$2:$AR$4,$A39)&gt;0,"Known TEST — ห้ามนับผล; ","")&amp;IF(OR($B39="",$D39=""),"ขาดชื่อ/งาน; ","")&amp;IF(AND($L39="",$M39="",$N39=""),"ขาดช่องทางติดต่อ; ","")&amp;IF(OR($Z39="",$AA39="",$F39="",$G39="",$AT39=""),"ขาดผู้ดูแล/ประเภท/สถานะ/Environment; ","")&amp;IF(NOT(ISNUMBER($AF39)),"ขาดเวลารับ Lead; ","")&amp;IF(AND($AA39="Duplicate",$AB39=""),"ขาด duplicate_of; ","")&amp;IF(AND($G39="Qualified",OR($R39="",$U39="")),"Qualified ขาดเหตุผล/วันที่; ","")&amp;IF(AND($G39="Unqualified",$R39=""),"Unqualified ขาดเหตุผล; ","")&amp;IF(AND($F39="Qualified",$G39&lt;&gt;"Qualified"),"สถานะ/ผลคัดกรองไม่ตรง; ","")&amp;IF(AND($F39="Unqualified",$G39&lt;&gt;"Unqualified"),"สถานะ/ผลคัดกรองไม่ตรง; ","")&amp;IF(AND($F39="Contacting",$S39=""),"ขาดเวลาพยายามติดต่อ; ","")&amp;IF(AND($O39="Contactable",$T39=""),"ขาดเวลาติดต่อสำเร็จ; ","")&amp;IF(AND($F39="Quotation Sent",$AV39=""),"ยังไม่มีใบราคาที่ตรวจผ่าน; ","")&amp;IF(AND($F39="Won",$AY39=0),"Won ยังไม่มี PO ที่ตรวจผ่าน; ","")&amp;IF(AND($AY39&gt;0,$F39&lt;&gt;"Won"),"มี PO แล้ว—ตรวจสถานะ; ","")&amp;IF(AND($F39="Lost",OR($W39="",$X39="")),"Lost ขาดวัน/เหตุผล; ","")&amp;IF(AND($AA39="Real",NOT(OR($F39="Won",$F39="Lost",$F39="Unqualified")),OR($H39="",$I39="")),"ขาดนัด/งานถัดไป; ","")&amp;IF(OR($AC39="",$AD39=""),"ขาดเวลา/ผู้บันทึก; ","")&amp;IF(AND(ISNUMBER($S39),ISNUMBER($AF39),$S39&lt;$AF39),"ตรวจเวลา attempt ก่อนรับ Lead; ","")))</x:f>
      </x:c>
      <x:c r="BA39" s="42" t="str">
        <x:f>IF($A39="","",IF(AND($AE39&lt;&gt;"",$AA39="Real",$AT39="production",COUNTIF('Leads'!$AE$8:$AE$107,$AE39)=1,COUNTIF('Leads'!$A$8:$A$107,$A39)=1,COUNTIF('Guide_Lists'!$AR$2:$AR$4,$A39)=0),1,0))</x:f>
      </x:c>
    </x:row>
    <x:row r="40" ht="30" customHeight="1">
      <x:c r="A40" s="94"/>
      <x:c r="B40" s="32"/>
      <x:c r="C40" s="32"/>
      <x:c r="D40" s="32"/>
      <x:c r="E40" s="92"/>
      <x:c r="F40" s="36"/>
      <x:c r="G40" s="36"/>
      <x:c r="H40" s="82"/>
      <x:c r="I40" s="36"/>
      <x:c r="J40" s="42" t="str">
        <x:f>IF($A40="","",IF(OR($AA40="Test",$AA40="Spam",$AA40="Duplicate",COUNTIF('Guide_Lists'!$AR$2:$AR$4,$A40)&gt;0),"ไม่นับผลธุรกิจ",IF($AA40&lt;&gt;"Real","ระบุประเภทข้อมูล",IF(OR($F40="Won",$F40="Lost",$F40="Unqualified"),"ปิดงานขาย",IF($H40="","ยังไม่นัด",IF(NOT(ISNUMBER($H40)),"ตรวจวันนัด",IF(INT($H40)&lt;'Guide_Lists'!$B$4,"เกินกำหนด",IF(INT($H40)='Guide_Lists'!$B$4,"ติดตามวันนี้","รอนัด"))))))))</x:f>
      </x:c>
      <x:c r="K40" s="32"/>
      <x:c r="L40" s="94"/>
      <x:c r="M40" s="94"/>
      <x:c r="N40" s="94"/>
      <x:c r="O40" s="36"/>
      <x:c r="P40" s="36"/>
      <x:c r="Q40" s="36"/>
      <x:c r="R40" s="36"/>
      <x:c r="S40" s="82"/>
      <x:c r="T40" s="82"/>
      <x:c r="U40" s="82"/>
      <x:c r="V40" s="82"/>
      <x:c r="W40" s="82"/>
      <x:c r="X40" s="36"/>
      <x:c r="Y40" s="36"/>
      <x:c r="Z40" s="36"/>
      <x:c r="AA40" s="36"/>
      <x:c r="AB40" s="96"/>
      <x:c r="AC40" s="82"/>
      <x:c r="AD40" s="36"/>
      <x:c r="AE40" s="94"/>
      <x:c r="AF40" s="86"/>
      <x:c r="AG40" s="32"/>
      <x:c r="AH40" s="32"/>
      <x:c r="AI40" s="32"/>
      <x:c r="AJ40" s="88"/>
      <x:c r="AK40" s="32"/>
      <x:c r="AL40" s="32"/>
      <x:c r="AM40" s="32"/>
      <x:c r="AN40" s="32"/>
      <x:c r="AO40" s="32"/>
      <x:c r="AP40" s="32"/>
      <x:c r="AQ40" s="94"/>
      <x:c r="AR40" s="32"/>
      <x:c r="AS40" s="32"/>
      <x:c r="AT40" s="32"/>
      <x:c r="AU40" s="86"/>
      <x:c r="AV40" s="90" t="str">
        <x:f>IF($A40="","",IF(COUNTIFS('Quotations'!$L$8:$L$107,$AE40,'Quotations'!$O$8:$O$107,1)=0,"",MINIFS('Quotations'!$E$8:$E$107,'Quotations'!$L$8:$L$107,$AE40,'Quotations'!$O$8:$O$107,1)))</x:f>
      </x:c>
      <x:c r="AW40" s="90" t="str">
        <x:f>IF($A40="","",IF(COUNTIFS('Orders_PO'!$N$8:$N$107,$AE40,'Orders_PO'!$Q$8:$Q$107,1)=0,"",MINIFS('Orders_PO'!$E$8:$E$107,'Orders_PO'!$N$8:$N$107,$AE40,'Orders_PO'!$Q$8:$Q$107,1)))</x:f>
      </x:c>
      <x:c r="AX40" s="42" t="str">
        <x:f>IF($A40="","",COUNTIFS('Quotations'!$L$8:$L$107,$AE40,'Quotations'!$O$8:$O$107,1,'Quotations'!$I$8:$I$107,"Yes"))</x:f>
      </x:c>
      <x:c r="AY40" s="42" t="str">
        <x:f>IF($A40="","",COUNTIFS('Orders_PO'!$N$8:$N$107,$AE40,'Orders_PO'!$Q$8:$Q$107,1))</x:f>
      </x:c>
      <x:c r="AZ40" s="42" t="str">
        <x:f>IF($A40="","",IF((IF($AE40="","ขาด Lead ID; ","")&amp;IF(AND($AE40&lt;&gt;"",COUNTIF('Leads'!$AE$8:$AE$107,$AE40)&gt;1),"Lead ID ซ้ำ; ","")&amp;IF(COUNTIF('Leads'!$A$8:$A$107,$A40)&gt;1,"Reference ซ้ำ; ","")&amp;IF(COUNTIF('Guide_Lists'!$AR$2:$AR$4,$A40)&gt;0,"Known TEST — ห้ามนับผล; ","")&amp;IF(OR($B40="",$D40=""),"ขาดชื่อ/งาน; ","")&amp;IF(AND($L40="",$M40="",$N40=""),"ขาดช่องทางติดต่อ; ","")&amp;IF(OR($Z40="",$AA40="",$F40="",$G40="",$AT40=""),"ขาดผู้ดูแล/ประเภท/สถานะ/Environment; ","")&amp;IF(NOT(ISNUMBER($AF40)),"ขาดเวลารับ Lead; ","")&amp;IF(AND($AA40="Duplicate",$AB40=""),"ขาด duplicate_of; ","")&amp;IF(AND($G40="Qualified",OR($R40="",$U40="")),"Qualified ขาดเหตุผล/วันที่; ","")&amp;IF(AND($G40="Unqualified",$R40=""),"Unqualified ขาดเหตุผล; ","")&amp;IF(AND($F40="Qualified",$G40&lt;&gt;"Qualified"),"สถานะ/ผลคัดกรองไม่ตรง; ","")&amp;IF(AND($F40="Unqualified",$G40&lt;&gt;"Unqualified"),"สถานะ/ผลคัดกรองไม่ตรง; ","")&amp;IF(AND($F40="Contacting",$S40=""),"ขาดเวลาพยายามติดต่อ; ","")&amp;IF(AND($O40="Contactable",$T40=""),"ขาดเวลาติดต่อสำเร็จ; ","")&amp;IF(AND($F40="Quotation Sent",$AV40=""),"ยังไม่มีใบราคาที่ตรวจผ่าน; ","")&amp;IF(AND($F40="Won",$AY40=0),"Won ยังไม่มี PO ที่ตรวจผ่าน; ","")&amp;IF(AND($AY40&gt;0,$F40&lt;&gt;"Won"),"มี PO แล้ว—ตรวจสถานะ; ","")&amp;IF(AND($F40="Lost",OR($W40="",$X40="")),"Lost ขาดวัน/เหตุผล; ","")&amp;IF(AND($AA40="Real",NOT(OR($F40="Won",$F40="Lost",$F40="Unqualified")),OR($H40="",$I40="")),"ขาดนัด/งานถัดไป; ","")&amp;IF(OR($AC40="",$AD40=""),"ขาดเวลา/ผู้บันทึก; ","")&amp;IF(AND(ISNUMBER($S40),ISNUMBER($AF40),$S40&lt;$AF40),"ตรวจเวลา attempt ก่อนรับ Lead; ",""))="","ครบ",IF($AE40="","ขาด Lead ID; ","")&amp;IF(AND($AE40&lt;&gt;"",COUNTIF('Leads'!$AE$8:$AE$107,$AE40)&gt;1),"Lead ID ซ้ำ; ","")&amp;IF(COUNTIF('Leads'!$A$8:$A$107,$A40)&gt;1,"Reference ซ้ำ; ","")&amp;IF(COUNTIF('Guide_Lists'!$AR$2:$AR$4,$A40)&gt;0,"Known TEST — ห้ามนับผล; ","")&amp;IF(OR($B40="",$D40=""),"ขาดชื่อ/งาน; ","")&amp;IF(AND($L40="",$M40="",$N40=""),"ขาดช่องทางติดต่อ; ","")&amp;IF(OR($Z40="",$AA40="",$F40="",$G40="",$AT40=""),"ขาดผู้ดูแล/ประเภท/สถานะ/Environment; ","")&amp;IF(NOT(ISNUMBER($AF40)),"ขาดเวลารับ Lead; ","")&amp;IF(AND($AA40="Duplicate",$AB40=""),"ขาด duplicate_of; ","")&amp;IF(AND($G40="Qualified",OR($R40="",$U40="")),"Qualified ขาดเหตุผล/วันที่; ","")&amp;IF(AND($G40="Unqualified",$R40=""),"Unqualified ขาดเหตุผล; ","")&amp;IF(AND($F40="Qualified",$G40&lt;&gt;"Qualified"),"สถานะ/ผลคัดกรองไม่ตรง; ","")&amp;IF(AND($F40="Unqualified",$G40&lt;&gt;"Unqualified"),"สถานะ/ผลคัดกรองไม่ตรง; ","")&amp;IF(AND($F40="Contacting",$S40=""),"ขาดเวลาพยายามติดต่อ; ","")&amp;IF(AND($O40="Contactable",$T40=""),"ขาดเวลาติดต่อสำเร็จ; ","")&amp;IF(AND($F40="Quotation Sent",$AV40=""),"ยังไม่มีใบราคาที่ตรวจผ่าน; ","")&amp;IF(AND($F40="Won",$AY40=0),"Won ยังไม่มี PO ที่ตรวจผ่าน; ","")&amp;IF(AND($AY40&gt;0,$F40&lt;&gt;"Won"),"มี PO แล้ว—ตรวจสถานะ; ","")&amp;IF(AND($F40="Lost",OR($W40="",$X40="")),"Lost ขาดวัน/เหตุผล; ","")&amp;IF(AND($AA40="Real",NOT(OR($F40="Won",$F40="Lost",$F40="Unqualified")),OR($H40="",$I40="")),"ขาดนัด/งานถัดไป; ","")&amp;IF(OR($AC40="",$AD40=""),"ขาดเวลา/ผู้บันทึก; ","")&amp;IF(AND(ISNUMBER($S40),ISNUMBER($AF40),$S40&lt;$AF40),"ตรวจเวลา attempt ก่อนรับ Lead; ","")))</x:f>
      </x:c>
      <x:c r="BA40" s="42" t="str">
        <x:f>IF($A40="","",IF(AND($AE40&lt;&gt;"",$AA40="Real",$AT40="production",COUNTIF('Leads'!$AE$8:$AE$107,$AE40)=1,COUNTIF('Leads'!$A$8:$A$107,$A40)=1,COUNTIF('Guide_Lists'!$AR$2:$AR$4,$A40)=0),1,0))</x:f>
      </x:c>
    </x:row>
    <x:row r="41" ht="30" customHeight="1">
      <x:c r="A41" s="94"/>
      <x:c r="B41" s="32"/>
      <x:c r="C41" s="32"/>
      <x:c r="D41" s="32"/>
      <x:c r="E41" s="92"/>
      <x:c r="F41" s="36"/>
      <x:c r="G41" s="36"/>
      <x:c r="H41" s="82"/>
      <x:c r="I41" s="36"/>
      <x:c r="J41" s="42" t="str">
        <x:f>IF($A41="","",IF(OR($AA41="Test",$AA41="Spam",$AA41="Duplicate",COUNTIF('Guide_Lists'!$AR$2:$AR$4,$A41)&gt;0),"ไม่นับผลธุรกิจ",IF($AA41&lt;&gt;"Real","ระบุประเภทข้อมูล",IF(OR($F41="Won",$F41="Lost",$F41="Unqualified"),"ปิดงานขาย",IF($H41="","ยังไม่นัด",IF(NOT(ISNUMBER($H41)),"ตรวจวันนัด",IF(INT($H41)&lt;'Guide_Lists'!$B$4,"เกินกำหนด",IF(INT($H41)='Guide_Lists'!$B$4,"ติดตามวันนี้","รอนัด"))))))))</x:f>
      </x:c>
      <x:c r="K41" s="32"/>
      <x:c r="L41" s="94"/>
      <x:c r="M41" s="94"/>
      <x:c r="N41" s="94"/>
      <x:c r="O41" s="36"/>
      <x:c r="P41" s="36"/>
      <x:c r="Q41" s="36"/>
      <x:c r="R41" s="36"/>
      <x:c r="S41" s="82"/>
      <x:c r="T41" s="82"/>
      <x:c r="U41" s="82"/>
      <x:c r="V41" s="82"/>
      <x:c r="W41" s="82"/>
      <x:c r="X41" s="36"/>
      <x:c r="Y41" s="36"/>
      <x:c r="Z41" s="36"/>
      <x:c r="AA41" s="36"/>
      <x:c r="AB41" s="96"/>
      <x:c r="AC41" s="82"/>
      <x:c r="AD41" s="36"/>
      <x:c r="AE41" s="94"/>
      <x:c r="AF41" s="86"/>
      <x:c r="AG41" s="32"/>
      <x:c r="AH41" s="32"/>
      <x:c r="AI41" s="32"/>
      <x:c r="AJ41" s="88"/>
      <x:c r="AK41" s="32"/>
      <x:c r="AL41" s="32"/>
      <x:c r="AM41" s="32"/>
      <x:c r="AN41" s="32"/>
      <x:c r="AO41" s="32"/>
      <x:c r="AP41" s="32"/>
      <x:c r="AQ41" s="94"/>
      <x:c r="AR41" s="32"/>
      <x:c r="AS41" s="32"/>
      <x:c r="AT41" s="32"/>
      <x:c r="AU41" s="86"/>
      <x:c r="AV41" s="90" t="str">
        <x:f>IF($A41="","",IF(COUNTIFS('Quotations'!$L$8:$L$107,$AE41,'Quotations'!$O$8:$O$107,1)=0,"",MINIFS('Quotations'!$E$8:$E$107,'Quotations'!$L$8:$L$107,$AE41,'Quotations'!$O$8:$O$107,1)))</x:f>
      </x:c>
      <x:c r="AW41" s="90" t="str">
        <x:f>IF($A41="","",IF(COUNTIFS('Orders_PO'!$N$8:$N$107,$AE41,'Orders_PO'!$Q$8:$Q$107,1)=0,"",MINIFS('Orders_PO'!$E$8:$E$107,'Orders_PO'!$N$8:$N$107,$AE41,'Orders_PO'!$Q$8:$Q$107,1)))</x:f>
      </x:c>
      <x:c r="AX41" s="42" t="str">
        <x:f>IF($A41="","",COUNTIFS('Quotations'!$L$8:$L$107,$AE41,'Quotations'!$O$8:$O$107,1,'Quotations'!$I$8:$I$107,"Yes"))</x:f>
      </x:c>
      <x:c r="AY41" s="42" t="str">
        <x:f>IF($A41="","",COUNTIFS('Orders_PO'!$N$8:$N$107,$AE41,'Orders_PO'!$Q$8:$Q$107,1))</x:f>
      </x:c>
      <x:c r="AZ41" s="42" t="str">
        <x:f>IF($A41="","",IF((IF($AE41="","ขาด Lead ID; ","")&amp;IF(AND($AE41&lt;&gt;"",COUNTIF('Leads'!$AE$8:$AE$107,$AE41)&gt;1),"Lead ID ซ้ำ; ","")&amp;IF(COUNTIF('Leads'!$A$8:$A$107,$A41)&gt;1,"Reference ซ้ำ; ","")&amp;IF(COUNTIF('Guide_Lists'!$AR$2:$AR$4,$A41)&gt;0,"Known TEST — ห้ามนับผล; ","")&amp;IF(OR($B41="",$D41=""),"ขาดชื่อ/งาน; ","")&amp;IF(AND($L41="",$M41="",$N41=""),"ขาดช่องทางติดต่อ; ","")&amp;IF(OR($Z41="",$AA41="",$F41="",$G41="",$AT41=""),"ขาดผู้ดูแล/ประเภท/สถานะ/Environment; ","")&amp;IF(NOT(ISNUMBER($AF41)),"ขาดเวลารับ Lead; ","")&amp;IF(AND($AA41="Duplicate",$AB41=""),"ขาด duplicate_of; ","")&amp;IF(AND($G41="Qualified",OR($R41="",$U41="")),"Qualified ขาดเหตุผล/วันที่; ","")&amp;IF(AND($G41="Unqualified",$R41=""),"Unqualified ขาดเหตุผล; ","")&amp;IF(AND($F41="Qualified",$G41&lt;&gt;"Qualified"),"สถานะ/ผลคัดกรองไม่ตรง; ","")&amp;IF(AND($F41="Unqualified",$G41&lt;&gt;"Unqualified"),"สถานะ/ผลคัดกรองไม่ตรง; ","")&amp;IF(AND($F41="Contacting",$S41=""),"ขาดเวลาพยายามติดต่อ; ","")&amp;IF(AND($O41="Contactable",$T41=""),"ขาดเวลาติดต่อสำเร็จ; ","")&amp;IF(AND($F41="Quotation Sent",$AV41=""),"ยังไม่มีใบราคาที่ตรวจผ่าน; ","")&amp;IF(AND($F41="Won",$AY41=0),"Won ยังไม่มี PO ที่ตรวจผ่าน; ","")&amp;IF(AND($AY41&gt;0,$F41&lt;&gt;"Won"),"มี PO แล้ว—ตรวจสถานะ; ","")&amp;IF(AND($F41="Lost",OR($W41="",$X41="")),"Lost ขาดวัน/เหตุผล; ","")&amp;IF(AND($AA41="Real",NOT(OR($F41="Won",$F41="Lost",$F41="Unqualified")),OR($H41="",$I41="")),"ขาดนัด/งานถัดไป; ","")&amp;IF(OR($AC41="",$AD41=""),"ขาดเวลา/ผู้บันทึก; ","")&amp;IF(AND(ISNUMBER($S41),ISNUMBER($AF41),$S41&lt;$AF41),"ตรวจเวลา attempt ก่อนรับ Lead; ",""))="","ครบ",IF($AE41="","ขาด Lead ID; ","")&amp;IF(AND($AE41&lt;&gt;"",COUNTIF('Leads'!$AE$8:$AE$107,$AE41)&gt;1),"Lead ID ซ้ำ; ","")&amp;IF(COUNTIF('Leads'!$A$8:$A$107,$A41)&gt;1,"Reference ซ้ำ; ","")&amp;IF(COUNTIF('Guide_Lists'!$AR$2:$AR$4,$A41)&gt;0,"Known TEST — ห้ามนับผล; ","")&amp;IF(OR($B41="",$D41=""),"ขาดชื่อ/งาน; ","")&amp;IF(AND($L41="",$M41="",$N41=""),"ขาดช่องทางติดต่อ; ","")&amp;IF(OR($Z41="",$AA41="",$F41="",$G41="",$AT41=""),"ขาดผู้ดูแล/ประเภท/สถานะ/Environment; ","")&amp;IF(NOT(ISNUMBER($AF41)),"ขาดเวลารับ Lead; ","")&amp;IF(AND($AA41="Duplicate",$AB41=""),"ขาด duplicate_of; ","")&amp;IF(AND($G41="Qualified",OR($R41="",$U41="")),"Qualified ขาดเหตุผล/วันที่; ","")&amp;IF(AND($G41="Unqualified",$R41=""),"Unqualified ขาดเหตุผล; ","")&amp;IF(AND($F41="Qualified",$G41&lt;&gt;"Qualified"),"สถานะ/ผลคัดกรองไม่ตรง; ","")&amp;IF(AND($F41="Unqualified",$G41&lt;&gt;"Unqualified"),"สถานะ/ผลคัดกรองไม่ตรง; ","")&amp;IF(AND($F41="Contacting",$S41=""),"ขาดเวลาพยายามติดต่อ; ","")&amp;IF(AND($O41="Contactable",$T41=""),"ขาดเวลาติดต่อสำเร็จ; ","")&amp;IF(AND($F41="Quotation Sent",$AV41=""),"ยังไม่มีใบราคาที่ตรวจผ่าน; ","")&amp;IF(AND($F41="Won",$AY41=0),"Won ยังไม่มี PO ที่ตรวจผ่าน; ","")&amp;IF(AND($AY41&gt;0,$F41&lt;&gt;"Won"),"มี PO แล้ว—ตรวจสถานะ; ","")&amp;IF(AND($F41="Lost",OR($W41="",$X41="")),"Lost ขาดวัน/เหตุผล; ","")&amp;IF(AND($AA41="Real",NOT(OR($F41="Won",$F41="Lost",$F41="Unqualified")),OR($H41="",$I41="")),"ขาดนัด/งานถัดไป; ","")&amp;IF(OR($AC41="",$AD41=""),"ขาดเวลา/ผู้บันทึก; ","")&amp;IF(AND(ISNUMBER($S41),ISNUMBER($AF41),$S41&lt;$AF41),"ตรวจเวลา attempt ก่อนรับ Lead; ","")))</x:f>
      </x:c>
      <x:c r="BA41" s="42" t="str">
        <x:f>IF($A41="","",IF(AND($AE41&lt;&gt;"",$AA41="Real",$AT41="production",COUNTIF('Leads'!$AE$8:$AE$107,$AE41)=1,COUNTIF('Leads'!$A$8:$A$107,$A41)=1,COUNTIF('Guide_Lists'!$AR$2:$AR$4,$A41)=0),1,0))</x:f>
      </x:c>
    </x:row>
    <x:row r="42" ht="30" customHeight="1">
      <x:c r="A42" s="94"/>
      <x:c r="B42" s="32"/>
      <x:c r="C42" s="32"/>
      <x:c r="D42" s="32"/>
      <x:c r="E42" s="92"/>
      <x:c r="F42" s="36"/>
      <x:c r="G42" s="36"/>
      <x:c r="H42" s="82"/>
      <x:c r="I42" s="36"/>
      <x:c r="J42" s="42" t="str">
        <x:f>IF($A42="","",IF(OR($AA42="Test",$AA42="Spam",$AA42="Duplicate",COUNTIF('Guide_Lists'!$AR$2:$AR$4,$A42)&gt;0),"ไม่นับผลธุรกิจ",IF($AA42&lt;&gt;"Real","ระบุประเภทข้อมูล",IF(OR($F42="Won",$F42="Lost",$F42="Unqualified"),"ปิดงานขาย",IF($H42="","ยังไม่นัด",IF(NOT(ISNUMBER($H42)),"ตรวจวันนัด",IF(INT($H42)&lt;'Guide_Lists'!$B$4,"เกินกำหนด",IF(INT($H42)='Guide_Lists'!$B$4,"ติดตามวันนี้","รอนัด"))))))))</x:f>
      </x:c>
      <x:c r="K42" s="32"/>
      <x:c r="L42" s="94"/>
      <x:c r="M42" s="94"/>
      <x:c r="N42" s="94"/>
      <x:c r="O42" s="36"/>
      <x:c r="P42" s="36"/>
      <x:c r="Q42" s="36"/>
      <x:c r="R42" s="36"/>
      <x:c r="S42" s="82"/>
      <x:c r="T42" s="82"/>
      <x:c r="U42" s="82"/>
      <x:c r="V42" s="82"/>
      <x:c r="W42" s="82"/>
      <x:c r="X42" s="36"/>
      <x:c r="Y42" s="36"/>
      <x:c r="Z42" s="36"/>
      <x:c r="AA42" s="36"/>
      <x:c r="AB42" s="96"/>
      <x:c r="AC42" s="82"/>
      <x:c r="AD42" s="36"/>
      <x:c r="AE42" s="94"/>
      <x:c r="AF42" s="86"/>
      <x:c r="AG42" s="32"/>
      <x:c r="AH42" s="32"/>
      <x:c r="AI42" s="32"/>
      <x:c r="AJ42" s="88"/>
      <x:c r="AK42" s="32"/>
      <x:c r="AL42" s="32"/>
      <x:c r="AM42" s="32"/>
      <x:c r="AN42" s="32"/>
      <x:c r="AO42" s="32"/>
      <x:c r="AP42" s="32"/>
      <x:c r="AQ42" s="94"/>
      <x:c r="AR42" s="32"/>
      <x:c r="AS42" s="32"/>
      <x:c r="AT42" s="32"/>
      <x:c r="AU42" s="86"/>
      <x:c r="AV42" s="90" t="str">
        <x:f>IF($A42="","",IF(COUNTIFS('Quotations'!$L$8:$L$107,$AE42,'Quotations'!$O$8:$O$107,1)=0,"",MINIFS('Quotations'!$E$8:$E$107,'Quotations'!$L$8:$L$107,$AE42,'Quotations'!$O$8:$O$107,1)))</x:f>
      </x:c>
      <x:c r="AW42" s="90" t="str">
        <x:f>IF($A42="","",IF(COUNTIFS('Orders_PO'!$N$8:$N$107,$AE42,'Orders_PO'!$Q$8:$Q$107,1)=0,"",MINIFS('Orders_PO'!$E$8:$E$107,'Orders_PO'!$N$8:$N$107,$AE42,'Orders_PO'!$Q$8:$Q$107,1)))</x:f>
      </x:c>
      <x:c r="AX42" s="42" t="str">
        <x:f>IF($A42="","",COUNTIFS('Quotations'!$L$8:$L$107,$AE42,'Quotations'!$O$8:$O$107,1,'Quotations'!$I$8:$I$107,"Yes"))</x:f>
      </x:c>
      <x:c r="AY42" s="42" t="str">
        <x:f>IF($A42="","",COUNTIFS('Orders_PO'!$N$8:$N$107,$AE42,'Orders_PO'!$Q$8:$Q$107,1))</x:f>
      </x:c>
      <x:c r="AZ42" s="42" t="str">
        <x:f>IF($A42="","",IF((IF($AE42="","ขาด Lead ID; ","")&amp;IF(AND($AE42&lt;&gt;"",COUNTIF('Leads'!$AE$8:$AE$107,$AE42)&gt;1),"Lead ID ซ้ำ; ","")&amp;IF(COUNTIF('Leads'!$A$8:$A$107,$A42)&gt;1,"Reference ซ้ำ; ","")&amp;IF(COUNTIF('Guide_Lists'!$AR$2:$AR$4,$A42)&gt;0,"Known TEST — ห้ามนับผล; ","")&amp;IF(OR($B42="",$D42=""),"ขาดชื่อ/งาน; ","")&amp;IF(AND($L42="",$M42="",$N42=""),"ขาดช่องทางติดต่อ; ","")&amp;IF(OR($Z42="",$AA42="",$F42="",$G42="",$AT42=""),"ขาดผู้ดูแล/ประเภท/สถานะ/Environment; ","")&amp;IF(NOT(ISNUMBER($AF42)),"ขาดเวลารับ Lead; ","")&amp;IF(AND($AA42="Duplicate",$AB42=""),"ขาด duplicate_of; ","")&amp;IF(AND($G42="Qualified",OR($R42="",$U42="")),"Qualified ขาดเหตุผล/วันที่; ","")&amp;IF(AND($G42="Unqualified",$R42=""),"Unqualified ขาดเหตุผล; ","")&amp;IF(AND($F42="Qualified",$G42&lt;&gt;"Qualified"),"สถานะ/ผลคัดกรองไม่ตรง; ","")&amp;IF(AND($F42="Unqualified",$G42&lt;&gt;"Unqualified"),"สถานะ/ผลคัดกรองไม่ตรง; ","")&amp;IF(AND($F42="Contacting",$S42=""),"ขาดเวลาพยายามติดต่อ; ","")&amp;IF(AND($O42="Contactable",$T42=""),"ขาดเวลาติดต่อสำเร็จ; ","")&amp;IF(AND($F42="Quotation Sent",$AV42=""),"ยังไม่มีใบราคาที่ตรวจผ่าน; ","")&amp;IF(AND($F42="Won",$AY42=0),"Won ยังไม่มี PO ที่ตรวจผ่าน; ","")&amp;IF(AND($AY42&gt;0,$F42&lt;&gt;"Won"),"มี PO แล้ว—ตรวจสถานะ; ","")&amp;IF(AND($F42="Lost",OR($W42="",$X42="")),"Lost ขาดวัน/เหตุผล; ","")&amp;IF(AND($AA42="Real",NOT(OR($F42="Won",$F42="Lost",$F42="Unqualified")),OR($H42="",$I42="")),"ขาดนัด/งานถัดไป; ","")&amp;IF(OR($AC42="",$AD42=""),"ขาดเวลา/ผู้บันทึก; ","")&amp;IF(AND(ISNUMBER($S42),ISNUMBER($AF42),$S42&lt;$AF42),"ตรวจเวลา attempt ก่อนรับ Lead; ",""))="","ครบ",IF($AE42="","ขาด Lead ID; ","")&amp;IF(AND($AE42&lt;&gt;"",COUNTIF('Leads'!$AE$8:$AE$107,$AE42)&gt;1),"Lead ID ซ้ำ; ","")&amp;IF(COUNTIF('Leads'!$A$8:$A$107,$A42)&gt;1,"Reference ซ้ำ; ","")&amp;IF(COUNTIF('Guide_Lists'!$AR$2:$AR$4,$A42)&gt;0,"Known TEST — ห้ามนับผล; ","")&amp;IF(OR($B42="",$D42=""),"ขาดชื่อ/งาน; ","")&amp;IF(AND($L42="",$M42="",$N42=""),"ขาดช่องทางติดต่อ; ","")&amp;IF(OR($Z42="",$AA42="",$F42="",$G42="",$AT42=""),"ขาดผู้ดูแล/ประเภท/สถานะ/Environment; ","")&amp;IF(NOT(ISNUMBER($AF42)),"ขาดเวลารับ Lead; ","")&amp;IF(AND($AA42="Duplicate",$AB42=""),"ขาด duplicate_of; ","")&amp;IF(AND($G42="Qualified",OR($R42="",$U42="")),"Qualified ขาดเหตุผล/วันที่; ","")&amp;IF(AND($G42="Unqualified",$R42=""),"Unqualified ขาดเหตุผล; ","")&amp;IF(AND($F42="Qualified",$G42&lt;&gt;"Qualified"),"สถานะ/ผลคัดกรองไม่ตรง; ","")&amp;IF(AND($F42="Unqualified",$G42&lt;&gt;"Unqualified"),"สถานะ/ผลคัดกรองไม่ตรง; ","")&amp;IF(AND($F42="Contacting",$S42=""),"ขาดเวลาพยายามติดต่อ; ","")&amp;IF(AND($O42="Contactable",$T42=""),"ขาดเวลาติดต่อสำเร็จ; ","")&amp;IF(AND($F42="Quotation Sent",$AV42=""),"ยังไม่มีใบราคาที่ตรวจผ่าน; ","")&amp;IF(AND($F42="Won",$AY42=0),"Won ยังไม่มี PO ที่ตรวจผ่าน; ","")&amp;IF(AND($AY42&gt;0,$F42&lt;&gt;"Won"),"มี PO แล้ว—ตรวจสถานะ; ","")&amp;IF(AND($F42="Lost",OR($W42="",$X42="")),"Lost ขาดวัน/เหตุผล; ","")&amp;IF(AND($AA42="Real",NOT(OR($F42="Won",$F42="Lost",$F42="Unqualified")),OR($H42="",$I42="")),"ขาดนัด/งานถัดไป; ","")&amp;IF(OR($AC42="",$AD42=""),"ขาดเวลา/ผู้บันทึก; ","")&amp;IF(AND(ISNUMBER($S42),ISNUMBER($AF42),$S42&lt;$AF42),"ตรวจเวลา attempt ก่อนรับ Lead; ","")))</x:f>
      </x:c>
      <x:c r="BA42" s="42" t="str">
        <x:f>IF($A42="","",IF(AND($AE42&lt;&gt;"",$AA42="Real",$AT42="production",COUNTIF('Leads'!$AE$8:$AE$107,$AE42)=1,COUNTIF('Leads'!$A$8:$A$107,$A42)=1,COUNTIF('Guide_Lists'!$AR$2:$AR$4,$A42)=0),1,0))</x:f>
      </x:c>
    </x:row>
    <x:row r="43" ht="30" customHeight="1">
      <x:c r="A43" s="94"/>
      <x:c r="B43" s="32"/>
      <x:c r="C43" s="32"/>
      <x:c r="D43" s="32"/>
      <x:c r="E43" s="92"/>
      <x:c r="F43" s="36"/>
      <x:c r="G43" s="36"/>
      <x:c r="H43" s="82"/>
      <x:c r="I43" s="36"/>
      <x:c r="J43" s="42" t="str">
        <x:f>IF($A43="","",IF(OR($AA43="Test",$AA43="Spam",$AA43="Duplicate",COUNTIF('Guide_Lists'!$AR$2:$AR$4,$A43)&gt;0),"ไม่นับผลธุรกิจ",IF($AA43&lt;&gt;"Real","ระบุประเภทข้อมูล",IF(OR($F43="Won",$F43="Lost",$F43="Unqualified"),"ปิดงานขาย",IF($H43="","ยังไม่นัด",IF(NOT(ISNUMBER($H43)),"ตรวจวันนัด",IF(INT($H43)&lt;'Guide_Lists'!$B$4,"เกินกำหนด",IF(INT($H43)='Guide_Lists'!$B$4,"ติดตามวันนี้","รอนัด"))))))))</x:f>
      </x:c>
      <x:c r="K43" s="32"/>
      <x:c r="L43" s="94"/>
      <x:c r="M43" s="94"/>
      <x:c r="N43" s="94"/>
      <x:c r="O43" s="36"/>
      <x:c r="P43" s="36"/>
      <x:c r="Q43" s="36"/>
      <x:c r="R43" s="36"/>
      <x:c r="S43" s="82"/>
      <x:c r="T43" s="82"/>
      <x:c r="U43" s="82"/>
      <x:c r="V43" s="82"/>
      <x:c r="W43" s="82"/>
      <x:c r="X43" s="36"/>
      <x:c r="Y43" s="36"/>
      <x:c r="Z43" s="36"/>
      <x:c r="AA43" s="36"/>
      <x:c r="AB43" s="96"/>
      <x:c r="AC43" s="82"/>
      <x:c r="AD43" s="36"/>
      <x:c r="AE43" s="94"/>
      <x:c r="AF43" s="86"/>
      <x:c r="AG43" s="32"/>
      <x:c r="AH43" s="32"/>
      <x:c r="AI43" s="32"/>
      <x:c r="AJ43" s="88"/>
      <x:c r="AK43" s="32"/>
      <x:c r="AL43" s="32"/>
      <x:c r="AM43" s="32"/>
      <x:c r="AN43" s="32"/>
      <x:c r="AO43" s="32"/>
      <x:c r="AP43" s="32"/>
      <x:c r="AQ43" s="94"/>
      <x:c r="AR43" s="32"/>
      <x:c r="AS43" s="32"/>
      <x:c r="AT43" s="32"/>
      <x:c r="AU43" s="86"/>
      <x:c r="AV43" s="90" t="str">
        <x:f>IF($A43="","",IF(COUNTIFS('Quotations'!$L$8:$L$107,$AE43,'Quotations'!$O$8:$O$107,1)=0,"",MINIFS('Quotations'!$E$8:$E$107,'Quotations'!$L$8:$L$107,$AE43,'Quotations'!$O$8:$O$107,1)))</x:f>
      </x:c>
      <x:c r="AW43" s="90" t="str">
        <x:f>IF($A43="","",IF(COUNTIFS('Orders_PO'!$N$8:$N$107,$AE43,'Orders_PO'!$Q$8:$Q$107,1)=0,"",MINIFS('Orders_PO'!$E$8:$E$107,'Orders_PO'!$N$8:$N$107,$AE43,'Orders_PO'!$Q$8:$Q$107,1)))</x:f>
      </x:c>
      <x:c r="AX43" s="42" t="str">
        <x:f>IF($A43="","",COUNTIFS('Quotations'!$L$8:$L$107,$AE43,'Quotations'!$O$8:$O$107,1,'Quotations'!$I$8:$I$107,"Yes"))</x:f>
      </x:c>
      <x:c r="AY43" s="42" t="str">
        <x:f>IF($A43="","",COUNTIFS('Orders_PO'!$N$8:$N$107,$AE43,'Orders_PO'!$Q$8:$Q$107,1))</x:f>
      </x:c>
      <x:c r="AZ43" s="42" t="str">
        <x:f>IF($A43="","",IF((IF($AE43="","ขาด Lead ID; ","")&amp;IF(AND($AE43&lt;&gt;"",COUNTIF('Leads'!$AE$8:$AE$107,$AE43)&gt;1),"Lead ID ซ้ำ; ","")&amp;IF(COUNTIF('Leads'!$A$8:$A$107,$A43)&gt;1,"Reference ซ้ำ; ","")&amp;IF(COUNTIF('Guide_Lists'!$AR$2:$AR$4,$A43)&gt;0,"Known TEST — ห้ามนับผล; ","")&amp;IF(OR($B43="",$D43=""),"ขาดชื่อ/งาน; ","")&amp;IF(AND($L43="",$M43="",$N43=""),"ขาดช่องทางติดต่อ; ","")&amp;IF(OR($Z43="",$AA43="",$F43="",$G43="",$AT43=""),"ขาดผู้ดูแล/ประเภท/สถานะ/Environment; ","")&amp;IF(NOT(ISNUMBER($AF43)),"ขาดเวลารับ Lead; ","")&amp;IF(AND($AA43="Duplicate",$AB43=""),"ขาด duplicate_of; ","")&amp;IF(AND($G43="Qualified",OR($R43="",$U43="")),"Qualified ขาดเหตุผล/วันที่; ","")&amp;IF(AND($G43="Unqualified",$R43=""),"Unqualified ขาดเหตุผล; ","")&amp;IF(AND($F43="Qualified",$G43&lt;&gt;"Qualified"),"สถานะ/ผลคัดกรองไม่ตรง; ","")&amp;IF(AND($F43="Unqualified",$G43&lt;&gt;"Unqualified"),"สถานะ/ผลคัดกรองไม่ตรง; ","")&amp;IF(AND($F43="Contacting",$S43=""),"ขาดเวลาพยายามติดต่อ; ","")&amp;IF(AND($O43="Contactable",$T43=""),"ขาดเวลาติดต่อสำเร็จ; ","")&amp;IF(AND($F43="Quotation Sent",$AV43=""),"ยังไม่มีใบราคาที่ตรวจผ่าน; ","")&amp;IF(AND($F43="Won",$AY43=0),"Won ยังไม่มี PO ที่ตรวจผ่าน; ","")&amp;IF(AND($AY43&gt;0,$F43&lt;&gt;"Won"),"มี PO แล้ว—ตรวจสถานะ; ","")&amp;IF(AND($F43="Lost",OR($W43="",$X43="")),"Lost ขาดวัน/เหตุผล; ","")&amp;IF(AND($AA43="Real",NOT(OR($F43="Won",$F43="Lost",$F43="Unqualified")),OR($H43="",$I43="")),"ขาดนัด/งานถัดไป; ","")&amp;IF(OR($AC43="",$AD43=""),"ขาดเวลา/ผู้บันทึก; ","")&amp;IF(AND(ISNUMBER($S43),ISNUMBER($AF43),$S43&lt;$AF43),"ตรวจเวลา attempt ก่อนรับ Lead; ",""))="","ครบ",IF($AE43="","ขาด Lead ID; ","")&amp;IF(AND($AE43&lt;&gt;"",COUNTIF('Leads'!$AE$8:$AE$107,$AE43)&gt;1),"Lead ID ซ้ำ; ","")&amp;IF(COUNTIF('Leads'!$A$8:$A$107,$A43)&gt;1,"Reference ซ้ำ; ","")&amp;IF(COUNTIF('Guide_Lists'!$AR$2:$AR$4,$A43)&gt;0,"Known TEST — ห้ามนับผล; ","")&amp;IF(OR($B43="",$D43=""),"ขาดชื่อ/งาน; ","")&amp;IF(AND($L43="",$M43="",$N43=""),"ขาดช่องทางติดต่อ; ","")&amp;IF(OR($Z43="",$AA43="",$F43="",$G43="",$AT43=""),"ขาดผู้ดูแล/ประเภท/สถานะ/Environment; ","")&amp;IF(NOT(ISNUMBER($AF43)),"ขาดเวลารับ Lead; ","")&amp;IF(AND($AA43="Duplicate",$AB43=""),"ขาด duplicate_of; ","")&amp;IF(AND($G43="Qualified",OR($R43="",$U43="")),"Qualified ขาดเหตุผล/วันที่; ","")&amp;IF(AND($G43="Unqualified",$R43=""),"Unqualified ขาดเหตุผล; ","")&amp;IF(AND($F43="Qualified",$G43&lt;&gt;"Qualified"),"สถานะ/ผลคัดกรองไม่ตรง; ","")&amp;IF(AND($F43="Unqualified",$G43&lt;&gt;"Unqualified"),"สถานะ/ผลคัดกรองไม่ตรง; ","")&amp;IF(AND($F43="Contacting",$S43=""),"ขาดเวลาพยายามติดต่อ; ","")&amp;IF(AND($O43="Contactable",$T43=""),"ขาดเวลาติดต่อสำเร็จ; ","")&amp;IF(AND($F43="Quotation Sent",$AV43=""),"ยังไม่มีใบราคาที่ตรวจผ่าน; ","")&amp;IF(AND($F43="Won",$AY43=0),"Won ยังไม่มี PO ที่ตรวจผ่าน; ","")&amp;IF(AND($AY43&gt;0,$F43&lt;&gt;"Won"),"มี PO แล้ว—ตรวจสถานะ; ","")&amp;IF(AND($F43="Lost",OR($W43="",$X43="")),"Lost ขาดวัน/เหตุผล; ","")&amp;IF(AND($AA43="Real",NOT(OR($F43="Won",$F43="Lost",$F43="Unqualified")),OR($H43="",$I43="")),"ขาดนัด/งานถัดไป; ","")&amp;IF(OR($AC43="",$AD43=""),"ขาดเวลา/ผู้บันทึก; ","")&amp;IF(AND(ISNUMBER($S43),ISNUMBER($AF43),$S43&lt;$AF43),"ตรวจเวลา attempt ก่อนรับ Lead; ","")))</x:f>
      </x:c>
      <x:c r="BA43" s="42" t="str">
        <x:f>IF($A43="","",IF(AND($AE43&lt;&gt;"",$AA43="Real",$AT43="production",COUNTIF('Leads'!$AE$8:$AE$107,$AE43)=1,COUNTIF('Leads'!$A$8:$A$107,$A43)=1,COUNTIF('Guide_Lists'!$AR$2:$AR$4,$A43)=0),1,0))</x:f>
      </x:c>
    </x:row>
    <x:row r="44" ht="30" customHeight="1">
      <x:c r="A44" s="94"/>
      <x:c r="B44" s="32"/>
      <x:c r="C44" s="32"/>
      <x:c r="D44" s="32"/>
      <x:c r="E44" s="92"/>
      <x:c r="F44" s="36"/>
      <x:c r="G44" s="36"/>
      <x:c r="H44" s="82"/>
      <x:c r="I44" s="36"/>
      <x:c r="J44" s="42" t="str">
        <x:f>IF($A44="","",IF(OR($AA44="Test",$AA44="Spam",$AA44="Duplicate",COUNTIF('Guide_Lists'!$AR$2:$AR$4,$A44)&gt;0),"ไม่นับผลธุรกิจ",IF($AA44&lt;&gt;"Real","ระบุประเภทข้อมูล",IF(OR($F44="Won",$F44="Lost",$F44="Unqualified"),"ปิดงานขาย",IF($H44="","ยังไม่นัด",IF(NOT(ISNUMBER($H44)),"ตรวจวันนัด",IF(INT($H44)&lt;'Guide_Lists'!$B$4,"เกินกำหนด",IF(INT($H44)='Guide_Lists'!$B$4,"ติดตามวันนี้","รอนัด"))))))))</x:f>
      </x:c>
      <x:c r="K44" s="32"/>
      <x:c r="L44" s="94"/>
      <x:c r="M44" s="94"/>
      <x:c r="N44" s="94"/>
      <x:c r="O44" s="36"/>
      <x:c r="P44" s="36"/>
      <x:c r="Q44" s="36"/>
      <x:c r="R44" s="36"/>
      <x:c r="S44" s="82"/>
      <x:c r="T44" s="82"/>
      <x:c r="U44" s="82"/>
      <x:c r="V44" s="82"/>
      <x:c r="W44" s="82"/>
      <x:c r="X44" s="36"/>
      <x:c r="Y44" s="36"/>
      <x:c r="Z44" s="36"/>
      <x:c r="AA44" s="36"/>
      <x:c r="AB44" s="96"/>
      <x:c r="AC44" s="82"/>
      <x:c r="AD44" s="36"/>
      <x:c r="AE44" s="94"/>
      <x:c r="AF44" s="86"/>
      <x:c r="AG44" s="32"/>
      <x:c r="AH44" s="32"/>
      <x:c r="AI44" s="32"/>
      <x:c r="AJ44" s="88"/>
      <x:c r="AK44" s="32"/>
      <x:c r="AL44" s="32"/>
      <x:c r="AM44" s="32"/>
      <x:c r="AN44" s="32"/>
      <x:c r="AO44" s="32"/>
      <x:c r="AP44" s="32"/>
      <x:c r="AQ44" s="94"/>
      <x:c r="AR44" s="32"/>
      <x:c r="AS44" s="32"/>
      <x:c r="AT44" s="32"/>
      <x:c r="AU44" s="86"/>
      <x:c r="AV44" s="90" t="str">
        <x:f>IF($A44="","",IF(COUNTIFS('Quotations'!$L$8:$L$107,$AE44,'Quotations'!$O$8:$O$107,1)=0,"",MINIFS('Quotations'!$E$8:$E$107,'Quotations'!$L$8:$L$107,$AE44,'Quotations'!$O$8:$O$107,1)))</x:f>
      </x:c>
      <x:c r="AW44" s="90" t="str">
        <x:f>IF($A44="","",IF(COUNTIFS('Orders_PO'!$N$8:$N$107,$AE44,'Orders_PO'!$Q$8:$Q$107,1)=0,"",MINIFS('Orders_PO'!$E$8:$E$107,'Orders_PO'!$N$8:$N$107,$AE44,'Orders_PO'!$Q$8:$Q$107,1)))</x:f>
      </x:c>
      <x:c r="AX44" s="42" t="str">
        <x:f>IF($A44="","",COUNTIFS('Quotations'!$L$8:$L$107,$AE44,'Quotations'!$O$8:$O$107,1,'Quotations'!$I$8:$I$107,"Yes"))</x:f>
      </x:c>
      <x:c r="AY44" s="42" t="str">
        <x:f>IF($A44="","",COUNTIFS('Orders_PO'!$N$8:$N$107,$AE44,'Orders_PO'!$Q$8:$Q$107,1))</x:f>
      </x:c>
      <x:c r="AZ44" s="42" t="str">
        <x:f>IF($A44="","",IF((IF($AE44="","ขาด Lead ID; ","")&amp;IF(AND($AE44&lt;&gt;"",COUNTIF('Leads'!$AE$8:$AE$107,$AE44)&gt;1),"Lead ID ซ้ำ; ","")&amp;IF(COUNTIF('Leads'!$A$8:$A$107,$A44)&gt;1,"Reference ซ้ำ; ","")&amp;IF(COUNTIF('Guide_Lists'!$AR$2:$AR$4,$A44)&gt;0,"Known TEST — ห้ามนับผล; ","")&amp;IF(OR($B44="",$D44=""),"ขาดชื่อ/งาน; ","")&amp;IF(AND($L44="",$M44="",$N44=""),"ขาดช่องทางติดต่อ; ","")&amp;IF(OR($Z44="",$AA44="",$F44="",$G44="",$AT44=""),"ขาดผู้ดูแล/ประเภท/สถานะ/Environment; ","")&amp;IF(NOT(ISNUMBER($AF44)),"ขาดเวลารับ Lead; ","")&amp;IF(AND($AA44="Duplicate",$AB44=""),"ขาด duplicate_of; ","")&amp;IF(AND($G44="Qualified",OR($R44="",$U44="")),"Qualified ขาดเหตุผล/วันที่; ","")&amp;IF(AND($G44="Unqualified",$R44=""),"Unqualified ขาดเหตุผล; ","")&amp;IF(AND($F44="Qualified",$G44&lt;&gt;"Qualified"),"สถานะ/ผลคัดกรองไม่ตรง; ","")&amp;IF(AND($F44="Unqualified",$G44&lt;&gt;"Unqualified"),"สถานะ/ผลคัดกรองไม่ตรง; ","")&amp;IF(AND($F44="Contacting",$S44=""),"ขาดเวลาพยายามติดต่อ; ","")&amp;IF(AND($O44="Contactable",$T44=""),"ขาดเวลาติดต่อสำเร็จ; ","")&amp;IF(AND($F44="Quotation Sent",$AV44=""),"ยังไม่มีใบราคาที่ตรวจผ่าน; ","")&amp;IF(AND($F44="Won",$AY44=0),"Won ยังไม่มี PO ที่ตรวจผ่าน; ","")&amp;IF(AND($AY44&gt;0,$F44&lt;&gt;"Won"),"มี PO แล้ว—ตรวจสถานะ; ","")&amp;IF(AND($F44="Lost",OR($W44="",$X44="")),"Lost ขาดวัน/เหตุผล; ","")&amp;IF(AND($AA44="Real",NOT(OR($F44="Won",$F44="Lost",$F44="Unqualified")),OR($H44="",$I44="")),"ขาดนัด/งานถัดไป; ","")&amp;IF(OR($AC44="",$AD44=""),"ขาดเวลา/ผู้บันทึก; ","")&amp;IF(AND(ISNUMBER($S44),ISNUMBER($AF44),$S44&lt;$AF44),"ตรวจเวลา attempt ก่อนรับ Lead; ",""))="","ครบ",IF($AE44="","ขาด Lead ID; ","")&amp;IF(AND($AE44&lt;&gt;"",COUNTIF('Leads'!$AE$8:$AE$107,$AE44)&gt;1),"Lead ID ซ้ำ; ","")&amp;IF(COUNTIF('Leads'!$A$8:$A$107,$A44)&gt;1,"Reference ซ้ำ; ","")&amp;IF(COUNTIF('Guide_Lists'!$AR$2:$AR$4,$A44)&gt;0,"Known TEST — ห้ามนับผล; ","")&amp;IF(OR($B44="",$D44=""),"ขาดชื่อ/งาน; ","")&amp;IF(AND($L44="",$M44="",$N44=""),"ขาดช่องทางติดต่อ; ","")&amp;IF(OR($Z44="",$AA44="",$F44="",$G44="",$AT44=""),"ขาดผู้ดูแล/ประเภท/สถานะ/Environment; ","")&amp;IF(NOT(ISNUMBER($AF44)),"ขาดเวลารับ Lead; ","")&amp;IF(AND($AA44="Duplicate",$AB44=""),"ขาด duplicate_of; ","")&amp;IF(AND($G44="Qualified",OR($R44="",$U44="")),"Qualified ขาดเหตุผล/วันที่; ","")&amp;IF(AND($G44="Unqualified",$R44=""),"Unqualified ขาดเหตุผล; ","")&amp;IF(AND($F44="Qualified",$G44&lt;&gt;"Qualified"),"สถานะ/ผลคัดกรองไม่ตรง; ","")&amp;IF(AND($F44="Unqualified",$G44&lt;&gt;"Unqualified"),"สถานะ/ผลคัดกรองไม่ตรง; ","")&amp;IF(AND($F44="Contacting",$S44=""),"ขาดเวลาพยายามติดต่อ; ","")&amp;IF(AND($O44="Contactable",$T44=""),"ขาดเวลาติดต่อสำเร็จ; ","")&amp;IF(AND($F44="Quotation Sent",$AV44=""),"ยังไม่มีใบราคาที่ตรวจผ่าน; ","")&amp;IF(AND($F44="Won",$AY44=0),"Won ยังไม่มี PO ที่ตรวจผ่าน; ","")&amp;IF(AND($AY44&gt;0,$F44&lt;&gt;"Won"),"มี PO แล้ว—ตรวจสถานะ; ","")&amp;IF(AND($F44="Lost",OR($W44="",$X44="")),"Lost ขาดวัน/เหตุผล; ","")&amp;IF(AND($AA44="Real",NOT(OR($F44="Won",$F44="Lost",$F44="Unqualified")),OR($H44="",$I44="")),"ขาดนัด/งานถัดไป; ","")&amp;IF(OR($AC44="",$AD44=""),"ขาดเวลา/ผู้บันทึก; ","")&amp;IF(AND(ISNUMBER($S44),ISNUMBER($AF44),$S44&lt;$AF44),"ตรวจเวลา attempt ก่อนรับ Lead; ","")))</x:f>
      </x:c>
      <x:c r="BA44" s="42" t="str">
        <x:f>IF($A44="","",IF(AND($AE44&lt;&gt;"",$AA44="Real",$AT44="production",COUNTIF('Leads'!$AE$8:$AE$107,$AE44)=1,COUNTIF('Leads'!$A$8:$A$107,$A44)=1,COUNTIF('Guide_Lists'!$AR$2:$AR$4,$A44)=0),1,0))</x:f>
      </x:c>
    </x:row>
    <x:row r="45" ht="30" customHeight="1">
      <x:c r="A45" s="94"/>
      <x:c r="B45" s="32"/>
      <x:c r="C45" s="32"/>
      <x:c r="D45" s="32"/>
      <x:c r="E45" s="92"/>
      <x:c r="F45" s="36"/>
      <x:c r="G45" s="36"/>
      <x:c r="H45" s="82"/>
      <x:c r="I45" s="36"/>
      <x:c r="J45" s="42" t="str">
        <x:f>IF($A45="","",IF(OR($AA45="Test",$AA45="Spam",$AA45="Duplicate",COUNTIF('Guide_Lists'!$AR$2:$AR$4,$A45)&gt;0),"ไม่นับผลธุรกิจ",IF($AA45&lt;&gt;"Real","ระบุประเภทข้อมูล",IF(OR($F45="Won",$F45="Lost",$F45="Unqualified"),"ปิดงานขาย",IF($H45="","ยังไม่นัด",IF(NOT(ISNUMBER($H45)),"ตรวจวันนัด",IF(INT($H45)&lt;'Guide_Lists'!$B$4,"เกินกำหนด",IF(INT($H45)='Guide_Lists'!$B$4,"ติดตามวันนี้","รอนัด"))))))))</x:f>
      </x:c>
      <x:c r="K45" s="32"/>
      <x:c r="L45" s="94"/>
      <x:c r="M45" s="94"/>
      <x:c r="N45" s="94"/>
      <x:c r="O45" s="36"/>
      <x:c r="P45" s="36"/>
      <x:c r="Q45" s="36"/>
      <x:c r="R45" s="36"/>
      <x:c r="S45" s="82"/>
      <x:c r="T45" s="82"/>
      <x:c r="U45" s="82"/>
      <x:c r="V45" s="82"/>
      <x:c r="W45" s="82"/>
      <x:c r="X45" s="36"/>
      <x:c r="Y45" s="36"/>
      <x:c r="Z45" s="36"/>
      <x:c r="AA45" s="36"/>
      <x:c r="AB45" s="96"/>
      <x:c r="AC45" s="82"/>
      <x:c r="AD45" s="36"/>
      <x:c r="AE45" s="94"/>
      <x:c r="AF45" s="86"/>
      <x:c r="AG45" s="32"/>
      <x:c r="AH45" s="32"/>
      <x:c r="AI45" s="32"/>
      <x:c r="AJ45" s="88"/>
      <x:c r="AK45" s="32"/>
      <x:c r="AL45" s="32"/>
      <x:c r="AM45" s="32"/>
      <x:c r="AN45" s="32"/>
      <x:c r="AO45" s="32"/>
      <x:c r="AP45" s="32"/>
      <x:c r="AQ45" s="94"/>
      <x:c r="AR45" s="32"/>
      <x:c r="AS45" s="32"/>
      <x:c r="AT45" s="32"/>
      <x:c r="AU45" s="86"/>
      <x:c r="AV45" s="90" t="str">
        <x:f>IF($A45="","",IF(COUNTIFS('Quotations'!$L$8:$L$107,$AE45,'Quotations'!$O$8:$O$107,1)=0,"",MINIFS('Quotations'!$E$8:$E$107,'Quotations'!$L$8:$L$107,$AE45,'Quotations'!$O$8:$O$107,1)))</x:f>
      </x:c>
      <x:c r="AW45" s="90" t="str">
        <x:f>IF($A45="","",IF(COUNTIFS('Orders_PO'!$N$8:$N$107,$AE45,'Orders_PO'!$Q$8:$Q$107,1)=0,"",MINIFS('Orders_PO'!$E$8:$E$107,'Orders_PO'!$N$8:$N$107,$AE45,'Orders_PO'!$Q$8:$Q$107,1)))</x:f>
      </x:c>
      <x:c r="AX45" s="42" t="str">
        <x:f>IF($A45="","",COUNTIFS('Quotations'!$L$8:$L$107,$AE45,'Quotations'!$O$8:$O$107,1,'Quotations'!$I$8:$I$107,"Yes"))</x:f>
      </x:c>
      <x:c r="AY45" s="42" t="str">
        <x:f>IF($A45="","",COUNTIFS('Orders_PO'!$N$8:$N$107,$AE45,'Orders_PO'!$Q$8:$Q$107,1))</x:f>
      </x:c>
      <x:c r="AZ45" s="42" t="str">
        <x:f>IF($A45="","",IF((IF($AE45="","ขาด Lead ID; ","")&amp;IF(AND($AE45&lt;&gt;"",COUNTIF('Leads'!$AE$8:$AE$107,$AE45)&gt;1),"Lead ID ซ้ำ; ","")&amp;IF(COUNTIF('Leads'!$A$8:$A$107,$A45)&gt;1,"Reference ซ้ำ; ","")&amp;IF(COUNTIF('Guide_Lists'!$AR$2:$AR$4,$A45)&gt;0,"Known TEST — ห้ามนับผล; ","")&amp;IF(OR($B45="",$D45=""),"ขาดชื่อ/งาน; ","")&amp;IF(AND($L45="",$M45="",$N45=""),"ขาดช่องทางติดต่อ; ","")&amp;IF(OR($Z45="",$AA45="",$F45="",$G45="",$AT45=""),"ขาดผู้ดูแล/ประเภท/สถานะ/Environment; ","")&amp;IF(NOT(ISNUMBER($AF45)),"ขาดเวลารับ Lead; ","")&amp;IF(AND($AA45="Duplicate",$AB45=""),"ขาด duplicate_of; ","")&amp;IF(AND($G45="Qualified",OR($R45="",$U45="")),"Qualified ขาดเหตุผล/วันที่; ","")&amp;IF(AND($G45="Unqualified",$R45=""),"Unqualified ขาดเหตุผล; ","")&amp;IF(AND($F45="Qualified",$G45&lt;&gt;"Qualified"),"สถานะ/ผลคัดกรองไม่ตรง; ","")&amp;IF(AND($F45="Unqualified",$G45&lt;&gt;"Unqualified"),"สถานะ/ผลคัดกรองไม่ตรง; ","")&amp;IF(AND($F45="Contacting",$S45=""),"ขาดเวลาพยายามติดต่อ; ","")&amp;IF(AND($O45="Contactable",$T45=""),"ขาดเวลาติดต่อสำเร็จ; ","")&amp;IF(AND($F45="Quotation Sent",$AV45=""),"ยังไม่มีใบราคาที่ตรวจผ่าน; ","")&amp;IF(AND($F45="Won",$AY45=0),"Won ยังไม่มี PO ที่ตรวจผ่าน; ","")&amp;IF(AND($AY45&gt;0,$F45&lt;&gt;"Won"),"มี PO แล้ว—ตรวจสถานะ; ","")&amp;IF(AND($F45="Lost",OR($W45="",$X45="")),"Lost ขาดวัน/เหตุผล; ","")&amp;IF(AND($AA45="Real",NOT(OR($F45="Won",$F45="Lost",$F45="Unqualified")),OR($H45="",$I45="")),"ขาดนัด/งานถัดไป; ","")&amp;IF(OR($AC45="",$AD45=""),"ขาดเวลา/ผู้บันทึก; ","")&amp;IF(AND(ISNUMBER($S45),ISNUMBER($AF45),$S45&lt;$AF45),"ตรวจเวลา attempt ก่อนรับ Lead; ",""))="","ครบ",IF($AE45="","ขาด Lead ID; ","")&amp;IF(AND($AE45&lt;&gt;"",COUNTIF('Leads'!$AE$8:$AE$107,$AE45)&gt;1),"Lead ID ซ้ำ; ","")&amp;IF(COUNTIF('Leads'!$A$8:$A$107,$A45)&gt;1,"Reference ซ้ำ; ","")&amp;IF(COUNTIF('Guide_Lists'!$AR$2:$AR$4,$A45)&gt;0,"Known TEST — ห้ามนับผล; ","")&amp;IF(OR($B45="",$D45=""),"ขาดชื่อ/งาน; ","")&amp;IF(AND($L45="",$M45="",$N45=""),"ขาดช่องทางติดต่อ; ","")&amp;IF(OR($Z45="",$AA45="",$F45="",$G45="",$AT45=""),"ขาดผู้ดูแล/ประเภท/สถานะ/Environment; ","")&amp;IF(NOT(ISNUMBER($AF45)),"ขาดเวลารับ Lead; ","")&amp;IF(AND($AA45="Duplicate",$AB45=""),"ขาด duplicate_of; ","")&amp;IF(AND($G45="Qualified",OR($R45="",$U45="")),"Qualified ขาดเหตุผล/วันที่; ","")&amp;IF(AND($G45="Unqualified",$R45=""),"Unqualified ขาดเหตุผล; ","")&amp;IF(AND($F45="Qualified",$G45&lt;&gt;"Qualified"),"สถานะ/ผลคัดกรองไม่ตรง; ","")&amp;IF(AND($F45="Unqualified",$G45&lt;&gt;"Unqualified"),"สถานะ/ผลคัดกรองไม่ตรง; ","")&amp;IF(AND($F45="Contacting",$S45=""),"ขาดเวลาพยายามติดต่อ; ","")&amp;IF(AND($O45="Contactable",$T45=""),"ขาดเวลาติดต่อสำเร็จ; ","")&amp;IF(AND($F45="Quotation Sent",$AV45=""),"ยังไม่มีใบราคาที่ตรวจผ่าน; ","")&amp;IF(AND($F45="Won",$AY45=0),"Won ยังไม่มี PO ที่ตรวจผ่าน; ","")&amp;IF(AND($AY45&gt;0,$F45&lt;&gt;"Won"),"มี PO แล้ว—ตรวจสถานะ; ","")&amp;IF(AND($F45="Lost",OR($W45="",$X45="")),"Lost ขาดวัน/เหตุผล; ","")&amp;IF(AND($AA45="Real",NOT(OR($F45="Won",$F45="Lost",$F45="Unqualified")),OR($H45="",$I45="")),"ขาดนัด/งานถัดไป; ","")&amp;IF(OR($AC45="",$AD45=""),"ขาดเวลา/ผู้บันทึก; ","")&amp;IF(AND(ISNUMBER($S45),ISNUMBER($AF45),$S45&lt;$AF45),"ตรวจเวลา attempt ก่อนรับ Lead; ","")))</x:f>
      </x:c>
      <x:c r="BA45" s="42" t="str">
        <x:f>IF($A45="","",IF(AND($AE45&lt;&gt;"",$AA45="Real",$AT45="production",COUNTIF('Leads'!$AE$8:$AE$107,$AE45)=1,COUNTIF('Leads'!$A$8:$A$107,$A45)=1,COUNTIF('Guide_Lists'!$AR$2:$AR$4,$A45)=0),1,0))</x:f>
      </x:c>
    </x:row>
    <x:row r="46" ht="30" customHeight="1">
      <x:c r="A46" s="94"/>
      <x:c r="B46" s="32"/>
      <x:c r="C46" s="32"/>
      <x:c r="D46" s="32"/>
      <x:c r="E46" s="92"/>
      <x:c r="F46" s="36"/>
      <x:c r="G46" s="36"/>
      <x:c r="H46" s="82"/>
      <x:c r="I46" s="36"/>
      <x:c r="J46" s="42" t="str">
        <x:f>IF($A46="","",IF(OR($AA46="Test",$AA46="Spam",$AA46="Duplicate",COUNTIF('Guide_Lists'!$AR$2:$AR$4,$A46)&gt;0),"ไม่นับผลธุรกิจ",IF($AA46&lt;&gt;"Real","ระบุประเภทข้อมูล",IF(OR($F46="Won",$F46="Lost",$F46="Unqualified"),"ปิดงานขาย",IF($H46="","ยังไม่นัด",IF(NOT(ISNUMBER($H46)),"ตรวจวันนัด",IF(INT($H46)&lt;'Guide_Lists'!$B$4,"เกินกำหนด",IF(INT($H46)='Guide_Lists'!$B$4,"ติดตามวันนี้","รอนัด"))))))))</x:f>
      </x:c>
      <x:c r="K46" s="32"/>
      <x:c r="L46" s="94"/>
      <x:c r="M46" s="94"/>
      <x:c r="N46" s="94"/>
      <x:c r="O46" s="36"/>
      <x:c r="P46" s="36"/>
      <x:c r="Q46" s="36"/>
      <x:c r="R46" s="36"/>
      <x:c r="S46" s="82"/>
      <x:c r="T46" s="82"/>
      <x:c r="U46" s="82"/>
      <x:c r="V46" s="82"/>
      <x:c r="W46" s="82"/>
      <x:c r="X46" s="36"/>
      <x:c r="Y46" s="36"/>
      <x:c r="Z46" s="36"/>
      <x:c r="AA46" s="36"/>
      <x:c r="AB46" s="96"/>
      <x:c r="AC46" s="82"/>
      <x:c r="AD46" s="36"/>
      <x:c r="AE46" s="94"/>
      <x:c r="AF46" s="86"/>
      <x:c r="AG46" s="32"/>
      <x:c r="AH46" s="32"/>
      <x:c r="AI46" s="32"/>
      <x:c r="AJ46" s="88"/>
      <x:c r="AK46" s="32"/>
      <x:c r="AL46" s="32"/>
      <x:c r="AM46" s="32"/>
      <x:c r="AN46" s="32"/>
      <x:c r="AO46" s="32"/>
      <x:c r="AP46" s="32"/>
      <x:c r="AQ46" s="94"/>
      <x:c r="AR46" s="32"/>
      <x:c r="AS46" s="32"/>
      <x:c r="AT46" s="32"/>
      <x:c r="AU46" s="86"/>
      <x:c r="AV46" s="90" t="str">
        <x:f>IF($A46="","",IF(COUNTIFS('Quotations'!$L$8:$L$107,$AE46,'Quotations'!$O$8:$O$107,1)=0,"",MINIFS('Quotations'!$E$8:$E$107,'Quotations'!$L$8:$L$107,$AE46,'Quotations'!$O$8:$O$107,1)))</x:f>
      </x:c>
      <x:c r="AW46" s="90" t="str">
        <x:f>IF($A46="","",IF(COUNTIFS('Orders_PO'!$N$8:$N$107,$AE46,'Orders_PO'!$Q$8:$Q$107,1)=0,"",MINIFS('Orders_PO'!$E$8:$E$107,'Orders_PO'!$N$8:$N$107,$AE46,'Orders_PO'!$Q$8:$Q$107,1)))</x:f>
      </x:c>
      <x:c r="AX46" s="42" t="str">
        <x:f>IF($A46="","",COUNTIFS('Quotations'!$L$8:$L$107,$AE46,'Quotations'!$O$8:$O$107,1,'Quotations'!$I$8:$I$107,"Yes"))</x:f>
      </x:c>
      <x:c r="AY46" s="42" t="str">
        <x:f>IF($A46="","",COUNTIFS('Orders_PO'!$N$8:$N$107,$AE46,'Orders_PO'!$Q$8:$Q$107,1))</x:f>
      </x:c>
      <x:c r="AZ46" s="42" t="str">
        <x:f>IF($A46="","",IF((IF($AE46="","ขาด Lead ID; ","")&amp;IF(AND($AE46&lt;&gt;"",COUNTIF('Leads'!$AE$8:$AE$107,$AE46)&gt;1),"Lead ID ซ้ำ; ","")&amp;IF(COUNTIF('Leads'!$A$8:$A$107,$A46)&gt;1,"Reference ซ้ำ; ","")&amp;IF(COUNTIF('Guide_Lists'!$AR$2:$AR$4,$A46)&gt;0,"Known TEST — ห้ามนับผล; ","")&amp;IF(OR($B46="",$D46=""),"ขาดชื่อ/งาน; ","")&amp;IF(AND($L46="",$M46="",$N46=""),"ขาดช่องทางติดต่อ; ","")&amp;IF(OR($Z46="",$AA46="",$F46="",$G46="",$AT46=""),"ขาดผู้ดูแล/ประเภท/สถานะ/Environment; ","")&amp;IF(NOT(ISNUMBER($AF46)),"ขาดเวลารับ Lead; ","")&amp;IF(AND($AA46="Duplicate",$AB46=""),"ขาด duplicate_of; ","")&amp;IF(AND($G46="Qualified",OR($R46="",$U46="")),"Qualified ขาดเหตุผล/วันที่; ","")&amp;IF(AND($G46="Unqualified",$R46=""),"Unqualified ขาดเหตุผล; ","")&amp;IF(AND($F46="Qualified",$G46&lt;&gt;"Qualified"),"สถานะ/ผลคัดกรองไม่ตรง; ","")&amp;IF(AND($F46="Unqualified",$G46&lt;&gt;"Unqualified"),"สถานะ/ผลคัดกรองไม่ตรง; ","")&amp;IF(AND($F46="Contacting",$S46=""),"ขาดเวลาพยายามติดต่อ; ","")&amp;IF(AND($O46="Contactable",$T46=""),"ขาดเวลาติดต่อสำเร็จ; ","")&amp;IF(AND($F46="Quotation Sent",$AV46=""),"ยังไม่มีใบราคาที่ตรวจผ่าน; ","")&amp;IF(AND($F46="Won",$AY46=0),"Won ยังไม่มี PO ที่ตรวจผ่าน; ","")&amp;IF(AND($AY46&gt;0,$F46&lt;&gt;"Won"),"มี PO แล้ว—ตรวจสถานะ; ","")&amp;IF(AND($F46="Lost",OR($W46="",$X46="")),"Lost ขาดวัน/เหตุผล; ","")&amp;IF(AND($AA46="Real",NOT(OR($F46="Won",$F46="Lost",$F46="Unqualified")),OR($H46="",$I46="")),"ขาดนัด/งานถัดไป; ","")&amp;IF(OR($AC46="",$AD46=""),"ขาดเวลา/ผู้บันทึก; ","")&amp;IF(AND(ISNUMBER($S46),ISNUMBER($AF46),$S46&lt;$AF46),"ตรวจเวลา attempt ก่อนรับ Lead; ",""))="","ครบ",IF($AE46="","ขาด Lead ID; ","")&amp;IF(AND($AE46&lt;&gt;"",COUNTIF('Leads'!$AE$8:$AE$107,$AE46)&gt;1),"Lead ID ซ้ำ; ","")&amp;IF(COUNTIF('Leads'!$A$8:$A$107,$A46)&gt;1,"Reference ซ้ำ; ","")&amp;IF(COUNTIF('Guide_Lists'!$AR$2:$AR$4,$A46)&gt;0,"Known TEST — ห้ามนับผล; ","")&amp;IF(OR($B46="",$D46=""),"ขาดชื่อ/งาน; ","")&amp;IF(AND($L46="",$M46="",$N46=""),"ขาดช่องทางติดต่อ; ","")&amp;IF(OR($Z46="",$AA46="",$F46="",$G46="",$AT46=""),"ขาดผู้ดูแล/ประเภท/สถานะ/Environment; ","")&amp;IF(NOT(ISNUMBER($AF46)),"ขาดเวลารับ Lead; ","")&amp;IF(AND($AA46="Duplicate",$AB46=""),"ขาด duplicate_of; ","")&amp;IF(AND($G46="Qualified",OR($R46="",$U46="")),"Qualified ขาดเหตุผล/วันที่; ","")&amp;IF(AND($G46="Unqualified",$R46=""),"Unqualified ขาดเหตุผล; ","")&amp;IF(AND($F46="Qualified",$G46&lt;&gt;"Qualified"),"สถานะ/ผลคัดกรองไม่ตรง; ","")&amp;IF(AND($F46="Unqualified",$G46&lt;&gt;"Unqualified"),"สถานะ/ผลคัดกรองไม่ตรง; ","")&amp;IF(AND($F46="Contacting",$S46=""),"ขาดเวลาพยายามติดต่อ; ","")&amp;IF(AND($O46="Contactable",$T46=""),"ขาดเวลาติดต่อสำเร็จ; ","")&amp;IF(AND($F46="Quotation Sent",$AV46=""),"ยังไม่มีใบราคาที่ตรวจผ่าน; ","")&amp;IF(AND($F46="Won",$AY46=0),"Won ยังไม่มี PO ที่ตรวจผ่าน; ","")&amp;IF(AND($AY46&gt;0,$F46&lt;&gt;"Won"),"มี PO แล้ว—ตรวจสถานะ; ","")&amp;IF(AND($F46="Lost",OR($W46="",$X46="")),"Lost ขาดวัน/เหตุผล; ","")&amp;IF(AND($AA46="Real",NOT(OR($F46="Won",$F46="Lost",$F46="Unqualified")),OR($H46="",$I46="")),"ขาดนัด/งานถัดไป; ","")&amp;IF(OR($AC46="",$AD46=""),"ขาดเวลา/ผู้บันทึก; ","")&amp;IF(AND(ISNUMBER($S46),ISNUMBER($AF46),$S46&lt;$AF46),"ตรวจเวลา attempt ก่อนรับ Lead; ","")))</x:f>
      </x:c>
      <x:c r="BA46" s="42" t="str">
        <x:f>IF($A46="","",IF(AND($AE46&lt;&gt;"",$AA46="Real",$AT46="production",COUNTIF('Leads'!$AE$8:$AE$107,$AE46)=1,COUNTIF('Leads'!$A$8:$A$107,$A46)=1,COUNTIF('Guide_Lists'!$AR$2:$AR$4,$A46)=0),1,0))</x:f>
      </x:c>
    </x:row>
    <x:row r="47" ht="30" customHeight="1">
      <x:c r="A47" s="94"/>
      <x:c r="B47" s="32"/>
      <x:c r="C47" s="32"/>
      <x:c r="D47" s="32"/>
      <x:c r="E47" s="92"/>
      <x:c r="F47" s="36"/>
      <x:c r="G47" s="36"/>
      <x:c r="H47" s="82"/>
      <x:c r="I47" s="36"/>
      <x:c r="J47" s="42" t="str">
        <x:f>IF($A47="","",IF(OR($AA47="Test",$AA47="Spam",$AA47="Duplicate",COUNTIF('Guide_Lists'!$AR$2:$AR$4,$A47)&gt;0),"ไม่นับผลธุรกิจ",IF($AA47&lt;&gt;"Real","ระบุประเภทข้อมูล",IF(OR($F47="Won",$F47="Lost",$F47="Unqualified"),"ปิดงานขาย",IF($H47="","ยังไม่นัด",IF(NOT(ISNUMBER($H47)),"ตรวจวันนัด",IF(INT($H47)&lt;'Guide_Lists'!$B$4,"เกินกำหนด",IF(INT($H47)='Guide_Lists'!$B$4,"ติดตามวันนี้","รอนัด"))))))))</x:f>
      </x:c>
      <x:c r="K47" s="32"/>
      <x:c r="L47" s="94"/>
      <x:c r="M47" s="94"/>
      <x:c r="N47" s="94"/>
      <x:c r="O47" s="36"/>
      <x:c r="P47" s="36"/>
      <x:c r="Q47" s="36"/>
      <x:c r="R47" s="36"/>
      <x:c r="S47" s="82"/>
      <x:c r="T47" s="82"/>
      <x:c r="U47" s="82"/>
      <x:c r="V47" s="82"/>
      <x:c r="W47" s="82"/>
      <x:c r="X47" s="36"/>
      <x:c r="Y47" s="36"/>
      <x:c r="Z47" s="36"/>
      <x:c r="AA47" s="36"/>
      <x:c r="AB47" s="96"/>
      <x:c r="AC47" s="82"/>
      <x:c r="AD47" s="36"/>
      <x:c r="AE47" s="94"/>
      <x:c r="AF47" s="86"/>
      <x:c r="AG47" s="32"/>
      <x:c r="AH47" s="32"/>
      <x:c r="AI47" s="32"/>
      <x:c r="AJ47" s="88"/>
      <x:c r="AK47" s="32"/>
      <x:c r="AL47" s="32"/>
      <x:c r="AM47" s="32"/>
      <x:c r="AN47" s="32"/>
      <x:c r="AO47" s="32"/>
      <x:c r="AP47" s="32"/>
      <x:c r="AQ47" s="94"/>
      <x:c r="AR47" s="32"/>
      <x:c r="AS47" s="32"/>
      <x:c r="AT47" s="32"/>
      <x:c r="AU47" s="86"/>
      <x:c r="AV47" s="90" t="str">
        <x:f>IF($A47="","",IF(COUNTIFS('Quotations'!$L$8:$L$107,$AE47,'Quotations'!$O$8:$O$107,1)=0,"",MINIFS('Quotations'!$E$8:$E$107,'Quotations'!$L$8:$L$107,$AE47,'Quotations'!$O$8:$O$107,1)))</x:f>
      </x:c>
      <x:c r="AW47" s="90" t="str">
        <x:f>IF($A47="","",IF(COUNTIFS('Orders_PO'!$N$8:$N$107,$AE47,'Orders_PO'!$Q$8:$Q$107,1)=0,"",MINIFS('Orders_PO'!$E$8:$E$107,'Orders_PO'!$N$8:$N$107,$AE47,'Orders_PO'!$Q$8:$Q$107,1)))</x:f>
      </x:c>
      <x:c r="AX47" s="42" t="str">
        <x:f>IF($A47="","",COUNTIFS('Quotations'!$L$8:$L$107,$AE47,'Quotations'!$O$8:$O$107,1,'Quotations'!$I$8:$I$107,"Yes"))</x:f>
      </x:c>
      <x:c r="AY47" s="42" t="str">
        <x:f>IF($A47="","",COUNTIFS('Orders_PO'!$N$8:$N$107,$AE47,'Orders_PO'!$Q$8:$Q$107,1))</x:f>
      </x:c>
      <x:c r="AZ47" s="42" t="str">
        <x:f>IF($A47="","",IF((IF($AE47="","ขาด Lead ID; ","")&amp;IF(AND($AE47&lt;&gt;"",COUNTIF('Leads'!$AE$8:$AE$107,$AE47)&gt;1),"Lead ID ซ้ำ; ","")&amp;IF(COUNTIF('Leads'!$A$8:$A$107,$A47)&gt;1,"Reference ซ้ำ; ","")&amp;IF(COUNTIF('Guide_Lists'!$AR$2:$AR$4,$A47)&gt;0,"Known TEST — ห้ามนับผล; ","")&amp;IF(OR($B47="",$D47=""),"ขาดชื่อ/งาน; ","")&amp;IF(AND($L47="",$M47="",$N47=""),"ขาดช่องทางติดต่อ; ","")&amp;IF(OR($Z47="",$AA47="",$F47="",$G47="",$AT47=""),"ขาดผู้ดูแล/ประเภท/สถานะ/Environment; ","")&amp;IF(NOT(ISNUMBER($AF47)),"ขาดเวลารับ Lead; ","")&amp;IF(AND($AA47="Duplicate",$AB47=""),"ขาด duplicate_of; ","")&amp;IF(AND($G47="Qualified",OR($R47="",$U47="")),"Qualified ขาดเหตุผล/วันที่; ","")&amp;IF(AND($G47="Unqualified",$R47=""),"Unqualified ขาดเหตุผล; ","")&amp;IF(AND($F47="Qualified",$G47&lt;&gt;"Qualified"),"สถานะ/ผลคัดกรองไม่ตรง; ","")&amp;IF(AND($F47="Unqualified",$G47&lt;&gt;"Unqualified"),"สถานะ/ผลคัดกรองไม่ตรง; ","")&amp;IF(AND($F47="Contacting",$S47=""),"ขาดเวลาพยายามติดต่อ; ","")&amp;IF(AND($O47="Contactable",$T47=""),"ขาดเวลาติดต่อสำเร็จ; ","")&amp;IF(AND($F47="Quotation Sent",$AV47=""),"ยังไม่มีใบราคาที่ตรวจผ่าน; ","")&amp;IF(AND($F47="Won",$AY47=0),"Won ยังไม่มี PO ที่ตรวจผ่าน; ","")&amp;IF(AND($AY47&gt;0,$F47&lt;&gt;"Won"),"มี PO แล้ว—ตรวจสถานะ; ","")&amp;IF(AND($F47="Lost",OR($W47="",$X47="")),"Lost ขาดวัน/เหตุผล; ","")&amp;IF(AND($AA47="Real",NOT(OR($F47="Won",$F47="Lost",$F47="Unqualified")),OR($H47="",$I47="")),"ขาดนัด/งานถัดไป; ","")&amp;IF(OR($AC47="",$AD47=""),"ขาดเวลา/ผู้บันทึก; ","")&amp;IF(AND(ISNUMBER($S47),ISNUMBER($AF47),$S47&lt;$AF47),"ตรวจเวลา attempt ก่อนรับ Lead; ",""))="","ครบ",IF($AE47="","ขาด Lead ID; ","")&amp;IF(AND($AE47&lt;&gt;"",COUNTIF('Leads'!$AE$8:$AE$107,$AE47)&gt;1),"Lead ID ซ้ำ; ","")&amp;IF(COUNTIF('Leads'!$A$8:$A$107,$A47)&gt;1,"Reference ซ้ำ; ","")&amp;IF(COUNTIF('Guide_Lists'!$AR$2:$AR$4,$A47)&gt;0,"Known TEST — ห้ามนับผล; ","")&amp;IF(OR($B47="",$D47=""),"ขาดชื่อ/งาน; ","")&amp;IF(AND($L47="",$M47="",$N47=""),"ขาดช่องทางติดต่อ; ","")&amp;IF(OR($Z47="",$AA47="",$F47="",$G47="",$AT47=""),"ขาดผู้ดูแล/ประเภท/สถานะ/Environment; ","")&amp;IF(NOT(ISNUMBER($AF47)),"ขาดเวลารับ Lead; ","")&amp;IF(AND($AA47="Duplicate",$AB47=""),"ขาด duplicate_of; ","")&amp;IF(AND($G47="Qualified",OR($R47="",$U47="")),"Qualified ขาดเหตุผล/วันที่; ","")&amp;IF(AND($G47="Unqualified",$R47=""),"Unqualified ขาดเหตุผล; ","")&amp;IF(AND($F47="Qualified",$G47&lt;&gt;"Qualified"),"สถานะ/ผลคัดกรองไม่ตรง; ","")&amp;IF(AND($F47="Unqualified",$G47&lt;&gt;"Unqualified"),"สถานะ/ผลคัดกรองไม่ตรง; ","")&amp;IF(AND($F47="Contacting",$S47=""),"ขาดเวลาพยายามติดต่อ; ","")&amp;IF(AND($O47="Contactable",$T47=""),"ขาดเวลาติดต่อสำเร็จ; ","")&amp;IF(AND($F47="Quotation Sent",$AV47=""),"ยังไม่มีใบราคาที่ตรวจผ่าน; ","")&amp;IF(AND($F47="Won",$AY47=0),"Won ยังไม่มี PO ที่ตรวจผ่าน; ","")&amp;IF(AND($AY47&gt;0,$F47&lt;&gt;"Won"),"มี PO แล้ว—ตรวจสถานะ; ","")&amp;IF(AND($F47="Lost",OR($W47="",$X47="")),"Lost ขาดวัน/เหตุผล; ","")&amp;IF(AND($AA47="Real",NOT(OR($F47="Won",$F47="Lost",$F47="Unqualified")),OR($H47="",$I47="")),"ขาดนัด/งานถัดไป; ","")&amp;IF(OR($AC47="",$AD47=""),"ขาดเวลา/ผู้บันทึก; ","")&amp;IF(AND(ISNUMBER($S47),ISNUMBER($AF47),$S47&lt;$AF47),"ตรวจเวลา attempt ก่อนรับ Lead; ","")))</x:f>
      </x:c>
      <x:c r="BA47" s="42" t="str">
        <x:f>IF($A47="","",IF(AND($AE47&lt;&gt;"",$AA47="Real",$AT47="production",COUNTIF('Leads'!$AE$8:$AE$107,$AE47)=1,COUNTIF('Leads'!$A$8:$A$107,$A47)=1,COUNTIF('Guide_Lists'!$AR$2:$AR$4,$A47)=0),1,0))</x:f>
      </x:c>
    </x:row>
    <x:row r="48" ht="30" customHeight="1">
      <x:c r="A48" s="94"/>
      <x:c r="B48" s="32"/>
      <x:c r="C48" s="32"/>
      <x:c r="D48" s="32"/>
      <x:c r="E48" s="92"/>
      <x:c r="F48" s="36"/>
      <x:c r="G48" s="36"/>
      <x:c r="H48" s="82"/>
      <x:c r="I48" s="36"/>
      <x:c r="J48" s="42" t="str">
        <x:f>IF($A48="","",IF(OR($AA48="Test",$AA48="Spam",$AA48="Duplicate",COUNTIF('Guide_Lists'!$AR$2:$AR$4,$A48)&gt;0),"ไม่นับผลธุรกิจ",IF($AA48&lt;&gt;"Real","ระบุประเภทข้อมูล",IF(OR($F48="Won",$F48="Lost",$F48="Unqualified"),"ปิดงานขาย",IF($H48="","ยังไม่นัด",IF(NOT(ISNUMBER($H48)),"ตรวจวันนัด",IF(INT($H48)&lt;'Guide_Lists'!$B$4,"เกินกำหนด",IF(INT($H48)='Guide_Lists'!$B$4,"ติดตามวันนี้","รอนัด"))))))))</x:f>
      </x:c>
      <x:c r="K48" s="32"/>
      <x:c r="L48" s="94"/>
      <x:c r="M48" s="94"/>
      <x:c r="N48" s="94"/>
      <x:c r="O48" s="36"/>
      <x:c r="P48" s="36"/>
      <x:c r="Q48" s="36"/>
      <x:c r="R48" s="36"/>
      <x:c r="S48" s="82"/>
      <x:c r="T48" s="82"/>
      <x:c r="U48" s="82"/>
      <x:c r="V48" s="82"/>
      <x:c r="W48" s="82"/>
      <x:c r="X48" s="36"/>
      <x:c r="Y48" s="36"/>
      <x:c r="Z48" s="36"/>
      <x:c r="AA48" s="36"/>
      <x:c r="AB48" s="96"/>
      <x:c r="AC48" s="82"/>
      <x:c r="AD48" s="36"/>
      <x:c r="AE48" s="94"/>
      <x:c r="AF48" s="86"/>
      <x:c r="AG48" s="32"/>
      <x:c r="AH48" s="32"/>
      <x:c r="AI48" s="32"/>
      <x:c r="AJ48" s="88"/>
      <x:c r="AK48" s="32"/>
      <x:c r="AL48" s="32"/>
      <x:c r="AM48" s="32"/>
      <x:c r="AN48" s="32"/>
      <x:c r="AO48" s="32"/>
      <x:c r="AP48" s="32"/>
      <x:c r="AQ48" s="94"/>
      <x:c r="AR48" s="32"/>
      <x:c r="AS48" s="32"/>
      <x:c r="AT48" s="32"/>
      <x:c r="AU48" s="86"/>
      <x:c r="AV48" s="90" t="str">
        <x:f>IF($A48="","",IF(COUNTIFS('Quotations'!$L$8:$L$107,$AE48,'Quotations'!$O$8:$O$107,1)=0,"",MINIFS('Quotations'!$E$8:$E$107,'Quotations'!$L$8:$L$107,$AE48,'Quotations'!$O$8:$O$107,1)))</x:f>
      </x:c>
      <x:c r="AW48" s="90" t="str">
        <x:f>IF($A48="","",IF(COUNTIFS('Orders_PO'!$N$8:$N$107,$AE48,'Orders_PO'!$Q$8:$Q$107,1)=0,"",MINIFS('Orders_PO'!$E$8:$E$107,'Orders_PO'!$N$8:$N$107,$AE48,'Orders_PO'!$Q$8:$Q$107,1)))</x:f>
      </x:c>
      <x:c r="AX48" s="42" t="str">
        <x:f>IF($A48="","",COUNTIFS('Quotations'!$L$8:$L$107,$AE48,'Quotations'!$O$8:$O$107,1,'Quotations'!$I$8:$I$107,"Yes"))</x:f>
      </x:c>
      <x:c r="AY48" s="42" t="str">
        <x:f>IF($A48="","",COUNTIFS('Orders_PO'!$N$8:$N$107,$AE48,'Orders_PO'!$Q$8:$Q$107,1))</x:f>
      </x:c>
      <x:c r="AZ48" s="42" t="str">
        <x:f>IF($A48="","",IF((IF($AE48="","ขาด Lead ID; ","")&amp;IF(AND($AE48&lt;&gt;"",COUNTIF('Leads'!$AE$8:$AE$107,$AE48)&gt;1),"Lead ID ซ้ำ; ","")&amp;IF(COUNTIF('Leads'!$A$8:$A$107,$A48)&gt;1,"Reference ซ้ำ; ","")&amp;IF(COUNTIF('Guide_Lists'!$AR$2:$AR$4,$A48)&gt;0,"Known TEST — ห้ามนับผล; ","")&amp;IF(OR($B48="",$D48=""),"ขาดชื่อ/งาน; ","")&amp;IF(AND($L48="",$M48="",$N48=""),"ขาดช่องทางติดต่อ; ","")&amp;IF(OR($Z48="",$AA48="",$F48="",$G48="",$AT48=""),"ขาดผู้ดูแล/ประเภท/สถานะ/Environment; ","")&amp;IF(NOT(ISNUMBER($AF48)),"ขาดเวลารับ Lead; ","")&amp;IF(AND($AA48="Duplicate",$AB48=""),"ขาด duplicate_of; ","")&amp;IF(AND($G48="Qualified",OR($R48="",$U48="")),"Qualified ขาดเหตุผล/วันที่; ","")&amp;IF(AND($G48="Unqualified",$R48=""),"Unqualified ขาดเหตุผล; ","")&amp;IF(AND($F48="Qualified",$G48&lt;&gt;"Qualified"),"สถานะ/ผลคัดกรองไม่ตรง; ","")&amp;IF(AND($F48="Unqualified",$G48&lt;&gt;"Unqualified"),"สถานะ/ผลคัดกรองไม่ตรง; ","")&amp;IF(AND($F48="Contacting",$S48=""),"ขาดเวลาพยายามติดต่อ; ","")&amp;IF(AND($O48="Contactable",$T48=""),"ขาดเวลาติดต่อสำเร็จ; ","")&amp;IF(AND($F48="Quotation Sent",$AV48=""),"ยังไม่มีใบราคาที่ตรวจผ่าน; ","")&amp;IF(AND($F48="Won",$AY48=0),"Won ยังไม่มี PO ที่ตรวจผ่าน; ","")&amp;IF(AND($AY48&gt;0,$F48&lt;&gt;"Won"),"มี PO แล้ว—ตรวจสถานะ; ","")&amp;IF(AND($F48="Lost",OR($W48="",$X48="")),"Lost ขาดวัน/เหตุผล; ","")&amp;IF(AND($AA48="Real",NOT(OR($F48="Won",$F48="Lost",$F48="Unqualified")),OR($H48="",$I48="")),"ขาดนัด/งานถัดไป; ","")&amp;IF(OR($AC48="",$AD48=""),"ขาดเวลา/ผู้บันทึก; ","")&amp;IF(AND(ISNUMBER($S48),ISNUMBER($AF48),$S48&lt;$AF48),"ตรวจเวลา attempt ก่อนรับ Lead; ",""))="","ครบ",IF($AE48="","ขาด Lead ID; ","")&amp;IF(AND($AE48&lt;&gt;"",COUNTIF('Leads'!$AE$8:$AE$107,$AE48)&gt;1),"Lead ID ซ้ำ; ","")&amp;IF(COUNTIF('Leads'!$A$8:$A$107,$A48)&gt;1,"Reference ซ้ำ; ","")&amp;IF(COUNTIF('Guide_Lists'!$AR$2:$AR$4,$A48)&gt;0,"Known TEST — ห้ามนับผล; ","")&amp;IF(OR($B48="",$D48=""),"ขาดชื่อ/งาน; ","")&amp;IF(AND($L48="",$M48="",$N48=""),"ขาดช่องทางติดต่อ; ","")&amp;IF(OR($Z48="",$AA48="",$F48="",$G48="",$AT48=""),"ขาดผู้ดูแล/ประเภท/สถานะ/Environment; ","")&amp;IF(NOT(ISNUMBER($AF48)),"ขาดเวลารับ Lead; ","")&amp;IF(AND($AA48="Duplicate",$AB48=""),"ขาด duplicate_of; ","")&amp;IF(AND($G48="Qualified",OR($R48="",$U48="")),"Qualified ขาดเหตุผล/วันที่; ","")&amp;IF(AND($G48="Unqualified",$R48=""),"Unqualified ขาดเหตุผล; ","")&amp;IF(AND($F48="Qualified",$G48&lt;&gt;"Qualified"),"สถานะ/ผลคัดกรองไม่ตรง; ","")&amp;IF(AND($F48="Unqualified",$G48&lt;&gt;"Unqualified"),"สถานะ/ผลคัดกรองไม่ตรง; ","")&amp;IF(AND($F48="Contacting",$S48=""),"ขาดเวลาพยายามติดต่อ; ","")&amp;IF(AND($O48="Contactable",$T48=""),"ขาดเวลาติดต่อสำเร็จ; ","")&amp;IF(AND($F48="Quotation Sent",$AV48=""),"ยังไม่มีใบราคาที่ตรวจผ่าน; ","")&amp;IF(AND($F48="Won",$AY48=0),"Won ยังไม่มี PO ที่ตรวจผ่าน; ","")&amp;IF(AND($AY48&gt;0,$F48&lt;&gt;"Won"),"มี PO แล้ว—ตรวจสถานะ; ","")&amp;IF(AND($F48="Lost",OR($W48="",$X48="")),"Lost ขาดวัน/เหตุผล; ","")&amp;IF(AND($AA48="Real",NOT(OR($F48="Won",$F48="Lost",$F48="Unqualified")),OR($H48="",$I48="")),"ขาดนัด/งานถัดไป; ","")&amp;IF(OR($AC48="",$AD48=""),"ขาดเวลา/ผู้บันทึก; ","")&amp;IF(AND(ISNUMBER($S48),ISNUMBER($AF48),$S48&lt;$AF48),"ตรวจเวลา attempt ก่อนรับ Lead; ","")))</x:f>
      </x:c>
      <x:c r="BA48" s="42" t="str">
        <x:f>IF($A48="","",IF(AND($AE48&lt;&gt;"",$AA48="Real",$AT48="production",COUNTIF('Leads'!$AE$8:$AE$107,$AE48)=1,COUNTIF('Leads'!$A$8:$A$107,$A48)=1,COUNTIF('Guide_Lists'!$AR$2:$AR$4,$A48)=0),1,0))</x:f>
      </x:c>
    </x:row>
    <x:row r="49" ht="30" customHeight="1">
      <x:c r="A49" s="94"/>
      <x:c r="B49" s="32"/>
      <x:c r="C49" s="32"/>
      <x:c r="D49" s="32"/>
      <x:c r="E49" s="92"/>
      <x:c r="F49" s="36"/>
      <x:c r="G49" s="36"/>
      <x:c r="H49" s="82"/>
      <x:c r="I49" s="36"/>
      <x:c r="J49" s="42" t="str">
        <x:f>IF($A49="","",IF(OR($AA49="Test",$AA49="Spam",$AA49="Duplicate",COUNTIF('Guide_Lists'!$AR$2:$AR$4,$A49)&gt;0),"ไม่นับผลธุรกิจ",IF($AA49&lt;&gt;"Real","ระบุประเภทข้อมูล",IF(OR($F49="Won",$F49="Lost",$F49="Unqualified"),"ปิดงานขาย",IF($H49="","ยังไม่นัด",IF(NOT(ISNUMBER($H49)),"ตรวจวันนัด",IF(INT($H49)&lt;'Guide_Lists'!$B$4,"เกินกำหนด",IF(INT($H49)='Guide_Lists'!$B$4,"ติดตามวันนี้","รอนัด"))))))))</x:f>
      </x:c>
      <x:c r="K49" s="32"/>
      <x:c r="L49" s="94"/>
      <x:c r="M49" s="94"/>
      <x:c r="N49" s="94"/>
      <x:c r="O49" s="36"/>
      <x:c r="P49" s="36"/>
      <x:c r="Q49" s="36"/>
      <x:c r="R49" s="36"/>
      <x:c r="S49" s="82"/>
      <x:c r="T49" s="82"/>
      <x:c r="U49" s="82"/>
      <x:c r="V49" s="82"/>
      <x:c r="W49" s="82"/>
      <x:c r="X49" s="36"/>
      <x:c r="Y49" s="36"/>
      <x:c r="Z49" s="36"/>
      <x:c r="AA49" s="36"/>
      <x:c r="AB49" s="96"/>
      <x:c r="AC49" s="82"/>
      <x:c r="AD49" s="36"/>
      <x:c r="AE49" s="94"/>
      <x:c r="AF49" s="86"/>
      <x:c r="AG49" s="32"/>
      <x:c r="AH49" s="32"/>
      <x:c r="AI49" s="32"/>
      <x:c r="AJ49" s="88"/>
      <x:c r="AK49" s="32"/>
      <x:c r="AL49" s="32"/>
      <x:c r="AM49" s="32"/>
      <x:c r="AN49" s="32"/>
      <x:c r="AO49" s="32"/>
      <x:c r="AP49" s="32"/>
      <x:c r="AQ49" s="94"/>
      <x:c r="AR49" s="32"/>
      <x:c r="AS49" s="32"/>
      <x:c r="AT49" s="32"/>
      <x:c r="AU49" s="86"/>
      <x:c r="AV49" s="90" t="str">
        <x:f>IF($A49="","",IF(COUNTIFS('Quotations'!$L$8:$L$107,$AE49,'Quotations'!$O$8:$O$107,1)=0,"",MINIFS('Quotations'!$E$8:$E$107,'Quotations'!$L$8:$L$107,$AE49,'Quotations'!$O$8:$O$107,1)))</x:f>
      </x:c>
      <x:c r="AW49" s="90" t="str">
        <x:f>IF($A49="","",IF(COUNTIFS('Orders_PO'!$N$8:$N$107,$AE49,'Orders_PO'!$Q$8:$Q$107,1)=0,"",MINIFS('Orders_PO'!$E$8:$E$107,'Orders_PO'!$N$8:$N$107,$AE49,'Orders_PO'!$Q$8:$Q$107,1)))</x:f>
      </x:c>
      <x:c r="AX49" s="42" t="str">
        <x:f>IF($A49="","",COUNTIFS('Quotations'!$L$8:$L$107,$AE49,'Quotations'!$O$8:$O$107,1,'Quotations'!$I$8:$I$107,"Yes"))</x:f>
      </x:c>
      <x:c r="AY49" s="42" t="str">
        <x:f>IF($A49="","",COUNTIFS('Orders_PO'!$N$8:$N$107,$AE49,'Orders_PO'!$Q$8:$Q$107,1))</x:f>
      </x:c>
      <x:c r="AZ49" s="42" t="str">
        <x:f>IF($A49="","",IF((IF($AE49="","ขาด Lead ID; ","")&amp;IF(AND($AE49&lt;&gt;"",COUNTIF('Leads'!$AE$8:$AE$107,$AE49)&gt;1),"Lead ID ซ้ำ; ","")&amp;IF(COUNTIF('Leads'!$A$8:$A$107,$A49)&gt;1,"Reference ซ้ำ; ","")&amp;IF(COUNTIF('Guide_Lists'!$AR$2:$AR$4,$A49)&gt;0,"Known TEST — ห้ามนับผล; ","")&amp;IF(OR($B49="",$D49=""),"ขาดชื่อ/งาน; ","")&amp;IF(AND($L49="",$M49="",$N49=""),"ขาดช่องทางติดต่อ; ","")&amp;IF(OR($Z49="",$AA49="",$F49="",$G49="",$AT49=""),"ขาดผู้ดูแล/ประเภท/สถานะ/Environment; ","")&amp;IF(NOT(ISNUMBER($AF49)),"ขาดเวลารับ Lead; ","")&amp;IF(AND($AA49="Duplicate",$AB49=""),"ขาด duplicate_of; ","")&amp;IF(AND($G49="Qualified",OR($R49="",$U49="")),"Qualified ขาดเหตุผล/วันที่; ","")&amp;IF(AND($G49="Unqualified",$R49=""),"Unqualified ขาดเหตุผล; ","")&amp;IF(AND($F49="Qualified",$G49&lt;&gt;"Qualified"),"สถานะ/ผลคัดกรองไม่ตรง; ","")&amp;IF(AND($F49="Unqualified",$G49&lt;&gt;"Unqualified"),"สถานะ/ผลคัดกรองไม่ตรง; ","")&amp;IF(AND($F49="Contacting",$S49=""),"ขาดเวลาพยายามติดต่อ; ","")&amp;IF(AND($O49="Contactable",$T49=""),"ขาดเวลาติดต่อสำเร็จ; ","")&amp;IF(AND($F49="Quotation Sent",$AV49=""),"ยังไม่มีใบราคาที่ตรวจผ่าน; ","")&amp;IF(AND($F49="Won",$AY49=0),"Won ยังไม่มี PO ที่ตรวจผ่าน; ","")&amp;IF(AND($AY49&gt;0,$F49&lt;&gt;"Won"),"มี PO แล้ว—ตรวจสถานะ; ","")&amp;IF(AND($F49="Lost",OR($W49="",$X49="")),"Lost ขาดวัน/เหตุผล; ","")&amp;IF(AND($AA49="Real",NOT(OR($F49="Won",$F49="Lost",$F49="Unqualified")),OR($H49="",$I49="")),"ขาดนัด/งานถัดไป; ","")&amp;IF(OR($AC49="",$AD49=""),"ขาดเวลา/ผู้บันทึก; ","")&amp;IF(AND(ISNUMBER($S49),ISNUMBER($AF49),$S49&lt;$AF49),"ตรวจเวลา attempt ก่อนรับ Lead; ",""))="","ครบ",IF($AE49="","ขาด Lead ID; ","")&amp;IF(AND($AE49&lt;&gt;"",COUNTIF('Leads'!$AE$8:$AE$107,$AE49)&gt;1),"Lead ID ซ้ำ; ","")&amp;IF(COUNTIF('Leads'!$A$8:$A$107,$A49)&gt;1,"Reference ซ้ำ; ","")&amp;IF(COUNTIF('Guide_Lists'!$AR$2:$AR$4,$A49)&gt;0,"Known TEST — ห้ามนับผล; ","")&amp;IF(OR($B49="",$D49=""),"ขาดชื่อ/งาน; ","")&amp;IF(AND($L49="",$M49="",$N49=""),"ขาดช่องทางติดต่อ; ","")&amp;IF(OR($Z49="",$AA49="",$F49="",$G49="",$AT49=""),"ขาดผู้ดูแล/ประเภท/สถานะ/Environment; ","")&amp;IF(NOT(ISNUMBER($AF49)),"ขาดเวลารับ Lead; ","")&amp;IF(AND($AA49="Duplicate",$AB49=""),"ขาด duplicate_of; ","")&amp;IF(AND($G49="Qualified",OR($R49="",$U49="")),"Qualified ขาดเหตุผล/วันที่; ","")&amp;IF(AND($G49="Unqualified",$R49=""),"Unqualified ขาดเหตุผล; ","")&amp;IF(AND($F49="Qualified",$G49&lt;&gt;"Qualified"),"สถานะ/ผลคัดกรองไม่ตรง; ","")&amp;IF(AND($F49="Unqualified",$G49&lt;&gt;"Unqualified"),"สถานะ/ผลคัดกรองไม่ตรง; ","")&amp;IF(AND($F49="Contacting",$S49=""),"ขาดเวลาพยายามติดต่อ; ","")&amp;IF(AND($O49="Contactable",$T49=""),"ขาดเวลาติดต่อสำเร็จ; ","")&amp;IF(AND($F49="Quotation Sent",$AV49=""),"ยังไม่มีใบราคาที่ตรวจผ่าน; ","")&amp;IF(AND($F49="Won",$AY49=0),"Won ยังไม่มี PO ที่ตรวจผ่าน; ","")&amp;IF(AND($AY49&gt;0,$F49&lt;&gt;"Won"),"มี PO แล้ว—ตรวจสถานะ; ","")&amp;IF(AND($F49="Lost",OR($W49="",$X49="")),"Lost ขาดวัน/เหตุผล; ","")&amp;IF(AND($AA49="Real",NOT(OR($F49="Won",$F49="Lost",$F49="Unqualified")),OR($H49="",$I49="")),"ขาดนัด/งานถัดไป; ","")&amp;IF(OR($AC49="",$AD49=""),"ขาดเวลา/ผู้บันทึก; ","")&amp;IF(AND(ISNUMBER($S49),ISNUMBER($AF49),$S49&lt;$AF49),"ตรวจเวลา attempt ก่อนรับ Lead; ","")))</x:f>
      </x:c>
      <x:c r="BA49" s="42" t="str">
        <x:f>IF($A49="","",IF(AND($AE49&lt;&gt;"",$AA49="Real",$AT49="production",COUNTIF('Leads'!$AE$8:$AE$107,$AE49)=1,COUNTIF('Leads'!$A$8:$A$107,$A49)=1,COUNTIF('Guide_Lists'!$AR$2:$AR$4,$A49)=0),1,0))</x:f>
      </x:c>
    </x:row>
    <x:row r="50" ht="30" customHeight="1">
      <x:c r="A50" s="94"/>
      <x:c r="B50" s="32"/>
      <x:c r="C50" s="32"/>
      <x:c r="D50" s="32"/>
      <x:c r="E50" s="92"/>
      <x:c r="F50" s="36"/>
      <x:c r="G50" s="36"/>
      <x:c r="H50" s="82"/>
      <x:c r="I50" s="36"/>
      <x:c r="J50" s="42" t="str">
        <x:f>IF($A50="","",IF(OR($AA50="Test",$AA50="Spam",$AA50="Duplicate",COUNTIF('Guide_Lists'!$AR$2:$AR$4,$A50)&gt;0),"ไม่นับผลธุรกิจ",IF($AA50&lt;&gt;"Real","ระบุประเภทข้อมูล",IF(OR($F50="Won",$F50="Lost",$F50="Unqualified"),"ปิดงานขาย",IF($H50="","ยังไม่นัด",IF(NOT(ISNUMBER($H50)),"ตรวจวันนัด",IF(INT($H50)&lt;'Guide_Lists'!$B$4,"เกินกำหนด",IF(INT($H50)='Guide_Lists'!$B$4,"ติดตามวันนี้","รอนัด"))))))))</x:f>
      </x:c>
      <x:c r="K50" s="32"/>
      <x:c r="L50" s="94"/>
      <x:c r="M50" s="94"/>
      <x:c r="N50" s="94"/>
      <x:c r="O50" s="36"/>
      <x:c r="P50" s="36"/>
      <x:c r="Q50" s="36"/>
      <x:c r="R50" s="36"/>
      <x:c r="S50" s="82"/>
      <x:c r="T50" s="82"/>
      <x:c r="U50" s="82"/>
      <x:c r="V50" s="82"/>
      <x:c r="W50" s="82"/>
      <x:c r="X50" s="36"/>
      <x:c r="Y50" s="36"/>
      <x:c r="Z50" s="36"/>
      <x:c r="AA50" s="36"/>
      <x:c r="AB50" s="96"/>
      <x:c r="AC50" s="82"/>
      <x:c r="AD50" s="36"/>
      <x:c r="AE50" s="94"/>
      <x:c r="AF50" s="86"/>
      <x:c r="AG50" s="32"/>
      <x:c r="AH50" s="32"/>
      <x:c r="AI50" s="32"/>
      <x:c r="AJ50" s="88"/>
      <x:c r="AK50" s="32"/>
      <x:c r="AL50" s="32"/>
      <x:c r="AM50" s="32"/>
      <x:c r="AN50" s="32"/>
      <x:c r="AO50" s="32"/>
      <x:c r="AP50" s="32"/>
      <x:c r="AQ50" s="94"/>
      <x:c r="AR50" s="32"/>
      <x:c r="AS50" s="32"/>
      <x:c r="AT50" s="32"/>
      <x:c r="AU50" s="86"/>
      <x:c r="AV50" s="90" t="str">
        <x:f>IF($A50="","",IF(COUNTIFS('Quotations'!$L$8:$L$107,$AE50,'Quotations'!$O$8:$O$107,1)=0,"",MINIFS('Quotations'!$E$8:$E$107,'Quotations'!$L$8:$L$107,$AE50,'Quotations'!$O$8:$O$107,1)))</x:f>
      </x:c>
      <x:c r="AW50" s="90" t="str">
        <x:f>IF($A50="","",IF(COUNTIFS('Orders_PO'!$N$8:$N$107,$AE50,'Orders_PO'!$Q$8:$Q$107,1)=0,"",MINIFS('Orders_PO'!$E$8:$E$107,'Orders_PO'!$N$8:$N$107,$AE50,'Orders_PO'!$Q$8:$Q$107,1)))</x:f>
      </x:c>
      <x:c r="AX50" s="42" t="str">
        <x:f>IF($A50="","",COUNTIFS('Quotations'!$L$8:$L$107,$AE50,'Quotations'!$O$8:$O$107,1,'Quotations'!$I$8:$I$107,"Yes"))</x:f>
      </x:c>
      <x:c r="AY50" s="42" t="str">
        <x:f>IF($A50="","",COUNTIFS('Orders_PO'!$N$8:$N$107,$AE50,'Orders_PO'!$Q$8:$Q$107,1))</x:f>
      </x:c>
      <x:c r="AZ50" s="42" t="str">
        <x:f>IF($A50="","",IF((IF($AE50="","ขาด Lead ID; ","")&amp;IF(AND($AE50&lt;&gt;"",COUNTIF('Leads'!$AE$8:$AE$107,$AE50)&gt;1),"Lead ID ซ้ำ; ","")&amp;IF(COUNTIF('Leads'!$A$8:$A$107,$A50)&gt;1,"Reference ซ้ำ; ","")&amp;IF(COUNTIF('Guide_Lists'!$AR$2:$AR$4,$A50)&gt;0,"Known TEST — ห้ามนับผล; ","")&amp;IF(OR($B50="",$D50=""),"ขาดชื่อ/งาน; ","")&amp;IF(AND($L50="",$M50="",$N50=""),"ขาดช่องทางติดต่อ; ","")&amp;IF(OR($Z50="",$AA50="",$F50="",$G50="",$AT50=""),"ขาดผู้ดูแล/ประเภท/สถานะ/Environment; ","")&amp;IF(NOT(ISNUMBER($AF50)),"ขาดเวลารับ Lead; ","")&amp;IF(AND($AA50="Duplicate",$AB50=""),"ขาด duplicate_of; ","")&amp;IF(AND($G50="Qualified",OR($R50="",$U50="")),"Qualified ขาดเหตุผล/วันที่; ","")&amp;IF(AND($G50="Unqualified",$R50=""),"Unqualified ขาดเหตุผล; ","")&amp;IF(AND($F50="Qualified",$G50&lt;&gt;"Qualified"),"สถานะ/ผลคัดกรองไม่ตรง; ","")&amp;IF(AND($F50="Unqualified",$G50&lt;&gt;"Unqualified"),"สถานะ/ผลคัดกรองไม่ตรง; ","")&amp;IF(AND($F50="Contacting",$S50=""),"ขาดเวลาพยายามติดต่อ; ","")&amp;IF(AND($O50="Contactable",$T50=""),"ขาดเวลาติดต่อสำเร็จ; ","")&amp;IF(AND($F50="Quotation Sent",$AV50=""),"ยังไม่มีใบราคาที่ตรวจผ่าน; ","")&amp;IF(AND($F50="Won",$AY50=0),"Won ยังไม่มี PO ที่ตรวจผ่าน; ","")&amp;IF(AND($AY50&gt;0,$F50&lt;&gt;"Won"),"มี PO แล้ว—ตรวจสถานะ; ","")&amp;IF(AND($F50="Lost",OR($W50="",$X50="")),"Lost ขาดวัน/เหตุผล; ","")&amp;IF(AND($AA50="Real",NOT(OR($F50="Won",$F50="Lost",$F50="Unqualified")),OR($H50="",$I50="")),"ขาดนัด/งานถัดไป; ","")&amp;IF(OR($AC50="",$AD50=""),"ขาดเวลา/ผู้บันทึก; ","")&amp;IF(AND(ISNUMBER($S50),ISNUMBER($AF50),$S50&lt;$AF50),"ตรวจเวลา attempt ก่อนรับ Lead; ",""))="","ครบ",IF($AE50="","ขาด Lead ID; ","")&amp;IF(AND($AE50&lt;&gt;"",COUNTIF('Leads'!$AE$8:$AE$107,$AE50)&gt;1),"Lead ID ซ้ำ; ","")&amp;IF(COUNTIF('Leads'!$A$8:$A$107,$A50)&gt;1,"Reference ซ้ำ; ","")&amp;IF(COUNTIF('Guide_Lists'!$AR$2:$AR$4,$A50)&gt;0,"Known TEST — ห้ามนับผล; ","")&amp;IF(OR($B50="",$D50=""),"ขาดชื่อ/งาน; ","")&amp;IF(AND($L50="",$M50="",$N50=""),"ขาดช่องทางติดต่อ; ","")&amp;IF(OR($Z50="",$AA50="",$F50="",$G50="",$AT50=""),"ขาดผู้ดูแล/ประเภท/สถานะ/Environment; ","")&amp;IF(NOT(ISNUMBER($AF50)),"ขาดเวลารับ Lead; ","")&amp;IF(AND($AA50="Duplicate",$AB50=""),"ขาด duplicate_of; ","")&amp;IF(AND($G50="Qualified",OR($R50="",$U50="")),"Qualified ขาดเหตุผล/วันที่; ","")&amp;IF(AND($G50="Unqualified",$R50=""),"Unqualified ขาดเหตุผล; ","")&amp;IF(AND($F50="Qualified",$G50&lt;&gt;"Qualified"),"สถานะ/ผลคัดกรองไม่ตรง; ","")&amp;IF(AND($F50="Unqualified",$G50&lt;&gt;"Unqualified"),"สถานะ/ผลคัดกรองไม่ตรง; ","")&amp;IF(AND($F50="Contacting",$S50=""),"ขาดเวลาพยายามติดต่อ; ","")&amp;IF(AND($O50="Contactable",$T50=""),"ขาดเวลาติดต่อสำเร็จ; ","")&amp;IF(AND($F50="Quotation Sent",$AV50=""),"ยังไม่มีใบราคาที่ตรวจผ่าน; ","")&amp;IF(AND($F50="Won",$AY50=0),"Won ยังไม่มี PO ที่ตรวจผ่าน; ","")&amp;IF(AND($AY50&gt;0,$F50&lt;&gt;"Won"),"มี PO แล้ว—ตรวจสถานะ; ","")&amp;IF(AND($F50="Lost",OR($W50="",$X50="")),"Lost ขาดวัน/เหตุผล; ","")&amp;IF(AND($AA50="Real",NOT(OR($F50="Won",$F50="Lost",$F50="Unqualified")),OR($H50="",$I50="")),"ขาดนัด/งานถัดไป; ","")&amp;IF(OR($AC50="",$AD50=""),"ขาดเวลา/ผู้บันทึก; ","")&amp;IF(AND(ISNUMBER($S50),ISNUMBER($AF50),$S50&lt;$AF50),"ตรวจเวลา attempt ก่อนรับ Lead; ","")))</x:f>
      </x:c>
      <x:c r="BA50" s="42" t="str">
        <x:f>IF($A50="","",IF(AND($AE50&lt;&gt;"",$AA50="Real",$AT50="production",COUNTIF('Leads'!$AE$8:$AE$107,$AE50)=1,COUNTIF('Leads'!$A$8:$A$107,$A50)=1,COUNTIF('Guide_Lists'!$AR$2:$AR$4,$A50)=0),1,0))</x:f>
      </x:c>
    </x:row>
    <x:row r="51" ht="30" customHeight="1">
      <x:c r="A51" s="94"/>
      <x:c r="B51" s="32"/>
      <x:c r="C51" s="32"/>
      <x:c r="D51" s="32"/>
      <x:c r="E51" s="92"/>
      <x:c r="F51" s="36"/>
      <x:c r="G51" s="36"/>
      <x:c r="H51" s="82"/>
      <x:c r="I51" s="36"/>
      <x:c r="J51" s="42" t="str">
        <x:f>IF($A51="","",IF(OR($AA51="Test",$AA51="Spam",$AA51="Duplicate",COUNTIF('Guide_Lists'!$AR$2:$AR$4,$A51)&gt;0),"ไม่นับผลธุรกิจ",IF($AA51&lt;&gt;"Real","ระบุประเภทข้อมูล",IF(OR($F51="Won",$F51="Lost",$F51="Unqualified"),"ปิดงานขาย",IF($H51="","ยังไม่นัด",IF(NOT(ISNUMBER($H51)),"ตรวจวันนัด",IF(INT($H51)&lt;'Guide_Lists'!$B$4,"เกินกำหนด",IF(INT($H51)='Guide_Lists'!$B$4,"ติดตามวันนี้","รอนัด"))))))))</x:f>
      </x:c>
      <x:c r="K51" s="32"/>
      <x:c r="L51" s="94"/>
      <x:c r="M51" s="94"/>
      <x:c r="N51" s="94"/>
      <x:c r="O51" s="36"/>
      <x:c r="P51" s="36"/>
      <x:c r="Q51" s="36"/>
      <x:c r="R51" s="36"/>
      <x:c r="S51" s="82"/>
      <x:c r="T51" s="82"/>
      <x:c r="U51" s="82"/>
      <x:c r="V51" s="82"/>
      <x:c r="W51" s="82"/>
      <x:c r="X51" s="36"/>
      <x:c r="Y51" s="36"/>
      <x:c r="Z51" s="36"/>
      <x:c r="AA51" s="36"/>
      <x:c r="AB51" s="96"/>
      <x:c r="AC51" s="82"/>
      <x:c r="AD51" s="36"/>
      <x:c r="AE51" s="94"/>
      <x:c r="AF51" s="86"/>
      <x:c r="AG51" s="32"/>
      <x:c r="AH51" s="32"/>
      <x:c r="AI51" s="32"/>
      <x:c r="AJ51" s="88"/>
      <x:c r="AK51" s="32"/>
      <x:c r="AL51" s="32"/>
      <x:c r="AM51" s="32"/>
      <x:c r="AN51" s="32"/>
      <x:c r="AO51" s="32"/>
      <x:c r="AP51" s="32"/>
      <x:c r="AQ51" s="94"/>
      <x:c r="AR51" s="32"/>
      <x:c r="AS51" s="32"/>
      <x:c r="AT51" s="32"/>
      <x:c r="AU51" s="86"/>
      <x:c r="AV51" s="90" t="str">
        <x:f>IF($A51="","",IF(COUNTIFS('Quotations'!$L$8:$L$107,$AE51,'Quotations'!$O$8:$O$107,1)=0,"",MINIFS('Quotations'!$E$8:$E$107,'Quotations'!$L$8:$L$107,$AE51,'Quotations'!$O$8:$O$107,1)))</x:f>
      </x:c>
      <x:c r="AW51" s="90" t="str">
        <x:f>IF($A51="","",IF(COUNTIFS('Orders_PO'!$N$8:$N$107,$AE51,'Orders_PO'!$Q$8:$Q$107,1)=0,"",MINIFS('Orders_PO'!$E$8:$E$107,'Orders_PO'!$N$8:$N$107,$AE51,'Orders_PO'!$Q$8:$Q$107,1)))</x:f>
      </x:c>
      <x:c r="AX51" s="42" t="str">
        <x:f>IF($A51="","",COUNTIFS('Quotations'!$L$8:$L$107,$AE51,'Quotations'!$O$8:$O$107,1,'Quotations'!$I$8:$I$107,"Yes"))</x:f>
      </x:c>
      <x:c r="AY51" s="42" t="str">
        <x:f>IF($A51="","",COUNTIFS('Orders_PO'!$N$8:$N$107,$AE51,'Orders_PO'!$Q$8:$Q$107,1))</x:f>
      </x:c>
      <x:c r="AZ51" s="42" t="str">
        <x:f>IF($A51="","",IF((IF($AE51="","ขาด Lead ID; ","")&amp;IF(AND($AE51&lt;&gt;"",COUNTIF('Leads'!$AE$8:$AE$107,$AE51)&gt;1),"Lead ID ซ้ำ; ","")&amp;IF(COUNTIF('Leads'!$A$8:$A$107,$A51)&gt;1,"Reference ซ้ำ; ","")&amp;IF(COUNTIF('Guide_Lists'!$AR$2:$AR$4,$A51)&gt;0,"Known TEST — ห้ามนับผล; ","")&amp;IF(OR($B51="",$D51=""),"ขาดชื่อ/งาน; ","")&amp;IF(AND($L51="",$M51="",$N51=""),"ขาดช่องทางติดต่อ; ","")&amp;IF(OR($Z51="",$AA51="",$F51="",$G51="",$AT51=""),"ขาดผู้ดูแล/ประเภท/สถานะ/Environment; ","")&amp;IF(NOT(ISNUMBER($AF51)),"ขาดเวลารับ Lead; ","")&amp;IF(AND($AA51="Duplicate",$AB51=""),"ขาด duplicate_of; ","")&amp;IF(AND($G51="Qualified",OR($R51="",$U51="")),"Qualified ขาดเหตุผล/วันที่; ","")&amp;IF(AND($G51="Unqualified",$R51=""),"Unqualified ขาดเหตุผล; ","")&amp;IF(AND($F51="Qualified",$G51&lt;&gt;"Qualified"),"สถานะ/ผลคัดกรองไม่ตรง; ","")&amp;IF(AND($F51="Unqualified",$G51&lt;&gt;"Unqualified"),"สถานะ/ผลคัดกรองไม่ตรง; ","")&amp;IF(AND($F51="Contacting",$S51=""),"ขาดเวลาพยายามติดต่อ; ","")&amp;IF(AND($O51="Contactable",$T51=""),"ขาดเวลาติดต่อสำเร็จ; ","")&amp;IF(AND($F51="Quotation Sent",$AV51=""),"ยังไม่มีใบราคาที่ตรวจผ่าน; ","")&amp;IF(AND($F51="Won",$AY51=0),"Won ยังไม่มี PO ที่ตรวจผ่าน; ","")&amp;IF(AND($AY51&gt;0,$F51&lt;&gt;"Won"),"มี PO แล้ว—ตรวจสถานะ; ","")&amp;IF(AND($F51="Lost",OR($W51="",$X51="")),"Lost ขาดวัน/เหตุผล; ","")&amp;IF(AND($AA51="Real",NOT(OR($F51="Won",$F51="Lost",$F51="Unqualified")),OR($H51="",$I51="")),"ขาดนัด/งานถัดไป; ","")&amp;IF(OR($AC51="",$AD51=""),"ขาดเวลา/ผู้บันทึก; ","")&amp;IF(AND(ISNUMBER($S51),ISNUMBER($AF51),$S51&lt;$AF51),"ตรวจเวลา attempt ก่อนรับ Lead; ",""))="","ครบ",IF($AE51="","ขาด Lead ID; ","")&amp;IF(AND($AE51&lt;&gt;"",COUNTIF('Leads'!$AE$8:$AE$107,$AE51)&gt;1),"Lead ID ซ้ำ; ","")&amp;IF(COUNTIF('Leads'!$A$8:$A$107,$A51)&gt;1,"Reference ซ้ำ; ","")&amp;IF(COUNTIF('Guide_Lists'!$AR$2:$AR$4,$A51)&gt;0,"Known TEST — ห้ามนับผล; ","")&amp;IF(OR($B51="",$D51=""),"ขาดชื่อ/งาน; ","")&amp;IF(AND($L51="",$M51="",$N51=""),"ขาดช่องทางติดต่อ; ","")&amp;IF(OR($Z51="",$AA51="",$F51="",$G51="",$AT51=""),"ขาดผู้ดูแล/ประเภท/สถานะ/Environment; ","")&amp;IF(NOT(ISNUMBER($AF51)),"ขาดเวลารับ Lead; ","")&amp;IF(AND($AA51="Duplicate",$AB51=""),"ขาด duplicate_of; ","")&amp;IF(AND($G51="Qualified",OR($R51="",$U51="")),"Qualified ขาดเหตุผล/วันที่; ","")&amp;IF(AND($G51="Unqualified",$R51=""),"Unqualified ขาดเหตุผล; ","")&amp;IF(AND($F51="Qualified",$G51&lt;&gt;"Qualified"),"สถานะ/ผลคัดกรองไม่ตรง; ","")&amp;IF(AND($F51="Unqualified",$G51&lt;&gt;"Unqualified"),"สถานะ/ผลคัดกรองไม่ตรง; ","")&amp;IF(AND($F51="Contacting",$S51=""),"ขาดเวลาพยายามติดต่อ; ","")&amp;IF(AND($O51="Contactable",$T51=""),"ขาดเวลาติดต่อสำเร็จ; ","")&amp;IF(AND($F51="Quotation Sent",$AV51=""),"ยังไม่มีใบราคาที่ตรวจผ่าน; ","")&amp;IF(AND($F51="Won",$AY51=0),"Won ยังไม่มี PO ที่ตรวจผ่าน; ","")&amp;IF(AND($AY51&gt;0,$F51&lt;&gt;"Won"),"มี PO แล้ว—ตรวจสถานะ; ","")&amp;IF(AND($F51="Lost",OR($W51="",$X51="")),"Lost ขาดวัน/เหตุผล; ","")&amp;IF(AND($AA51="Real",NOT(OR($F51="Won",$F51="Lost",$F51="Unqualified")),OR($H51="",$I51="")),"ขาดนัด/งานถัดไป; ","")&amp;IF(OR($AC51="",$AD51=""),"ขาดเวลา/ผู้บันทึก; ","")&amp;IF(AND(ISNUMBER($S51),ISNUMBER($AF51),$S51&lt;$AF51),"ตรวจเวลา attempt ก่อนรับ Lead; ","")))</x:f>
      </x:c>
      <x:c r="BA51" s="42" t="str">
        <x:f>IF($A51="","",IF(AND($AE51&lt;&gt;"",$AA51="Real",$AT51="production",COUNTIF('Leads'!$AE$8:$AE$107,$AE51)=1,COUNTIF('Leads'!$A$8:$A$107,$A51)=1,COUNTIF('Guide_Lists'!$AR$2:$AR$4,$A51)=0),1,0))</x:f>
      </x:c>
    </x:row>
    <x:row r="52" ht="30" customHeight="1">
      <x:c r="A52" s="94"/>
      <x:c r="B52" s="32"/>
      <x:c r="C52" s="32"/>
      <x:c r="D52" s="32"/>
      <x:c r="E52" s="92"/>
      <x:c r="F52" s="36"/>
      <x:c r="G52" s="36"/>
      <x:c r="H52" s="82"/>
      <x:c r="I52" s="36"/>
      <x:c r="J52" s="42" t="str">
        <x:f>IF($A52="","",IF(OR($AA52="Test",$AA52="Spam",$AA52="Duplicate",COUNTIF('Guide_Lists'!$AR$2:$AR$4,$A52)&gt;0),"ไม่นับผลธุรกิจ",IF($AA52&lt;&gt;"Real","ระบุประเภทข้อมูล",IF(OR($F52="Won",$F52="Lost",$F52="Unqualified"),"ปิดงานขาย",IF($H52="","ยังไม่นัด",IF(NOT(ISNUMBER($H52)),"ตรวจวันนัด",IF(INT($H52)&lt;'Guide_Lists'!$B$4,"เกินกำหนด",IF(INT($H52)='Guide_Lists'!$B$4,"ติดตามวันนี้","รอนัด"))))))))</x:f>
      </x:c>
      <x:c r="K52" s="32"/>
      <x:c r="L52" s="94"/>
      <x:c r="M52" s="94"/>
      <x:c r="N52" s="94"/>
      <x:c r="O52" s="36"/>
      <x:c r="P52" s="36"/>
      <x:c r="Q52" s="36"/>
      <x:c r="R52" s="36"/>
      <x:c r="S52" s="82"/>
      <x:c r="T52" s="82"/>
      <x:c r="U52" s="82"/>
      <x:c r="V52" s="82"/>
      <x:c r="W52" s="82"/>
      <x:c r="X52" s="36"/>
      <x:c r="Y52" s="36"/>
      <x:c r="Z52" s="36"/>
      <x:c r="AA52" s="36"/>
      <x:c r="AB52" s="96"/>
      <x:c r="AC52" s="82"/>
      <x:c r="AD52" s="36"/>
      <x:c r="AE52" s="94"/>
      <x:c r="AF52" s="86"/>
      <x:c r="AG52" s="32"/>
      <x:c r="AH52" s="32"/>
      <x:c r="AI52" s="32"/>
      <x:c r="AJ52" s="88"/>
      <x:c r="AK52" s="32"/>
      <x:c r="AL52" s="32"/>
      <x:c r="AM52" s="32"/>
      <x:c r="AN52" s="32"/>
      <x:c r="AO52" s="32"/>
      <x:c r="AP52" s="32"/>
      <x:c r="AQ52" s="94"/>
      <x:c r="AR52" s="32"/>
      <x:c r="AS52" s="32"/>
      <x:c r="AT52" s="32"/>
      <x:c r="AU52" s="86"/>
      <x:c r="AV52" s="90" t="str">
        <x:f>IF($A52="","",IF(COUNTIFS('Quotations'!$L$8:$L$107,$AE52,'Quotations'!$O$8:$O$107,1)=0,"",MINIFS('Quotations'!$E$8:$E$107,'Quotations'!$L$8:$L$107,$AE52,'Quotations'!$O$8:$O$107,1)))</x:f>
      </x:c>
      <x:c r="AW52" s="90" t="str">
        <x:f>IF($A52="","",IF(COUNTIFS('Orders_PO'!$N$8:$N$107,$AE52,'Orders_PO'!$Q$8:$Q$107,1)=0,"",MINIFS('Orders_PO'!$E$8:$E$107,'Orders_PO'!$N$8:$N$107,$AE52,'Orders_PO'!$Q$8:$Q$107,1)))</x:f>
      </x:c>
      <x:c r="AX52" s="42" t="str">
        <x:f>IF($A52="","",COUNTIFS('Quotations'!$L$8:$L$107,$AE52,'Quotations'!$O$8:$O$107,1,'Quotations'!$I$8:$I$107,"Yes"))</x:f>
      </x:c>
      <x:c r="AY52" s="42" t="str">
        <x:f>IF($A52="","",COUNTIFS('Orders_PO'!$N$8:$N$107,$AE52,'Orders_PO'!$Q$8:$Q$107,1))</x:f>
      </x:c>
      <x:c r="AZ52" s="42" t="str">
        <x:f>IF($A52="","",IF((IF($AE52="","ขาด Lead ID; ","")&amp;IF(AND($AE52&lt;&gt;"",COUNTIF('Leads'!$AE$8:$AE$107,$AE52)&gt;1),"Lead ID ซ้ำ; ","")&amp;IF(COUNTIF('Leads'!$A$8:$A$107,$A52)&gt;1,"Reference ซ้ำ; ","")&amp;IF(COUNTIF('Guide_Lists'!$AR$2:$AR$4,$A52)&gt;0,"Known TEST — ห้ามนับผล; ","")&amp;IF(OR($B52="",$D52=""),"ขาดชื่อ/งาน; ","")&amp;IF(AND($L52="",$M52="",$N52=""),"ขาดช่องทางติดต่อ; ","")&amp;IF(OR($Z52="",$AA52="",$F52="",$G52="",$AT52=""),"ขาดผู้ดูแล/ประเภท/สถานะ/Environment; ","")&amp;IF(NOT(ISNUMBER($AF52)),"ขาดเวลารับ Lead; ","")&amp;IF(AND($AA52="Duplicate",$AB52=""),"ขาด duplicate_of; ","")&amp;IF(AND($G52="Qualified",OR($R52="",$U52="")),"Qualified ขาดเหตุผล/วันที่; ","")&amp;IF(AND($G52="Unqualified",$R52=""),"Unqualified ขาดเหตุผล; ","")&amp;IF(AND($F52="Qualified",$G52&lt;&gt;"Qualified"),"สถานะ/ผลคัดกรองไม่ตรง; ","")&amp;IF(AND($F52="Unqualified",$G52&lt;&gt;"Unqualified"),"สถานะ/ผลคัดกรองไม่ตรง; ","")&amp;IF(AND($F52="Contacting",$S52=""),"ขาดเวลาพยายามติดต่อ; ","")&amp;IF(AND($O52="Contactable",$T52=""),"ขาดเวลาติดต่อสำเร็จ; ","")&amp;IF(AND($F52="Quotation Sent",$AV52=""),"ยังไม่มีใบราคาที่ตรวจผ่าน; ","")&amp;IF(AND($F52="Won",$AY52=0),"Won ยังไม่มี PO ที่ตรวจผ่าน; ","")&amp;IF(AND($AY52&gt;0,$F52&lt;&gt;"Won"),"มี PO แล้ว—ตรวจสถานะ; ","")&amp;IF(AND($F52="Lost",OR($W52="",$X52="")),"Lost ขาดวัน/เหตุผล; ","")&amp;IF(AND($AA52="Real",NOT(OR($F52="Won",$F52="Lost",$F52="Unqualified")),OR($H52="",$I52="")),"ขาดนัด/งานถัดไป; ","")&amp;IF(OR($AC52="",$AD52=""),"ขาดเวลา/ผู้บันทึก; ","")&amp;IF(AND(ISNUMBER($S52),ISNUMBER($AF52),$S52&lt;$AF52),"ตรวจเวลา attempt ก่อนรับ Lead; ",""))="","ครบ",IF($AE52="","ขาด Lead ID; ","")&amp;IF(AND($AE52&lt;&gt;"",COUNTIF('Leads'!$AE$8:$AE$107,$AE52)&gt;1),"Lead ID ซ้ำ; ","")&amp;IF(COUNTIF('Leads'!$A$8:$A$107,$A52)&gt;1,"Reference ซ้ำ; ","")&amp;IF(COUNTIF('Guide_Lists'!$AR$2:$AR$4,$A52)&gt;0,"Known TEST — ห้ามนับผล; ","")&amp;IF(OR($B52="",$D52=""),"ขาดชื่อ/งาน; ","")&amp;IF(AND($L52="",$M52="",$N52=""),"ขาดช่องทางติดต่อ; ","")&amp;IF(OR($Z52="",$AA52="",$F52="",$G52="",$AT52=""),"ขาดผู้ดูแล/ประเภท/สถานะ/Environment; ","")&amp;IF(NOT(ISNUMBER($AF52)),"ขาดเวลารับ Lead; ","")&amp;IF(AND($AA52="Duplicate",$AB52=""),"ขาด duplicate_of; ","")&amp;IF(AND($G52="Qualified",OR($R52="",$U52="")),"Qualified ขาดเหตุผล/วันที่; ","")&amp;IF(AND($G52="Unqualified",$R52=""),"Unqualified ขาดเหตุผล; ","")&amp;IF(AND($F52="Qualified",$G52&lt;&gt;"Qualified"),"สถานะ/ผลคัดกรองไม่ตรง; ","")&amp;IF(AND($F52="Unqualified",$G52&lt;&gt;"Unqualified"),"สถานะ/ผลคัดกรองไม่ตรง; ","")&amp;IF(AND($F52="Contacting",$S52=""),"ขาดเวลาพยายามติดต่อ; ","")&amp;IF(AND($O52="Contactable",$T52=""),"ขาดเวลาติดต่อสำเร็จ; ","")&amp;IF(AND($F52="Quotation Sent",$AV52=""),"ยังไม่มีใบราคาที่ตรวจผ่าน; ","")&amp;IF(AND($F52="Won",$AY52=0),"Won ยังไม่มี PO ที่ตรวจผ่าน; ","")&amp;IF(AND($AY52&gt;0,$F52&lt;&gt;"Won"),"มี PO แล้ว—ตรวจสถานะ; ","")&amp;IF(AND($F52="Lost",OR($W52="",$X52="")),"Lost ขาดวัน/เหตุผล; ","")&amp;IF(AND($AA52="Real",NOT(OR($F52="Won",$F52="Lost",$F52="Unqualified")),OR($H52="",$I52="")),"ขาดนัด/งานถัดไป; ","")&amp;IF(OR($AC52="",$AD52=""),"ขาดเวลา/ผู้บันทึก; ","")&amp;IF(AND(ISNUMBER($S52),ISNUMBER($AF52),$S52&lt;$AF52),"ตรวจเวลา attempt ก่อนรับ Lead; ","")))</x:f>
      </x:c>
      <x:c r="BA52" s="42" t="str">
        <x:f>IF($A52="","",IF(AND($AE52&lt;&gt;"",$AA52="Real",$AT52="production",COUNTIF('Leads'!$AE$8:$AE$107,$AE52)=1,COUNTIF('Leads'!$A$8:$A$107,$A52)=1,COUNTIF('Guide_Lists'!$AR$2:$AR$4,$A52)=0),1,0))</x:f>
      </x:c>
    </x:row>
    <x:row r="53" ht="30" customHeight="1">
      <x:c r="A53" s="94"/>
      <x:c r="B53" s="32"/>
      <x:c r="C53" s="32"/>
      <x:c r="D53" s="32"/>
      <x:c r="E53" s="92"/>
      <x:c r="F53" s="36"/>
      <x:c r="G53" s="36"/>
      <x:c r="H53" s="82"/>
      <x:c r="I53" s="36"/>
      <x:c r="J53" s="42" t="str">
        <x:f>IF($A53="","",IF(OR($AA53="Test",$AA53="Spam",$AA53="Duplicate",COUNTIF('Guide_Lists'!$AR$2:$AR$4,$A53)&gt;0),"ไม่นับผลธุรกิจ",IF($AA53&lt;&gt;"Real","ระบุประเภทข้อมูล",IF(OR($F53="Won",$F53="Lost",$F53="Unqualified"),"ปิดงานขาย",IF($H53="","ยังไม่นัด",IF(NOT(ISNUMBER($H53)),"ตรวจวันนัด",IF(INT($H53)&lt;'Guide_Lists'!$B$4,"เกินกำหนด",IF(INT($H53)='Guide_Lists'!$B$4,"ติดตามวันนี้","รอนัด"))))))))</x:f>
      </x:c>
      <x:c r="K53" s="32"/>
      <x:c r="L53" s="94"/>
      <x:c r="M53" s="94"/>
      <x:c r="N53" s="94"/>
      <x:c r="O53" s="36"/>
      <x:c r="P53" s="36"/>
      <x:c r="Q53" s="36"/>
      <x:c r="R53" s="36"/>
      <x:c r="S53" s="82"/>
      <x:c r="T53" s="82"/>
      <x:c r="U53" s="82"/>
      <x:c r="V53" s="82"/>
      <x:c r="W53" s="82"/>
      <x:c r="X53" s="36"/>
      <x:c r="Y53" s="36"/>
      <x:c r="Z53" s="36"/>
      <x:c r="AA53" s="36"/>
      <x:c r="AB53" s="96"/>
      <x:c r="AC53" s="82"/>
      <x:c r="AD53" s="36"/>
      <x:c r="AE53" s="94"/>
      <x:c r="AF53" s="86"/>
      <x:c r="AG53" s="32"/>
      <x:c r="AH53" s="32"/>
      <x:c r="AI53" s="32"/>
      <x:c r="AJ53" s="88"/>
      <x:c r="AK53" s="32"/>
      <x:c r="AL53" s="32"/>
      <x:c r="AM53" s="32"/>
      <x:c r="AN53" s="32"/>
      <x:c r="AO53" s="32"/>
      <x:c r="AP53" s="32"/>
      <x:c r="AQ53" s="94"/>
      <x:c r="AR53" s="32"/>
      <x:c r="AS53" s="32"/>
      <x:c r="AT53" s="32"/>
      <x:c r="AU53" s="86"/>
      <x:c r="AV53" s="90" t="str">
        <x:f>IF($A53="","",IF(COUNTIFS('Quotations'!$L$8:$L$107,$AE53,'Quotations'!$O$8:$O$107,1)=0,"",MINIFS('Quotations'!$E$8:$E$107,'Quotations'!$L$8:$L$107,$AE53,'Quotations'!$O$8:$O$107,1)))</x:f>
      </x:c>
      <x:c r="AW53" s="90" t="str">
        <x:f>IF($A53="","",IF(COUNTIFS('Orders_PO'!$N$8:$N$107,$AE53,'Orders_PO'!$Q$8:$Q$107,1)=0,"",MINIFS('Orders_PO'!$E$8:$E$107,'Orders_PO'!$N$8:$N$107,$AE53,'Orders_PO'!$Q$8:$Q$107,1)))</x:f>
      </x:c>
      <x:c r="AX53" s="42" t="str">
        <x:f>IF($A53="","",COUNTIFS('Quotations'!$L$8:$L$107,$AE53,'Quotations'!$O$8:$O$107,1,'Quotations'!$I$8:$I$107,"Yes"))</x:f>
      </x:c>
      <x:c r="AY53" s="42" t="str">
        <x:f>IF($A53="","",COUNTIFS('Orders_PO'!$N$8:$N$107,$AE53,'Orders_PO'!$Q$8:$Q$107,1))</x:f>
      </x:c>
      <x:c r="AZ53" s="42" t="str">
        <x:f>IF($A53="","",IF((IF($AE53="","ขาด Lead ID; ","")&amp;IF(AND($AE53&lt;&gt;"",COUNTIF('Leads'!$AE$8:$AE$107,$AE53)&gt;1),"Lead ID ซ้ำ; ","")&amp;IF(COUNTIF('Leads'!$A$8:$A$107,$A53)&gt;1,"Reference ซ้ำ; ","")&amp;IF(COUNTIF('Guide_Lists'!$AR$2:$AR$4,$A53)&gt;0,"Known TEST — ห้ามนับผล; ","")&amp;IF(OR($B53="",$D53=""),"ขาดชื่อ/งาน; ","")&amp;IF(AND($L53="",$M53="",$N53=""),"ขาดช่องทางติดต่อ; ","")&amp;IF(OR($Z53="",$AA53="",$F53="",$G53="",$AT53=""),"ขาดผู้ดูแล/ประเภท/สถานะ/Environment; ","")&amp;IF(NOT(ISNUMBER($AF53)),"ขาดเวลารับ Lead; ","")&amp;IF(AND($AA53="Duplicate",$AB53=""),"ขาด duplicate_of; ","")&amp;IF(AND($G53="Qualified",OR($R53="",$U53="")),"Qualified ขาดเหตุผล/วันที่; ","")&amp;IF(AND($G53="Unqualified",$R53=""),"Unqualified ขาดเหตุผล; ","")&amp;IF(AND($F53="Qualified",$G53&lt;&gt;"Qualified"),"สถานะ/ผลคัดกรองไม่ตรง; ","")&amp;IF(AND($F53="Unqualified",$G53&lt;&gt;"Unqualified"),"สถานะ/ผลคัดกรองไม่ตรง; ","")&amp;IF(AND($F53="Contacting",$S53=""),"ขาดเวลาพยายามติดต่อ; ","")&amp;IF(AND($O53="Contactable",$T53=""),"ขาดเวลาติดต่อสำเร็จ; ","")&amp;IF(AND($F53="Quotation Sent",$AV53=""),"ยังไม่มีใบราคาที่ตรวจผ่าน; ","")&amp;IF(AND($F53="Won",$AY53=0),"Won ยังไม่มี PO ที่ตรวจผ่าน; ","")&amp;IF(AND($AY53&gt;0,$F53&lt;&gt;"Won"),"มี PO แล้ว—ตรวจสถานะ; ","")&amp;IF(AND($F53="Lost",OR($W53="",$X53="")),"Lost ขาดวัน/เหตุผล; ","")&amp;IF(AND($AA53="Real",NOT(OR($F53="Won",$F53="Lost",$F53="Unqualified")),OR($H53="",$I53="")),"ขาดนัด/งานถัดไป; ","")&amp;IF(OR($AC53="",$AD53=""),"ขาดเวลา/ผู้บันทึก; ","")&amp;IF(AND(ISNUMBER($S53),ISNUMBER($AF53),$S53&lt;$AF53),"ตรวจเวลา attempt ก่อนรับ Lead; ",""))="","ครบ",IF($AE53="","ขาด Lead ID; ","")&amp;IF(AND($AE53&lt;&gt;"",COUNTIF('Leads'!$AE$8:$AE$107,$AE53)&gt;1),"Lead ID ซ้ำ; ","")&amp;IF(COUNTIF('Leads'!$A$8:$A$107,$A53)&gt;1,"Reference ซ้ำ; ","")&amp;IF(COUNTIF('Guide_Lists'!$AR$2:$AR$4,$A53)&gt;0,"Known TEST — ห้ามนับผล; ","")&amp;IF(OR($B53="",$D53=""),"ขาดชื่อ/งาน; ","")&amp;IF(AND($L53="",$M53="",$N53=""),"ขาดช่องทางติดต่อ; ","")&amp;IF(OR($Z53="",$AA53="",$F53="",$G53="",$AT53=""),"ขาดผู้ดูแล/ประเภท/สถานะ/Environment; ","")&amp;IF(NOT(ISNUMBER($AF53)),"ขาดเวลารับ Lead; ","")&amp;IF(AND($AA53="Duplicate",$AB53=""),"ขาด duplicate_of; ","")&amp;IF(AND($G53="Qualified",OR($R53="",$U53="")),"Qualified ขาดเหตุผล/วันที่; ","")&amp;IF(AND($G53="Unqualified",$R53=""),"Unqualified ขาดเหตุผล; ","")&amp;IF(AND($F53="Qualified",$G53&lt;&gt;"Qualified"),"สถานะ/ผลคัดกรองไม่ตรง; ","")&amp;IF(AND($F53="Unqualified",$G53&lt;&gt;"Unqualified"),"สถานะ/ผลคัดกรองไม่ตรง; ","")&amp;IF(AND($F53="Contacting",$S53=""),"ขาดเวลาพยายามติดต่อ; ","")&amp;IF(AND($O53="Contactable",$T53=""),"ขาดเวลาติดต่อสำเร็จ; ","")&amp;IF(AND($F53="Quotation Sent",$AV53=""),"ยังไม่มีใบราคาที่ตรวจผ่าน; ","")&amp;IF(AND($F53="Won",$AY53=0),"Won ยังไม่มี PO ที่ตรวจผ่าน; ","")&amp;IF(AND($AY53&gt;0,$F53&lt;&gt;"Won"),"มี PO แล้ว—ตรวจสถานะ; ","")&amp;IF(AND($F53="Lost",OR($W53="",$X53="")),"Lost ขาดวัน/เหตุผล; ","")&amp;IF(AND($AA53="Real",NOT(OR($F53="Won",$F53="Lost",$F53="Unqualified")),OR($H53="",$I53="")),"ขาดนัด/งานถัดไป; ","")&amp;IF(OR($AC53="",$AD53=""),"ขาดเวลา/ผู้บันทึก; ","")&amp;IF(AND(ISNUMBER($S53),ISNUMBER($AF53),$S53&lt;$AF53),"ตรวจเวลา attempt ก่อนรับ Lead; ","")))</x:f>
      </x:c>
      <x:c r="BA53" s="42" t="str">
        <x:f>IF($A53="","",IF(AND($AE53&lt;&gt;"",$AA53="Real",$AT53="production",COUNTIF('Leads'!$AE$8:$AE$107,$AE53)=1,COUNTIF('Leads'!$A$8:$A$107,$A53)=1,COUNTIF('Guide_Lists'!$AR$2:$AR$4,$A53)=0),1,0))</x:f>
      </x:c>
    </x:row>
    <x:row r="54" ht="30" customHeight="1">
      <x:c r="A54" s="94"/>
      <x:c r="B54" s="32"/>
      <x:c r="C54" s="32"/>
      <x:c r="D54" s="32"/>
      <x:c r="E54" s="92"/>
      <x:c r="F54" s="36"/>
      <x:c r="G54" s="36"/>
      <x:c r="H54" s="82"/>
      <x:c r="I54" s="36"/>
      <x:c r="J54" s="42" t="str">
        <x:f>IF($A54="","",IF(OR($AA54="Test",$AA54="Spam",$AA54="Duplicate",COUNTIF('Guide_Lists'!$AR$2:$AR$4,$A54)&gt;0),"ไม่นับผลธุรกิจ",IF($AA54&lt;&gt;"Real","ระบุประเภทข้อมูล",IF(OR($F54="Won",$F54="Lost",$F54="Unqualified"),"ปิดงานขาย",IF($H54="","ยังไม่นัด",IF(NOT(ISNUMBER($H54)),"ตรวจวันนัด",IF(INT($H54)&lt;'Guide_Lists'!$B$4,"เกินกำหนด",IF(INT($H54)='Guide_Lists'!$B$4,"ติดตามวันนี้","รอนัด"))))))))</x:f>
      </x:c>
      <x:c r="K54" s="32"/>
      <x:c r="L54" s="94"/>
      <x:c r="M54" s="94"/>
      <x:c r="N54" s="94"/>
      <x:c r="O54" s="36"/>
      <x:c r="P54" s="36"/>
      <x:c r="Q54" s="36"/>
      <x:c r="R54" s="36"/>
      <x:c r="S54" s="82"/>
      <x:c r="T54" s="82"/>
      <x:c r="U54" s="82"/>
      <x:c r="V54" s="82"/>
      <x:c r="W54" s="82"/>
      <x:c r="X54" s="36"/>
      <x:c r="Y54" s="36"/>
      <x:c r="Z54" s="36"/>
      <x:c r="AA54" s="36"/>
      <x:c r="AB54" s="96"/>
      <x:c r="AC54" s="82"/>
      <x:c r="AD54" s="36"/>
      <x:c r="AE54" s="94"/>
      <x:c r="AF54" s="86"/>
      <x:c r="AG54" s="32"/>
      <x:c r="AH54" s="32"/>
      <x:c r="AI54" s="32"/>
      <x:c r="AJ54" s="88"/>
      <x:c r="AK54" s="32"/>
      <x:c r="AL54" s="32"/>
      <x:c r="AM54" s="32"/>
      <x:c r="AN54" s="32"/>
      <x:c r="AO54" s="32"/>
      <x:c r="AP54" s="32"/>
      <x:c r="AQ54" s="94"/>
      <x:c r="AR54" s="32"/>
      <x:c r="AS54" s="32"/>
      <x:c r="AT54" s="32"/>
      <x:c r="AU54" s="86"/>
      <x:c r="AV54" s="90" t="str">
        <x:f>IF($A54="","",IF(COUNTIFS('Quotations'!$L$8:$L$107,$AE54,'Quotations'!$O$8:$O$107,1)=0,"",MINIFS('Quotations'!$E$8:$E$107,'Quotations'!$L$8:$L$107,$AE54,'Quotations'!$O$8:$O$107,1)))</x:f>
      </x:c>
      <x:c r="AW54" s="90" t="str">
        <x:f>IF($A54="","",IF(COUNTIFS('Orders_PO'!$N$8:$N$107,$AE54,'Orders_PO'!$Q$8:$Q$107,1)=0,"",MINIFS('Orders_PO'!$E$8:$E$107,'Orders_PO'!$N$8:$N$107,$AE54,'Orders_PO'!$Q$8:$Q$107,1)))</x:f>
      </x:c>
      <x:c r="AX54" s="42" t="str">
        <x:f>IF($A54="","",COUNTIFS('Quotations'!$L$8:$L$107,$AE54,'Quotations'!$O$8:$O$107,1,'Quotations'!$I$8:$I$107,"Yes"))</x:f>
      </x:c>
      <x:c r="AY54" s="42" t="str">
        <x:f>IF($A54="","",COUNTIFS('Orders_PO'!$N$8:$N$107,$AE54,'Orders_PO'!$Q$8:$Q$107,1))</x:f>
      </x:c>
      <x:c r="AZ54" s="42" t="str">
        <x:f>IF($A54="","",IF((IF($AE54="","ขาด Lead ID; ","")&amp;IF(AND($AE54&lt;&gt;"",COUNTIF('Leads'!$AE$8:$AE$107,$AE54)&gt;1),"Lead ID ซ้ำ; ","")&amp;IF(COUNTIF('Leads'!$A$8:$A$107,$A54)&gt;1,"Reference ซ้ำ; ","")&amp;IF(COUNTIF('Guide_Lists'!$AR$2:$AR$4,$A54)&gt;0,"Known TEST — ห้ามนับผล; ","")&amp;IF(OR($B54="",$D54=""),"ขาดชื่อ/งาน; ","")&amp;IF(AND($L54="",$M54="",$N54=""),"ขาดช่องทางติดต่อ; ","")&amp;IF(OR($Z54="",$AA54="",$F54="",$G54="",$AT54=""),"ขาดผู้ดูแล/ประเภท/สถานะ/Environment; ","")&amp;IF(NOT(ISNUMBER($AF54)),"ขาดเวลารับ Lead; ","")&amp;IF(AND($AA54="Duplicate",$AB54=""),"ขาด duplicate_of; ","")&amp;IF(AND($G54="Qualified",OR($R54="",$U54="")),"Qualified ขาดเหตุผล/วันที่; ","")&amp;IF(AND($G54="Unqualified",$R54=""),"Unqualified ขาดเหตุผล; ","")&amp;IF(AND($F54="Qualified",$G54&lt;&gt;"Qualified"),"สถานะ/ผลคัดกรองไม่ตรง; ","")&amp;IF(AND($F54="Unqualified",$G54&lt;&gt;"Unqualified"),"สถานะ/ผลคัดกรองไม่ตรง; ","")&amp;IF(AND($F54="Contacting",$S54=""),"ขาดเวลาพยายามติดต่อ; ","")&amp;IF(AND($O54="Contactable",$T54=""),"ขาดเวลาติดต่อสำเร็จ; ","")&amp;IF(AND($F54="Quotation Sent",$AV54=""),"ยังไม่มีใบราคาที่ตรวจผ่าน; ","")&amp;IF(AND($F54="Won",$AY54=0),"Won ยังไม่มี PO ที่ตรวจผ่าน; ","")&amp;IF(AND($AY54&gt;0,$F54&lt;&gt;"Won"),"มี PO แล้ว—ตรวจสถานะ; ","")&amp;IF(AND($F54="Lost",OR($W54="",$X54="")),"Lost ขาดวัน/เหตุผล; ","")&amp;IF(AND($AA54="Real",NOT(OR($F54="Won",$F54="Lost",$F54="Unqualified")),OR($H54="",$I54="")),"ขาดนัด/งานถัดไป; ","")&amp;IF(OR($AC54="",$AD54=""),"ขาดเวลา/ผู้บันทึก; ","")&amp;IF(AND(ISNUMBER($S54),ISNUMBER($AF54),$S54&lt;$AF54),"ตรวจเวลา attempt ก่อนรับ Lead; ",""))="","ครบ",IF($AE54="","ขาด Lead ID; ","")&amp;IF(AND($AE54&lt;&gt;"",COUNTIF('Leads'!$AE$8:$AE$107,$AE54)&gt;1),"Lead ID ซ้ำ; ","")&amp;IF(COUNTIF('Leads'!$A$8:$A$107,$A54)&gt;1,"Reference ซ้ำ; ","")&amp;IF(COUNTIF('Guide_Lists'!$AR$2:$AR$4,$A54)&gt;0,"Known TEST — ห้ามนับผล; ","")&amp;IF(OR($B54="",$D54=""),"ขาดชื่อ/งาน; ","")&amp;IF(AND($L54="",$M54="",$N54=""),"ขาดช่องทางติดต่อ; ","")&amp;IF(OR($Z54="",$AA54="",$F54="",$G54="",$AT54=""),"ขาดผู้ดูแล/ประเภท/สถานะ/Environment; ","")&amp;IF(NOT(ISNUMBER($AF54)),"ขาดเวลารับ Lead; ","")&amp;IF(AND($AA54="Duplicate",$AB54=""),"ขาด duplicate_of; ","")&amp;IF(AND($G54="Qualified",OR($R54="",$U54="")),"Qualified ขาดเหตุผล/วันที่; ","")&amp;IF(AND($G54="Unqualified",$R54=""),"Unqualified ขาดเหตุผล; ","")&amp;IF(AND($F54="Qualified",$G54&lt;&gt;"Qualified"),"สถานะ/ผลคัดกรองไม่ตรง; ","")&amp;IF(AND($F54="Unqualified",$G54&lt;&gt;"Unqualified"),"สถานะ/ผลคัดกรองไม่ตรง; ","")&amp;IF(AND($F54="Contacting",$S54=""),"ขาดเวลาพยายามติดต่อ; ","")&amp;IF(AND($O54="Contactable",$T54=""),"ขาดเวลาติดต่อสำเร็จ; ","")&amp;IF(AND($F54="Quotation Sent",$AV54=""),"ยังไม่มีใบราคาที่ตรวจผ่าน; ","")&amp;IF(AND($F54="Won",$AY54=0),"Won ยังไม่มี PO ที่ตรวจผ่าน; ","")&amp;IF(AND($AY54&gt;0,$F54&lt;&gt;"Won"),"มี PO แล้ว—ตรวจสถานะ; ","")&amp;IF(AND($F54="Lost",OR($W54="",$X54="")),"Lost ขาดวัน/เหตุผล; ","")&amp;IF(AND($AA54="Real",NOT(OR($F54="Won",$F54="Lost",$F54="Unqualified")),OR($H54="",$I54="")),"ขาดนัด/งานถัดไป; ","")&amp;IF(OR($AC54="",$AD54=""),"ขาดเวลา/ผู้บันทึก; ","")&amp;IF(AND(ISNUMBER($S54),ISNUMBER($AF54),$S54&lt;$AF54),"ตรวจเวลา attempt ก่อนรับ Lead; ","")))</x:f>
      </x:c>
      <x:c r="BA54" s="42" t="str">
        <x:f>IF($A54="","",IF(AND($AE54&lt;&gt;"",$AA54="Real",$AT54="production",COUNTIF('Leads'!$AE$8:$AE$107,$AE54)=1,COUNTIF('Leads'!$A$8:$A$107,$A54)=1,COUNTIF('Guide_Lists'!$AR$2:$AR$4,$A54)=0),1,0))</x:f>
      </x:c>
    </x:row>
    <x:row r="55" ht="30" customHeight="1">
      <x:c r="A55" s="94"/>
      <x:c r="B55" s="32"/>
      <x:c r="C55" s="32"/>
      <x:c r="D55" s="32"/>
      <x:c r="E55" s="92"/>
      <x:c r="F55" s="36"/>
      <x:c r="G55" s="36"/>
      <x:c r="H55" s="82"/>
      <x:c r="I55" s="36"/>
      <x:c r="J55" s="42" t="str">
        <x:f>IF($A55="","",IF(OR($AA55="Test",$AA55="Spam",$AA55="Duplicate",COUNTIF('Guide_Lists'!$AR$2:$AR$4,$A55)&gt;0),"ไม่นับผลธุรกิจ",IF($AA55&lt;&gt;"Real","ระบุประเภทข้อมูล",IF(OR($F55="Won",$F55="Lost",$F55="Unqualified"),"ปิดงานขาย",IF($H55="","ยังไม่นัด",IF(NOT(ISNUMBER($H55)),"ตรวจวันนัด",IF(INT($H55)&lt;'Guide_Lists'!$B$4,"เกินกำหนด",IF(INT($H55)='Guide_Lists'!$B$4,"ติดตามวันนี้","รอนัด"))))))))</x:f>
      </x:c>
      <x:c r="K55" s="32"/>
      <x:c r="L55" s="94"/>
      <x:c r="M55" s="94"/>
      <x:c r="N55" s="94"/>
      <x:c r="O55" s="36"/>
      <x:c r="P55" s="36"/>
      <x:c r="Q55" s="36"/>
      <x:c r="R55" s="36"/>
      <x:c r="S55" s="82"/>
      <x:c r="T55" s="82"/>
      <x:c r="U55" s="82"/>
      <x:c r="V55" s="82"/>
      <x:c r="W55" s="82"/>
      <x:c r="X55" s="36"/>
      <x:c r="Y55" s="36"/>
      <x:c r="Z55" s="36"/>
      <x:c r="AA55" s="36"/>
      <x:c r="AB55" s="96"/>
      <x:c r="AC55" s="82"/>
      <x:c r="AD55" s="36"/>
      <x:c r="AE55" s="94"/>
      <x:c r="AF55" s="86"/>
      <x:c r="AG55" s="32"/>
      <x:c r="AH55" s="32"/>
      <x:c r="AI55" s="32"/>
      <x:c r="AJ55" s="88"/>
      <x:c r="AK55" s="32"/>
      <x:c r="AL55" s="32"/>
      <x:c r="AM55" s="32"/>
      <x:c r="AN55" s="32"/>
      <x:c r="AO55" s="32"/>
      <x:c r="AP55" s="32"/>
      <x:c r="AQ55" s="94"/>
      <x:c r="AR55" s="32"/>
      <x:c r="AS55" s="32"/>
      <x:c r="AT55" s="32"/>
      <x:c r="AU55" s="86"/>
      <x:c r="AV55" s="90" t="str">
        <x:f>IF($A55="","",IF(COUNTIFS('Quotations'!$L$8:$L$107,$AE55,'Quotations'!$O$8:$O$107,1)=0,"",MINIFS('Quotations'!$E$8:$E$107,'Quotations'!$L$8:$L$107,$AE55,'Quotations'!$O$8:$O$107,1)))</x:f>
      </x:c>
      <x:c r="AW55" s="90" t="str">
        <x:f>IF($A55="","",IF(COUNTIFS('Orders_PO'!$N$8:$N$107,$AE55,'Orders_PO'!$Q$8:$Q$107,1)=0,"",MINIFS('Orders_PO'!$E$8:$E$107,'Orders_PO'!$N$8:$N$107,$AE55,'Orders_PO'!$Q$8:$Q$107,1)))</x:f>
      </x:c>
      <x:c r="AX55" s="42" t="str">
        <x:f>IF($A55="","",COUNTIFS('Quotations'!$L$8:$L$107,$AE55,'Quotations'!$O$8:$O$107,1,'Quotations'!$I$8:$I$107,"Yes"))</x:f>
      </x:c>
      <x:c r="AY55" s="42" t="str">
        <x:f>IF($A55="","",COUNTIFS('Orders_PO'!$N$8:$N$107,$AE55,'Orders_PO'!$Q$8:$Q$107,1))</x:f>
      </x:c>
      <x:c r="AZ55" s="42" t="str">
        <x:f>IF($A55="","",IF((IF($AE55="","ขาด Lead ID; ","")&amp;IF(AND($AE55&lt;&gt;"",COUNTIF('Leads'!$AE$8:$AE$107,$AE55)&gt;1),"Lead ID ซ้ำ; ","")&amp;IF(COUNTIF('Leads'!$A$8:$A$107,$A55)&gt;1,"Reference ซ้ำ; ","")&amp;IF(COUNTIF('Guide_Lists'!$AR$2:$AR$4,$A55)&gt;0,"Known TEST — ห้ามนับผล; ","")&amp;IF(OR($B55="",$D55=""),"ขาดชื่อ/งาน; ","")&amp;IF(AND($L55="",$M55="",$N55=""),"ขาดช่องทางติดต่อ; ","")&amp;IF(OR($Z55="",$AA55="",$F55="",$G55="",$AT55=""),"ขาดผู้ดูแล/ประเภท/สถานะ/Environment; ","")&amp;IF(NOT(ISNUMBER($AF55)),"ขาดเวลารับ Lead; ","")&amp;IF(AND($AA55="Duplicate",$AB55=""),"ขาด duplicate_of; ","")&amp;IF(AND($G55="Qualified",OR($R55="",$U55="")),"Qualified ขาดเหตุผล/วันที่; ","")&amp;IF(AND($G55="Unqualified",$R55=""),"Unqualified ขาดเหตุผล; ","")&amp;IF(AND($F55="Qualified",$G55&lt;&gt;"Qualified"),"สถานะ/ผลคัดกรองไม่ตรง; ","")&amp;IF(AND($F55="Unqualified",$G55&lt;&gt;"Unqualified"),"สถานะ/ผลคัดกรองไม่ตรง; ","")&amp;IF(AND($F55="Contacting",$S55=""),"ขาดเวลาพยายามติดต่อ; ","")&amp;IF(AND($O55="Contactable",$T55=""),"ขาดเวลาติดต่อสำเร็จ; ","")&amp;IF(AND($F55="Quotation Sent",$AV55=""),"ยังไม่มีใบราคาที่ตรวจผ่าน; ","")&amp;IF(AND($F55="Won",$AY55=0),"Won ยังไม่มี PO ที่ตรวจผ่าน; ","")&amp;IF(AND($AY55&gt;0,$F55&lt;&gt;"Won"),"มี PO แล้ว—ตรวจสถานะ; ","")&amp;IF(AND($F55="Lost",OR($W55="",$X55="")),"Lost ขาดวัน/เหตุผล; ","")&amp;IF(AND($AA55="Real",NOT(OR($F55="Won",$F55="Lost",$F55="Unqualified")),OR($H55="",$I55="")),"ขาดนัด/งานถัดไป; ","")&amp;IF(OR($AC55="",$AD55=""),"ขาดเวลา/ผู้บันทึก; ","")&amp;IF(AND(ISNUMBER($S55),ISNUMBER($AF55),$S55&lt;$AF55),"ตรวจเวลา attempt ก่อนรับ Lead; ",""))="","ครบ",IF($AE55="","ขาด Lead ID; ","")&amp;IF(AND($AE55&lt;&gt;"",COUNTIF('Leads'!$AE$8:$AE$107,$AE55)&gt;1),"Lead ID ซ้ำ; ","")&amp;IF(COUNTIF('Leads'!$A$8:$A$107,$A55)&gt;1,"Reference ซ้ำ; ","")&amp;IF(COUNTIF('Guide_Lists'!$AR$2:$AR$4,$A55)&gt;0,"Known TEST — ห้ามนับผล; ","")&amp;IF(OR($B55="",$D55=""),"ขาดชื่อ/งาน; ","")&amp;IF(AND($L55="",$M55="",$N55=""),"ขาดช่องทางติดต่อ; ","")&amp;IF(OR($Z55="",$AA55="",$F55="",$G55="",$AT55=""),"ขาดผู้ดูแล/ประเภท/สถานะ/Environment; ","")&amp;IF(NOT(ISNUMBER($AF55)),"ขาดเวลารับ Lead; ","")&amp;IF(AND($AA55="Duplicate",$AB55=""),"ขาด duplicate_of; ","")&amp;IF(AND($G55="Qualified",OR($R55="",$U55="")),"Qualified ขาดเหตุผล/วันที่; ","")&amp;IF(AND($G55="Unqualified",$R55=""),"Unqualified ขาดเหตุผล; ","")&amp;IF(AND($F55="Qualified",$G55&lt;&gt;"Qualified"),"สถานะ/ผลคัดกรองไม่ตรง; ","")&amp;IF(AND($F55="Unqualified",$G55&lt;&gt;"Unqualified"),"สถานะ/ผลคัดกรองไม่ตรง; ","")&amp;IF(AND($F55="Contacting",$S55=""),"ขาดเวลาพยายามติดต่อ; ","")&amp;IF(AND($O55="Contactable",$T55=""),"ขาดเวลาติดต่อสำเร็จ; ","")&amp;IF(AND($F55="Quotation Sent",$AV55=""),"ยังไม่มีใบราคาที่ตรวจผ่าน; ","")&amp;IF(AND($F55="Won",$AY55=0),"Won ยังไม่มี PO ที่ตรวจผ่าน; ","")&amp;IF(AND($AY55&gt;0,$F55&lt;&gt;"Won"),"มี PO แล้ว—ตรวจสถานะ; ","")&amp;IF(AND($F55="Lost",OR($W55="",$X55="")),"Lost ขาดวัน/เหตุผล; ","")&amp;IF(AND($AA55="Real",NOT(OR($F55="Won",$F55="Lost",$F55="Unqualified")),OR($H55="",$I55="")),"ขาดนัด/งานถัดไป; ","")&amp;IF(OR($AC55="",$AD55=""),"ขาดเวลา/ผู้บันทึก; ","")&amp;IF(AND(ISNUMBER($S55),ISNUMBER($AF55),$S55&lt;$AF55),"ตรวจเวลา attempt ก่อนรับ Lead; ","")))</x:f>
      </x:c>
      <x:c r="BA55" s="42" t="str">
        <x:f>IF($A55="","",IF(AND($AE55&lt;&gt;"",$AA55="Real",$AT55="production",COUNTIF('Leads'!$AE$8:$AE$107,$AE55)=1,COUNTIF('Leads'!$A$8:$A$107,$A55)=1,COUNTIF('Guide_Lists'!$AR$2:$AR$4,$A55)=0),1,0))</x:f>
      </x:c>
    </x:row>
    <x:row r="56" ht="30" customHeight="1">
      <x:c r="A56" s="94"/>
      <x:c r="B56" s="32"/>
      <x:c r="C56" s="32"/>
      <x:c r="D56" s="32"/>
      <x:c r="E56" s="92"/>
      <x:c r="F56" s="36"/>
      <x:c r="G56" s="36"/>
      <x:c r="H56" s="82"/>
      <x:c r="I56" s="36"/>
      <x:c r="J56" s="42" t="str">
        <x:f>IF($A56="","",IF(OR($AA56="Test",$AA56="Spam",$AA56="Duplicate",COUNTIF('Guide_Lists'!$AR$2:$AR$4,$A56)&gt;0),"ไม่นับผลธุรกิจ",IF($AA56&lt;&gt;"Real","ระบุประเภทข้อมูล",IF(OR($F56="Won",$F56="Lost",$F56="Unqualified"),"ปิดงานขาย",IF($H56="","ยังไม่นัด",IF(NOT(ISNUMBER($H56)),"ตรวจวันนัด",IF(INT($H56)&lt;'Guide_Lists'!$B$4,"เกินกำหนด",IF(INT($H56)='Guide_Lists'!$B$4,"ติดตามวันนี้","รอนัด"))))))))</x:f>
      </x:c>
      <x:c r="K56" s="32"/>
      <x:c r="L56" s="94"/>
      <x:c r="M56" s="94"/>
      <x:c r="N56" s="94"/>
      <x:c r="O56" s="36"/>
      <x:c r="P56" s="36"/>
      <x:c r="Q56" s="36"/>
      <x:c r="R56" s="36"/>
      <x:c r="S56" s="82"/>
      <x:c r="T56" s="82"/>
      <x:c r="U56" s="82"/>
      <x:c r="V56" s="82"/>
      <x:c r="W56" s="82"/>
      <x:c r="X56" s="36"/>
      <x:c r="Y56" s="36"/>
      <x:c r="Z56" s="36"/>
      <x:c r="AA56" s="36"/>
      <x:c r="AB56" s="96"/>
      <x:c r="AC56" s="82"/>
      <x:c r="AD56" s="36"/>
      <x:c r="AE56" s="94"/>
      <x:c r="AF56" s="86"/>
      <x:c r="AG56" s="32"/>
      <x:c r="AH56" s="32"/>
      <x:c r="AI56" s="32"/>
      <x:c r="AJ56" s="88"/>
      <x:c r="AK56" s="32"/>
      <x:c r="AL56" s="32"/>
      <x:c r="AM56" s="32"/>
      <x:c r="AN56" s="32"/>
      <x:c r="AO56" s="32"/>
      <x:c r="AP56" s="32"/>
      <x:c r="AQ56" s="94"/>
      <x:c r="AR56" s="32"/>
      <x:c r="AS56" s="32"/>
      <x:c r="AT56" s="32"/>
      <x:c r="AU56" s="86"/>
      <x:c r="AV56" s="90" t="str">
        <x:f>IF($A56="","",IF(COUNTIFS('Quotations'!$L$8:$L$107,$AE56,'Quotations'!$O$8:$O$107,1)=0,"",MINIFS('Quotations'!$E$8:$E$107,'Quotations'!$L$8:$L$107,$AE56,'Quotations'!$O$8:$O$107,1)))</x:f>
      </x:c>
      <x:c r="AW56" s="90" t="str">
        <x:f>IF($A56="","",IF(COUNTIFS('Orders_PO'!$N$8:$N$107,$AE56,'Orders_PO'!$Q$8:$Q$107,1)=0,"",MINIFS('Orders_PO'!$E$8:$E$107,'Orders_PO'!$N$8:$N$107,$AE56,'Orders_PO'!$Q$8:$Q$107,1)))</x:f>
      </x:c>
      <x:c r="AX56" s="42" t="str">
        <x:f>IF($A56="","",COUNTIFS('Quotations'!$L$8:$L$107,$AE56,'Quotations'!$O$8:$O$107,1,'Quotations'!$I$8:$I$107,"Yes"))</x:f>
      </x:c>
      <x:c r="AY56" s="42" t="str">
        <x:f>IF($A56="","",COUNTIFS('Orders_PO'!$N$8:$N$107,$AE56,'Orders_PO'!$Q$8:$Q$107,1))</x:f>
      </x:c>
      <x:c r="AZ56" s="42" t="str">
        <x:f>IF($A56="","",IF((IF($AE56="","ขาด Lead ID; ","")&amp;IF(AND($AE56&lt;&gt;"",COUNTIF('Leads'!$AE$8:$AE$107,$AE56)&gt;1),"Lead ID ซ้ำ; ","")&amp;IF(COUNTIF('Leads'!$A$8:$A$107,$A56)&gt;1,"Reference ซ้ำ; ","")&amp;IF(COUNTIF('Guide_Lists'!$AR$2:$AR$4,$A56)&gt;0,"Known TEST — ห้ามนับผล; ","")&amp;IF(OR($B56="",$D56=""),"ขาดชื่อ/งาน; ","")&amp;IF(AND($L56="",$M56="",$N56=""),"ขาดช่องทางติดต่อ; ","")&amp;IF(OR($Z56="",$AA56="",$F56="",$G56="",$AT56=""),"ขาดผู้ดูแล/ประเภท/สถานะ/Environment; ","")&amp;IF(NOT(ISNUMBER($AF56)),"ขาดเวลารับ Lead; ","")&amp;IF(AND($AA56="Duplicate",$AB56=""),"ขาด duplicate_of; ","")&amp;IF(AND($G56="Qualified",OR($R56="",$U56="")),"Qualified ขาดเหตุผล/วันที่; ","")&amp;IF(AND($G56="Unqualified",$R56=""),"Unqualified ขาดเหตุผล; ","")&amp;IF(AND($F56="Qualified",$G56&lt;&gt;"Qualified"),"สถานะ/ผลคัดกรองไม่ตรง; ","")&amp;IF(AND($F56="Unqualified",$G56&lt;&gt;"Unqualified"),"สถานะ/ผลคัดกรองไม่ตรง; ","")&amp;IF(AND($F56="Contacting",$S56=""),"ขาดเวลาพยายามติดต่อ; ","")&amp;IF(AND($O56="Contactable",$T56=""),"ขาดเวลาติดต่อสำเร็จ; ","")&amp;IF(AND($F56="Quotation Sent",$AV56=""),"ยังไม่มีใบราคาที่ตรวจผ่าน; ","")&amp;IF(AND($F56="Won",$AY56=0),"Won ยังไม่มี PO ที่ตรวจผ่าน; ","")&amp;IF(AND($AY56&gt;0,$F56&lt;&gt;"Won"),"มี PO แล้ว—ตรวจสถานะ; ","")&amp;IF(AND($F56="Lost",OR($W56="",$X56="")),"Lost ขาดวัน/เหตุผล; ","")&amp;IF(AND($AA56="Real",NOT(OR($F56="Won",$F56="Lost",$F56="Unqualified")),OR($H56="",$I56="")),"ขาดนัด/งานถัดไป; ","")&amp;IF(OR($AC56="",$AD56=""),"ขาดเวลา/ผู้บันทึก; ","")&amp;IF(AND(ISNUMBER($S56),ISNUMBER($AF56),$S56&lt;$AF56),"ตรวจเวลา attempt ก่อนรับ Lead; ",""))="","ครบ",IF($AE56="","ขาด Lead ID; ","")&amp;IF(AND($AE56&lt;&gt;"",COUNTIF('Leads'!$AE$8:$AE$107,$AE56)&gt;1),"Lead ID ซ้ำ; ","")&amp;IF(COUNTIF('Leads'!$A$8:$A$107,$A56)&gt;1,"Reference ซ้ำ; ","")&amp;IF(COUNTIF('Guide_Lists'!$AR$2:$AR$4,$A56)&gt;0,"Known TEST — ห้ามนับผล; ","")&amp;IF(OR($B56="",$D56=""),"ขาดชื่อ/งาน; ","")&amp;IF(AND($L56="",$M56="",$N56=""),"ขาดช่องทางติดต่อ; ","")&amp;IF(OR($Z56="",$AA56="",$F56="",$G56="",$AT56=""),"ขาดผู้ดูแล/ประเภท/สถานะ/Environment; ","")&amp;IF(NOT(ISNUMBER($AF56)),"ขาดเวลารับ Lead; ","")&amp;IF(AND($AA56="Duplicate",$AB56=""),"ขาด duplicate_of; ","")&amp;IF(AND($G56="Qualified",OR($R56="",$U56="")),"Qualified ขาดเหตุผล/วันที่; ","")&amp;IF(AND($G56="Unqualified",$R56=""),"Unqualified ขาดเหตุผล; ","")&amp;IF(AND($F56="Qualified",$G56&lt;&gt;"Qualified"),"สถานะ/ผลคัดกรองไม่ตรง; ","")&amp;IF(AND($F56="Unqualified",$G56&lt;&gt;"Unqualified"),"สถานะ/ผลคัดกรองไม่ตรง; ","")&amp;IF(AND($F56="Contacting",$S56=""),"ขาดเวลาพยายามติดต่อ; ","")&amp;IF(AND($O56="Contactable",$T56=""),"ขาดเวลาติดต่อสำเร็จ; ","")&amp;IF(AND($F56="Quotation Sent",$AV56=""),"ยังไม่มีใบราคาที่ตรวจผ่าน; ","")&amp;IF(AND($F56="Won",$AY56=0),"Won ยังไม่มี PO ที่ตรวจผ่าน; ","")&amp;IF(AND($AY56&gt;0,$F56&lt;&gt;"Won"),"มี PO แล้ว—ตรวจสถานะ; ","")&amp;IF(AND($F56="Lost",OR($W56="",$X56="")),"Lost ขาดวัน/เหตุผล; ","")&amp;IF(AND($AA56="Real",NOT(OR($F56="Won",$F56="Lost",$F56="Unqualified")),OR($H56="",$I56="")),"ขาดนัด/งานถัดไป; ","")&amp;IF(OR($AC56="",$AD56=""),"ขาดเวลา/ผู้บันทึก; ","")&amp;IF(AND(ISNUMBER($S56),ISNUMBER($AF56),$S56&lt;$AF56),"ตรวจเวลา attempt ก่อนรับ Lead; ","")))</x:f>
      </x:c>
      <x:c r="BA56" s="42" t="str">
        <x:f>IF($A56="","",IF(AND($AE56&lt;&gt;"",$AA56="Real",$AT56="production",COUNTIF('Leads'!$AE$8:$AE$107,$AE56)=1,COUNTIF('Leads'!$A$8:$A$107,$A56)=1,COUNTIF('Guide_Lists'!$AR$2:$AR$4,$A56)=0),1,0))</x:f>
      </x:c>
    </x:row>
    <x:row r="57" ht="30" customHeight="1">
      <x:c r="A57" s="94"/>
      <x:c r="B57" s="32"/>
      <x:c r="C57" s="32"/>
      <x:c r="D57" s="32"/>
      <x:c r="E57" s="92"/>
      <x:c r="F57" s="36"/>
      <x:c r="G57" s="36"/>
      <x:c r="H57" s="82"/>
      <x:c r="I57" s="36"/>
      <x:c r="J57" s="42" t="str">
        <x:f>IF($A57="","",IF(OR($AA57="Test",$AA57="Spam",$AA57="Duplicate",COUNTIF('Guide_Lists'!$AR$2:$AR$4,$A57)&gt;0),"ไม่นับผลธุรกิจ",IF($AA57&lt;&gt;"Real","ระบุประเภทข้อมูล",IF(OR($F57="Won",$F57="Lost",$F57="Unqualified"),"ปิดงานขาย",IF($H57="","ยังไม่นัด",IF(NOT(ISNUMBER($H57)),"ตรวจวันนัด",IF(INT($H57)&lt;'Guide_Lists'!$B$4,"เกินกำหนด",IF(INT($H57)='Guide_Lists'!$B$4,"ติดตามวันนี้","รอนัด"))))))))</x:f>
      </x:c>
      <x:c r="K57" s="32"/>
      <x:c r="L57" s="94"/>
      <x:c r="M57" s="94"/>
      <x:c r="N57" s="94"/>
      <x:c r="O57" s="36"/>
      <x:c r="P57" s="36"/>
      <x:c r="Q57" s="36"/>
      <x:c r="R57" s="36"/>
      <x:c r="S57" s="82"/>
      <x:c r="T57" s="82"/>
      <x:c r="U57" s="82"/>
      <x:c r="V57" s="82"/>
      <x:c r="W57" s="82"/>
      <x:c r="X57" s="36"/>
      <x:c r="Y57" s="36"/>
      <x:c r="Z57" s="36"/>
      <x:c r="AA57" s="36"/>
      <x:c r="AB57" s="96"/>
      <x:c r="AC57" s="82"/>
      <x:c r="AD57" s="36"/>
      <x:c r="AE57" s="94"/>
      <x:c r="AF57" s="86"/>
      <x:c r="AG57" s="32"/>
      <x:c r="AH57" s="32"/>
      <x:c r="AI57" s="32"/>
      <x:c r="AJ57" s="88"/>
      <x:c r="AK57" s="32"/>
      <x:c r="AL57" s="32"/>
      <x:c r="AM57" s="32"/>
      <x:c r="AN57" s="32"/>
      <x:c r="AO57" s="32"/>
      <x:c r="AP57" s="32"/>
      <x:c r="AQ57" s="94"/>
      <x:c r="AR57" s="32"/>
      <x:c r="AS57" s="32"/>
      <x:c r="AT57" s="32"/>
      <x:c r="AU57" s="86"/>
      <x:c r="AV57" s="90" t="str">
        <x:f>IF($A57="","",IF(COUNTIFS('Quotations'!$L$8:$L$107,$AE57,'Quotations'!$O$8:$O$107,1)=0,"",MINIFS('Quotations'!$E$8:$E$107,'Quotations'!$L$8:$L$107,$AE57,'Quotations'!$O$8:$O$107,1)))</x:f>
      </x:c>
      <x:c r="AW57" s="90" t="str">
        <x:f>IF($A57="","",IF(COUNTIFS('Orders_PO'!$N$8:$N$107,$AE57,'Orders_PO'!$Q$8:$Q$107,1)=0,"",MINIFS('Orders_PO'!$E$8:$E$107,'Orders_PO'!$N$8:$N$107,$AE57,'Orders_PO'!$Q$8:$Q$107,1)))</x:f>
      </x:c>
      <x:c r="AX57" s="42" t="str">
        <x:f>IF($A57="","",COUNTIFS('Quotations'!$L$8:$L$107,$AE57,'Quotations'!$O$8:$O$107,1,'Quotations'!$I$8:$I$107,"Yes"))</x:f>
      </x:c>
      <x:c r="AY57" s="42" t="str">
        <x:f>IF($A57="","",COUNTIFS('Orders_PO'!$N$8:$N$107,$AE57,'Orders_PO'!$Q$8:$Q$107,1))</x:f>
      </x:c>
      <x:c r="AZ57" s="42" t="str">
        <x:f>IF($A57="","",IF((IF($AE57="","ขาด Lead ID; ","")&amp;IF(AND($AE57&lt;&gt;"",COUNTIF('Leads'!$AE$8:$AE$107,$AE57)&gt;1),"Lead ID ซ้ำ; ","")&amp;IF(COUNTIF('Leads'!$A$8:$A$107,$A57)&gt;1,"Reference ซ้ำ; ","")&amp;IF(COUNTIF('Guide_Lists'!$AR$2:$AR$4,$A57)&gt;0,"Known TEST — ห้ามนับผล; ","")&amp;IF(OR($B57="",$D57=""),"ขาดชื่อ/งาน; ","")&amp;IF(AND($L57="",$M57="",$N57=""),"ขาดช่องทางติดต่อ; ","")&amp;IF(OR($Z57="",$AA57="",$F57="",$G57="",$AT57=""),"ขาดผู้ดูแล/ประเภท/สถานะ/Environment; ","")&amp;IF(NOT(ISNUMBER($AF57)),"ขาดเวลารับ Lead; ","")&amp;IF(AND($AA57="Duplicate",$AB57=""),"ขาด duplicate_of; ","")&amp;IF(AND($G57="Qualified",OR($R57="",$U57="")),"Qualified ขาดเหตุผล/วันที่; ","")&amp;IF(AND($G57="Unqualified",$R57=""),"Unqualified ขาดเหตุผล; ","")&amp;IF(AND($F57="Qualified",$G57&lt;&gt;"Qualified"),"สถานะ/ผลคัดกรองไม่ตรง; ","")&amp;IF(AND($F57="Unqualified",$G57&lt;&gt;"Unqualified"),"สถานะ/ผลคัดกรองไม่ตรง; ","")&amp;IF(AND($F57="Contacting",$S57=""),"ขาดเวลาพยายามติดต่อ; ","")&amp;IF(AND($O57="Contactable",$T57=""),"ขาดเวลาติดต่อสำเร็จ; ","")&amp;IF(AND($F57="Quotation Sent",$AV57=""),"ยังไม่มีใบราคาที่ตรวจผ่าน; ","")&amp;IF(AND($F57="Won",$AY57=0),"Won ยังไม่มี PO ที่ตรวจผ่าน; ","")&amp;IF(AND($AY57&gt;0,$F57&lt;&gt;"Won"),"มี PO แล้ว—ตรวจสถานะ; ","")&amp;IF(AND($F57="Lost",OR($W57="",$X57="")),"Lost ขาดวัน/เหตุผล; ","")&amp;IF(AND($AA57="Real",NOT(OR($F57="Won",$F57="Lost",$F57="Unqualified")),OR($H57="",$I57="")),"ขาดนัด/งานถัดไป; ","")&amp;IF(OR($AC57="",$AD57=""),"ขาดเวลา/ผู้บันทึก; ","")&amp;IF(AND(ISNUMBER($S57),ISNUMBER($AF57),$S57&lt;$AF57),"ตรวจเวลา attempt ก่อนรับ Lead; ",""))="","ครบ",IF($AE57="","ขาด Lead ID; ","")&amp;IF(AND($AE57&lt;&gt;"",COUNTIF('Leads'!$AE$8:$AE$107,$AE57)&gt;1),"Lead ID ซ้ำ; ","")&amp;IF(COUNTIF('Leads'!$A$8:$A$107,$A57)&gt;1,"Reference ซ้ำ; ","")&amp;IF(COUNTIF('Guide_Lists'!$AR$2:$AR$4,$A57)&gt;0,"Known TEST — ห้ามนับผล; ","")&amp;IF(OR($B57="",$D57=""),"ขาดชื่อ/งาน; ","")&amp;IF(AND($L57="",$M57="",$N57=""),"ขาดช่องทางติดต่อ; ","")&amp;IF(OR($Z57="",$AA57="",$F57="",$G57="",$AT57=""),"ขาดผู้ดูแล/ประเภท/สถานะ/Environment; ","")&amp;IF(NOT(ISNUMBER($AF57)),"ขาดเวลารับ Lead; ","")&amp;IF(AND($AA57="Duplicate",$AB57=""),"ขาด duplicate_of; ","")&amp;IF(AND($G57="Qualified",OR($R57="",$U57="")),"Qualified ขาดเหตุผล/วันที่; ","")&amp;IF(AND($G57="Unqualified",$R57=""),"Unqualified ขาดเหตุผล; ","")&amp;IF(AND($F57="Qualified",$G57&lt;&gt;"Qualified"),"สถานะ/ผลคัดกรองไม่ตรง; ","")&amp;IF(AND($F57="Unqualified",$G57&lt;&gt;"Unqualified"),"สถานะ/ผลคัดกรองไม่ตรง; ","")&amp;IF(AND($F57="Contacting",$S57=""),"ขาดเวลาพยายามติดต่อ; ","")&amp;IF(AND($O57="Contactable",$T57=""),"ขาดเวลาติดต่อสำเร็จ; ","")&amp;IF(AND($F57="Quotation Sent",$AV57=""),"ยังไม่มีใบราคาที่ตรวจผ่าน; ","")&amp;IF(AND($F57="Won",$AY57=0),"Won ยังไม่มี PO ที่ตรวจผ่าน; ","")&amp;IF(AND($AY57&gt;0,$F57&lt;&gt;"Won"),"มี PO แล้ว—ตรวจสถานะ; ","")&amp;IF(AND($F57="Lost",OR($W57="",$X57="")),"Lost ขาดวัน/เหตุผล; ","")&amp;IF(AND($AA57="Real",NOT(OR($F57="Won",$F57="Lost",$F57="Unqualified")),OR($H57="",$I57="")),"ขาดนัด/งานถัดไป; ","")&amp;IF(OR($AC57="",$AD57=""),"ขาดเวลา/ผู้บันทึก; ","")&amp;IF(AND(ISNUMBER($S57),ISNUMBER($AF57),$S57&lt;$AF57),"ตรวจเวลา attempt ก่อนรับ Lead; ","")))</x:f>
      </x:c>
      <x:c r="BA57" s="42" t="str">
        <x:f>IF($A57="","",IF(AND($AE57&lt;&gt;"",$AA57="Real",$AT57="production",COUNTIF('Leads'!$AE$8:$AE$107,$AE57)=1,COUNTIF('Leads'!$A$8:$A$107,$A57)=1,COUNTIF('Guide_Lists'!$AR$2:$AR$4,$A57)=0),1,0))</x:f>
      </x:c>
    </x:row>
    <x:row r="58" ht="30" customHeight="1">
      <x:c r="A58" s="94"/>
      <x:c r="B58" s="32"/>
      <x:c r="C58" s="32"/>
      <x:c r="D58" s="32"/>
      <x:c r="E58" s="92"/>
      <x:c r="F58" s="36"/>
      <x:c r="G58" s="36"/>
      <x:c r="H58" s="82"/>
      <x:c r="I58" s="36"/>
      <x:c r="J58" s="42" t="str">
        <x:f>IF($A58="","",IF(OR($AA58="Test",$AA58="Spam",$AA58="Duplicate",COUNTIF('Guide_Lists'!$AR$2:$AR$4,$A58)&gt;0),"ไม่นับผลธุรกิจ",IF($AA58&lt;&gt;"Real","ระบุประเภทข้อมูล",IF(OR($F58="Won",$F58="Lost",$F58="Unqualified"),"ปิดงานขาย",IF($H58="","ยังไม่นัด",IF(NOT(ISNUMBER($H58)),"ตรวจวันนัด",IF(INT($H58)&lt;'Guide_Lists'!$B$4,"เกินกำหนด",IF(INT($H58)='Guide_Lists'!$B$4,"ติดตามวันนี้","รอนัด"))))))))</x:f>
      </x:c>
      <x:c r="K58" s="32"/>
      <x:c r="L58" s="94"/>
      <x:c r="M58" s="94"/>
      <x:c r="N58" s="94"/>
      <x:c r="O58" s="36"/>
      <x:c r="P58" s="36"/>
      <x:c r="Q58" s="36"/>
      <x:c r="R58" s="36"/>
      <x:c r="S58" s="82"/>
      <x:c r="T58" s="82"/>
      <x:c r="U58" s="82"/>
      <x:c r="V58" s="82"/>
      <x:c r="W58" s="82"/>
      <x:c r="X58" s="36"/>
      <x:c r="Y58" s="36"/>
      <x:c r="Z58" s="36"/>
      <x:c r="AA58" s="36"/>
      <x:c r="AB58" s="96"/>
      <x:c r="AC58" s="82"/>
      <x:c r="AD58" s="36"/>
      <x:c r="AE58" s="94"/>
      <x:c r="AF58" s="86"/>
      <x:c r="AG58" s="32"/>
      <x:c r="AH58" s="32"/>
      <x:c r="AI58" s="32"/>
      <x:c r="AJ58" s="88"/>
      <x:c r="AK58" s="32"/>
      <x:c r="AL58" s="32"/>
      <x:c r="AM58" s="32"/>
      <x:c r="AN58" s="32"/>
      <x:c r="AO58" s="32"/>
      <x:c r="AP58" s="32"/>
      <x:c r="AQ58" s="94"/>
      <x:c r="AR58" s="32"/>
      <x:c r="AS58" s="32"/>
      <x:c r="AT58" s="32"/>
      <x:c r="AU58" s="86"/>
      <x:c r="AV58" s="90" t="str">
        <x:f>IF($A58="","",IF(COUNTIFS('Quotations'!$L$8:$L$107,$AE58,'Quotations'!$O$8:$O$107,1)=0,"",MINIFS('Quotations'!$E$8:$E$107,'Quotations'!$L$8:$L$107,$AE58,'Quotations'!$O$8:$O$107,1)))</x:f>
      </x:c>
      <x:c r="AW58" s="90" t="str">
        <x:f>IF($A58="","",IF(COUNTIFS('Orders_PO'!$N$8:$N$107,$AE58,'Orders_PO'!$Q$8:$Q$107,1)=0,"",MINIFS('Orders_PO'!$E$8:$E$107,'Orders_PO'!$N$8:$N$107,$AE58,'Orders_PO'!$Q$8:$Q$107,1)))</x:f>
      </x:c>
      <x:c r="AX58" s="42" t="str">
        <x:f>IF($A58="","",COUNTIFS('Quotations'!$L$8:$L$107,$AE58,'Quotations'!$O$8:$O$107,1,'Quotations'!$I$8:$I$107,"Yes"))</x:f>
      </x:c>
      <x:c r="AY58" s="42" t="str">
        <x:f>IF($A58="","",COUNTIFS('Orders_PO'!$N$8:$N$107,$AE58,'Orders_PO'!$Q$8:$Q$107,1))</x:f>
      </x:c>
      <x:c r="AZ58" s="42" t="str">
        <x:f>IF($A58="","",IF((IF($AE58="","ขาด Lead ID; ","")&amp;IF(AND($AE58&lt;&gt;"",COUNTIF('Leads'!$AE$8:$AE$107,$AE58)&gt;1),"Lead ID ซ้ำ; ","")&amp;IF(COUNTIF('Leads'!$A$8:$A$107,$A58)&gt;1,"Reference ซ้ำ; ","")&amp;IF(COUNTIF('Guide_Lists'!$AR$2:$AR$4,$A58)&gt;0,"Known TEST — ห้ามนับผล; ","")&amp;IF(OR($B58="",$D58=""),"ขาดชื่อ/งาน; ","")&amp;IF(AND($L58="",$M58="",$N58=""),"ขาดช่องทางติดต่อ; ","")&amp;IF(OR($Z58="",$AA58="",$F58="",$G58="",$AT58=""),"ขาดผู้ดูแล/ประเภท/สถานะ/Environment; ","")&amp;IF(NOT(ISNUMBER($AF58)),"ขาดเวลารับ Lead; ","")&amp;IF(AND($AA58="Duplicate",$AB58=""),"ขาด duplicate_of; ","")&amp;IF(AND($G58="Qualified",OR($R58="",$U58="")),"Qualified ขาดเหตุผล/วันที่; ","")&amp;IF(AND($G58="Unqualified",$R58=""),"Unqualified ขาดเหตุผล; ","")&amp;IF(AND($F58="Qualified",$G58&lt;&gt;"Qualified"),"สถานะ/ผลคัดกรองไม่ตรง; ","")&amp;IF(AND($F58="Unqualified",$G58&lt;&gt;"Unqualified"),"สถานะ/ผลคัดกรองไม่ตรง; ","")&amp;IF(AND($F58="Contacting",$S58=""),"ขาดเวลาพยายามติดต่อ; ","")&amp;IF(AND($O58="Contactable",$T58=""),"ขาดเวลาติดต่อสำเร็จ; ","")&amp;IF(AND($F58="Quotation Sent",$AV58=""),"ยังไม่มีใบราคาที่ตรวจผ่าน; ","")&amp;IF(AND($F58="Won",$AY58=0),"Won ยังไม่มี PO ที่ตรวจผ่าน; ","")&amp;IF(AND($AY58&gt;0,$F58&lt;&gt;"Won"),"มี PO แล้ว—ตรวจสถานะ; ","")&amp;IF(AND($F58="Lost",OR($W58="",$X58="")),"Lost ขาดวัน/เหตุผล; ","")&amp;IF(AND($AA58="Real",NOT(OR($F58="Won",$F58="Lost",$F58="Unqualified")),OR($H58="",$I58="")),"ขาดนัด/งานถัดไป; ","")&amp;IF(OR($AC58="",$AD58=""),"ขาดเวลา/ผู้บันทึก; ","")&amp;IF(AND(ISNUMBER($S58),ISNUMBER($AF58),$S58&lt;$AF58),"ตรวจเวลา attempt ก่อนรับ Lead; ",""))="","ครบ",IF($AE58="","ขาด Lead ID; ","")&amp;IF(AND($AE58&lt;&gt;"",COUNTIF('Leads'!$AE$8:$AE$107,$AE58)&gt;1),"Lead ID ซ้ำ; ","")&amp;IF(COUNTIF('Leads'!$A$8:$A$107,$A58)&gt;1,"Reference ซ้ำ; ","")&amp;IF(COUNTIF('Guide_Lists'!$AR$2:$AR$4,$A58)&gt;0,"Known TEST — ห้ามนับผล; ","")&amp;IF(OR($B58="",$D58=""),"ขาดชื่อ/งาน; ","")&amp;IF(AND($L58="",$M58="",$N58=""),"ขาดช่องทางติดต่อ; ","")&amp;IF(OR($Z58="",$AA58="",$F58="",$G58="",$AT58=""),"ขาดผู้ดูแล/ประเภท/สถานะ/Environment; ","")&amp;IF(NOT(ISNUMBER($AF58)),"ขาดเวลารับ Lead; ","")&amp;IF(AND($AA58="Duplicate",$AB58=""),"ขาด duplicate_of; ","")&amp;IF(AND($G58="Qualified",OR($R58="",$U58="")),"Qualified ขาดเหตุผล/วันที่; ","")&amp;IF(AND($G58="Unqualified",$R58=""),"Unqualified ขาดเหตุผล; ","")&amp;IF(AND($F58="Qualified",$G58&lt;&gt;"Qualified"),"สถานะ/ผลคัดกรองไม่ตรง; ","")&amp;IF(AND($F58="Unqualified",$G58&lt;&gt;"Unqualified"),"สถานะ/ผลคัดกรองไม่ตรง; ","")&amp;IF(AND($F58="Contacting",$S58=""),"ขาดเวลาพยายามติดต่อ; ","")&amp;IF(AND($O58="Contactable",$T58=""),"ขาดเวลาติดต่อสำเร็จ; ","")&amp;IF(AND($F58="Quotation Sent",$AV58=""),"ยังไม่มีใบราคาที่ตรวจผ่าน; ","")&amp;IF(AND($F58="Won",$AY58=0),"Won ยังไม่มี PO ที่ตรวจผ่าน; ","")&amp;IF(AND($AY58&gt;0,$F58&lt;&gt;"Won"),"มี PO แล้ว—ตรวจสถานะ; ","")&amp;IF(AND($F58="Lost",OR($W58="",$X58="")),"Lost ขาดวัน/เหตุผล; ","")&amp;IF(AND($AA58="Real",NOT(OR($F58="Won",$F58="Lost",$F58="Unqualified")),OR($H58="",$I58="")),"ขาดนัด/งานถัดไป; ","")&amp;IF(OR($AC58="",$AD58=""),"ขาดเวลา/ผู้บันทึก; ","")&amp;IF(AND(ISNUMBER($S58),ISNUMBER($AF58),$S58&lt;$AF58),"ตรวจเวลา attempt ก่อนรับ Lead; ","")))</x:f>
      </x:c>
      <x:c r="BA58" s="42" t="str">
        <x:f>IF($A58="","",IF(AND($AE58&lt;&gt;"",$AA58="Real",$AT58="production",COUNTIF('Leads'!$AE$8:$AE$107,$AE58)=1,COUNTIF('Leads'!$A$8:$A$107,$A58)=1,COUNTIF('Guide_Lists'!$AR$2:$AR$4,$A58)=0),1,0))</x:f>
      </x:c>
    </x:row>
    <x:row r="59" ht="30" customHeight="1">
      <x:c r="A59" s="94"/>
      <x:c r="B59" s="32"/>
      <x:c r="C59" s="32"/>
      <x:c r="D59" s="32"/>
      <x:c r="E59" s="92"/>
      <x:c r="F59" s="36"/>
      <x:c r="G59" s="36"/>
      <x:c r="H59" s="82"/>
      <x:c r="I59" s="36"/>
      <x:c r="J59" s="42" t="str">
        <x:f>IF($A59="","",IF(OR($AA59="Test",$AA59="Spam",$AA59="Duplicate",COUNTIF('Guide_Lists'!$AR$2:$AR$4,$A59)&gt;0),"ไม่นับผลธุรกิจ",IF($AA59&lt;&gt;"Real","ระบุประเภทข้อมูล",IF(OR($F59="Won",$F59="Lost",$F59="Unqualified"),"ปิดงานขาย",IF($H59="","ยังไม่นัด",IF(NOT(ISNUMBER($H59)),"ตรวจวันนัด",IF(INT($H59)&lt;'Guide_Lists'!$B$4,"เกินกำหนด",IF(INT($H59)='Guide_Lists'!$B$4,"ติดตามวันนี้","รอนัด"))))))))</x:f>
      </x:c>
      <x:c r="K59" s="32"/>
      <x:c r="L59" s="94"/>
      <x:c r="M59" s="94"/>
      <x:c r="N59" s="94"/>
      <x:c r="O59" s="36"/>
      <x:c r="P59" s="36"/>
      <x:c r="Q59" s="36"/>
      <x:c r="R59" s="36"/>
      <x:c r="S59" s="82"/>
      <x:c r="T59" s="82"/>
      <x:c r="U59" s="82"/>
      <x:c r="V59" s="82"/>
      <x:c r="W59" s="82"/>
      <x:c r="X59" s="36"/>
      <x:c r="Y59" s="36"/>
      <x:c r="Z59" s="36"/>
      <x:c r="AA59" s="36"/>
      <x:c r="AB59" s="96"/>
      <x:c r="AC59" s="82"/>
      <x:c r="AD59" s="36"/>
      <x:c r="AE59" s="94"/>
      <x:c r="AF59" s="86"/>
      <x:c r="AG59" s="32"/>
      <x:c r="AH59" s="32"/>
      <x:c r="AI59" s="32"/>
      <x:c r="AJ59" s="88"/>
      <x:c r="AK59" s="32"/>
      <x:c r="AL59" s="32"/>
      <x:c r="AM59" s="32"/>
      <x:c r="AN59" s="32"/>
      <x:c r="AO59" s="32"/>
      <x:c r="AP59" s="32"/>
      <x:c r="AQ59" s="94"/>
      <x:c r="AR59" s="32"/>
      <x:c r="AS59" s="32"/>
      <x:c r="AT59" s="32"/>
      <x:c r="AU59" s="86"/>
      <x:c r="AV59" s="90" t="str">
        <x:f>IF($A59="","",IF(COUNTIFS('Quotations'!$L$8:$L$107,$AE59,'Quotations'!$O$8:$O$107,1)=0,"",MINIFS('Quotations'!$E$8:$E$107,'Quotations'!$L$8:$L$107,$AE59,'Quotations'!$O$8:$O$107,1)))</x:f>
      </x:c>
      <x:c r="AW59" s="90" t="str">
        <x:f>IF($A59="","",IF(COUNTIFS('Orders_PO'!$N$8:$N$107,$AE59,'Orders_PO'!$Q$8:$Q$107,1)=0,"",MINIFS('Orders_PO'!$E$8:$E$107,'Orders_PO'!$N$8:$N$107,$AE59,'Orders_PO'!$Q$8:$Q$107,1)))</x:f>
      </x:c>
      <x:c r="AX59" s="42" t="str">
        <x:f>IF($A59="","",COUNTIFS('Quotations'!$L$8:$L$107,$AE59,'Quotations'!$O$8:$O$107,1,'Quotations'!$I$8:$I$107,"Yes"))</x:f>
      </x:c>
      <x:c r="AY59" s="42" t="str">
        <x:f>IF($A59="","",COUNTIFS('Orders_PO'!$N$8:$N$107,$AE59,'Orders_PO'!$Q$8:$Q$107,1))</x:f>
      </x:c>
      <x:c r="AZ59" s="42" t="str">
        <x:f>IF($A59="","",IF((IF($AE59="","ขาด Lead ID; ","")&amp;IF(AND($AE59&lt;&gt;"",COUNTIF('Leads'!$AE$8:$AE$107,$AE59)&gt;1),"Lead ID ซ้ำ; ","")&amp;IF(COUNTIF('Leads'!$A$8:$A$107,$A59)&gt;1,"Reference ซ้ำ; ","")&amp;IF(COUNTIF('Guide_Lists'!$AR$2:$AR$4,$A59)&gt;0,"Known TEST — ห้ามนับผล; ","")&amp;IF(OR($B59="",$D59=""),"ขาดชื่อ/งาน; ","")&amp;IF(AND($L59="",$M59="",$N59=""),"ขาดช่องทางติดต่อ; ","")&amp;IF(OR($Z59="",$AA59="",$F59="",$G59="",$AT59=""),"ขาดผู้ดูแล/ประเภท/สถานะ/Environment; ","")&amp;IF(NOT(ISNUMBER($AF59)),"ขาดเวลารับ Lead; ","")&amp;IF(AND($AA59="Duplicate",$AB59=""),"ขาด duplicate_of; ","")&amp;IF(AND($G59="Qualified",OR($R59="",$U59="")),"Qualified ขาดเหตุผล/วันที่; ","")&amp;IF(AND($G59="Unqualified",$R59=""),"Unqualified ขาดเหตุผล; ","")&amp;IF(AND($F59="Qualified",$G59&lt;&gt;"Qualified"),"สถานะ/ผลคัดกรองไม่ตรง; ","")&amp;IF(AND($F59="Unqualified",$G59&lt;&gt;"Unqualified"),"สถานะ/ผลคัดกรองไม่ตรง; ","")&amp;IF(AND($F59="Contacting",$S59=""),"ขาดเวลาพยายามติดต่อ; ","")&amp;IF(AND($O59="Contactable",$T59=""),"ขาดเวลาติดต่อสำเร็จ; ","")&amp;IF(AND($F59="Quotation Sent",$AV59=""),"ยังไม่มีใบราคาที่ตรวจผ่าน; ","")&amp;IF(AND($F59="Won",$AY59=0),"Won ยังไม่มี PO ที่ตรวจผ่าน; ","")&amp;IF(AND($AY59&gt;0,$F59&lt;&gt;"Won"),"มี PO แล้ว—ตรวจสถานะ; ","")&amp;IF(AND($F59="Lost",OR($W59="",$X59="")),"Lost ขาดวัน/เหตุผล; ","")&amp;IF(AND($AA59="Real",NOT(OR($F59="Won",$F59="Lost",$F59="Unqualified")),OR($H59="",$I59="")),"ขาดนัด/งานถัดไป; ","")&amp;IF(OR($AC59="",$AD59=""),"ขาดเวลา/ผู้บันทึก; ","")&amp;IF(AND(ISNUMBER($S59),ISNUMBER($AF59),$S59&lt;$AF59),"ตรวจเวลา attempt ก่อนรับ Lead; ",""))="","ครบ",IF($AE59="","ขาด Lead ID; ","")&amp;IF(AND($AE59&lt;&gt;"",COUNTIF('Leads'!$AE$8:$AE$107,$AE59)&gt;1),"Lead ID ซ้ำ; ","")&amp;IF(COUNTIF('Leads'!$A$8:$A$107,$A59)&gt;1,"Reference ซ้ำ; ","")&amp;IF(COUNTIF('Guide_Lists'!$AR$2:$AR$4,$A59)&gt;0,"Known TEST — ห้ามนับผล; ","")&amp;IF(OR($B59="",$D59=""),"ขาดชื่อ/งาน; ","")&amp;IF(AND($L59="",$M59="",$N59=""),"ขาดช่องทางติดต่อ; ","")&amp;IF(OR($Z59="",$AA59="",$F59="",$G59="",$AT59=""),"ขาดผู้ดูแล/ประเภท/สถานะ/Environment; ","")&amp;IF(NOT(ISNUMBER($AF59)),"ขาดเวลารับ Lead; ","")&amp;IF(AND($AA59="Duplicate",$AB59=""),"ขาด duplicate_of; ","")&amp;IF(AND($G59="Qualified",OR($R59="",$U59="")),"Qualified ขาดเหตุผล/วันที่; ","")&amp;IF(AND($G59="Unqualified",$R59=""),"Unqualified ขาดเหตุผล; ","")&amp;IF(AND($F59="Qualified",$G59&lt;&gt;"Qualified"),"สถานะ/ผลคัดกรองไม่ตรง; ","")&amp;IF(AND($F59="Unqualified",$G59&lt;&gt;"Unqualified"),"สถานะ/ผลคัดกรองไม่ตรง; ","")&amp;IF(AND($F59="Contacting",$S59=""),"ขาดเวลาพยายามติดต่อ; ","")&amp;IF(AND($O59="Contactable",$T59=""),"ขาดเวลาติดต่อสำเร็จ; ","")&amp;IF(AND($F59="Quotation Sent",$AV59=""),"ยังไม่มีใบราคาที่ตรวจผ่าน; ","")&amp;IF(AND($F59="Won",$AY59=0),"Won ยังไม่มี PO ที่ตรวจผ่าน; ","")&amp;IF(AND($AY59&gt;0,$F59&lt;&gt;"Won"),"มี PO แล้ว—ตรวจสถานะ; ","")&amp;IF(AND($F59="Lost",OR($W59="",$X59="")),"Lost ขาดวัน/เหตุผล; ","")&amp;IF(AND($AA59="Real",NOT(OR($F59="Won",$F59="Lost",$F59="Unqualified")),OR($H59="",$I59="")),"ขาดนัด/งานถัดไป; ","")&amp;IF(OR($AC59="",$AD59=""),"ขาดเวลา/ผู้บันทึก; ","")&amp;IF(AND(ISNUMBER($S59),ISNUMBER($AF59),$S59&lt;$AF59),"ตรวจเวลา attempt ก่อนรับ Lead; ","")))</x:f>
      </x:c>
      <x:c r="BA59" s="42" t="str">
        <x:f>IF($A59="","",IF(AND($AE59&lt;&gt;"",$AA59="Real",$AT59="production",COUNTIF('Leads'!$AE$8:$AE$107,$AE59)=1,COUNTIF('Leads'!$A$8:$A$107,$A59)=1,COUNTIF('Guide_Lists'!$AR$2:$AR$4,$A59)=0),1,0))</x:f>
      </x:c>
    </x:row>
    <x:row r="60" ht="30" customHeight="1">
      <x:c r="A60" s="94"/>
      <x:c r="B60" s="32"/>
      <x:c r="C60" s="32"/>
      <x:c r="D60" s="32"/>
      <x:c r="E60" s="92"/>
      <x:c r="F60" s="36"/>
      <x:c r="G60" s="36"/>
      <x:c r="H60" s="82"/>
      <x:c r="I60" s="36"/>
      <x:c r="J60" s="42" t="str">
        <x:f>IF($A60="","",IF(OR($AA60="Test",$AA60="Spam",$AA60="Duplicate",COUNTIF('Guide_Lists'!$AR$2:$AR$4,$A60)&gt;0),"ไม่นับผลธุรกิจ",IF($AA60&lt;&gt;"Real","ระบุประเภทข้อมูล",IF(OR($F60="Won",$F60="Lost",$F60="Unqualified"),"ปิดงานขาย",IF($H60="","ยังไม่นัด",IF(NOT(ISNUMBER($H60)),"ตรวจวันนัด",IF(INT($H60)&lt;'Guide_Lists'!$B$4,"เกินกำหนด",IF(INT($H60)='Guide_Lists'!$B$4,"ติดตามวันนี้","รอนัด"))))))))</x:f>
      </x:c>
      <x:c r="K60" s="32"/>
      <x:c r="L60" s="94"/>
      <x:c r="M60" s="94"/>
      <x:c r="N60" s="94"/>
      <x:c r="O60" s="36"/>
      <x:c r="P60" s="36"/>
      <x:c r="Q60" s="36"/>
      <x:c r="R60" s="36"/>
      <x:c r="S60" s="82"/>
      <x:c r="T60" s="82"/>
      <x:c r="U60" s="82"/>
      <x:c r="V60" s="82"/>
      <x:c r="W60" s="82"/>
      <x:c r="X60" s="36"/>
      <x:c r="Y60" s="36"/>
      <x:c r="Z60" s="36"/>
      <x:c r="AA60" s="36"/>
      <x:c r="AB60" s="96"/>
      <x:c r="AC60" s="82"/>
      <x:c r="AD60" s="36"/>
      <x:c r="AE60" s="94"/>
      <x:c r="AF60" s="86"/>
      <x:c r="AG60" s="32"/>
      <x:c r="AH60" s="32"/>
      <x:c r="AI60" s="32"/>
      <x:c r="AJ60" s="88"/>
      <x:c r="AK60" s="32"/>
      <x:c r="AL60" s="32"/>
      <x:c r="AM60" s="32"/>
      <x:c r="AN60" s="32"/>
      <x:c r="AO60" s="32"/>
      <x:c r="AP60" s="32"/>
      <x:c r="AQ60" s="94"/>
      <x:c r="AR60" s="32"/>
      <x:c r="AS60" s="32"/>
      <x:c r="AT60" s="32"/>
      <x:c r="AU60" s="86"/>
      <x:c r="AV60" s="90" t="str">
        <x:f>IF($A60="","",IF(COUNTIFS('Quotations'!$L$8:$L$107,$AE60,'Quotations'!$O$8:$O$107,1)=0,"",MINIFS('Quotations'!$E$8:$E$107,'Quotations'!$L$8:$L$107,$AE60,'Quotations'!$O$8:$O$107,1)))</x:f>
      </x:c>
      <x:c r="AW60" s="90" t="str">
        <x:f>IF($A60="","",IF(COUNTIFS('Orders_PO'!$N$8:$N$107,$AE60,'Orders_PO'!$Q$8:$Q$107,1)=0,"",MINIFS('Orders_PO'!$E$8:$E$107,'Orders_PO'!$N$8:$N$107,$AE60,'Orders_PO'!$Q$8:$Q$107,1)))</x:f>
      </x:c>
      <x:c r="AX60" s="42" t="str">
        <x:f>IF($A60="","",COUNTIFS('Quotations'!$L$8:$L$107,$AE60,'Quotations'!$O$8:$O$107,1,'Quotations'!$I$8:$I$107,"Yes"))</x:f>
      </x:c>
      <x:c r="AY60" s="42" t="str">
        <x:f>IF($A60="","",COUNTIFS('Orders_PO'!$N$8:$N$107,$AE60,'Orders_PO'!$Q$8:$Q$107,1))</x:f>
      </x:c>
      <x:c r="AZ60" s="42" t="str">
        <x:f>IF($A60="","",IF((IF($AE60="","ขาด Lead ID; ","")&amp;IF(AND($AE60&lt;&gt;"",COUNTIF('Leads'!$AE$8:$AE$107,$AE60)&gt;1),"Lead ID ซ้ำ; ","")&amp;IF(COUNTIF('Leads'!$A$8:$A$107,$A60)&gt;1,"Reference ซ้ำ; ","")&amp;IF(COUNTIF('Guide_Lists'!$AR$2:$AR$4,$A60)&gt;0,"Known TEST — ห้ามนับผล; ","")&amp;IF(OR($B60="",$D60=""),"ขาดชื่อ/งาน; ","")&amp;IF(AND($L60="",$M60="",$N60=""),"ขาดช่องทางติดต่อ; ","")&amp;IF(OR($Z60="",$AA60="",$F60="",$G60="",$AT60=""),"ขาดผู้ดูแล/ประเภท/สถานะ/Environment; ","")&amp;IF(NOT(ISNUMBER($AF60)),"ขาดเวลารับ Lead; ","")&amp;IF(AND($AA60="Duplicate",$AB60=""),"ขาด duplicate_of; ","")&amp;IF(AND($G60="Qualified",OR($R60="",$U60="")),"Qualified ขาดเหตุผล/วันที่; ","")&amp;IF(AND($G60="Unqualified",$R60=""),"Unqualified ขาดเหตุผล; ","")&amp;IF(AND($F60="Qualified",$G60&lt;&gt;"Qualified"),"สถานะ/ผลคัดกรองไม่ตรง; ","")&amp;IF(AND($F60="Unqualified",$G60&lt;&gt;"Unqualified"),"สถานะ/ผลคัดกรองไม่ตรง; ","")&amp;IF(AND($F60="Contacting",$S60=""),"ขาดเวลาพยายามติดต่อ; ","")&amp;IF(AND($O60="Contactable",$T60=""),"ขาดเวลาติดต่อสำเร็จ; ","")&amp;IF(AND($F60="Quotation Sent",$AV60=""),"ยังไม่มีใบราคาที่ตรวจผ่าน; ","")&amp;IF(AND($F60="Won",$AY60=0),"Won ยังไม่มี PO ที่ตรวจผ่าน; ","")&amp;IF(AND($AY60&gt;0,$F60&lt;&gt;"Won"),"มี PO แล้ว—ตรวจสถานะ; ","")&amp;IF(AND($F60="Lost",OR($W60="",$X60="")),"Lost ขาดวัน/เหตุผล; ","")&amp;IF(AND($AA60="Real",NOT(OR($F60="Won",$F60="Lost",$F60="Unqualified")),OR($H60="",$I60="")),"ขาดนัด/งานถัดไป; ","")&amp;IF(OR($AC60="",$AD60=""),"ขาดเวลา/ผู้บันทึก; ","")&amp;IF(AND(ISNUMBER($S60),ISNUMBER($AF60),$S60&lt;$AF60),"ตรวจเวลา attempt ก่อนรับ Lead; ",""))="","ครบ",IF($AE60="","ขาด Lead ID; ","")&amp;IF(AND($AE60&lt;&gt;"",COUNTIF('Leads'!$AE$8:$AE$107,$AE60)&gt;1),"Lead ID ซ้ำ; ","")&amp;IF(COUNTIF('Leads'!$A$8:$A$107,$A60)&gt;1,"Reference ซ้ำ; ","")&amp;IF(COUNTIF('Guide_Lists'!$AR$2:$AR$4,$A60)&gt;0,"Known TEST — ห้ามนับผล; ","")&amp;IF(OR($B60="",$D60=""),"ขาดชื่อ/งาน; ","")&amp;IF(AND($L60="",$M60="",$N60=""),"ขาดช่องทางติดต่อ; ","")&amp;IF(OR($Z60="",$AA60="",$F60="",$G60="",$AT60=""),"ขาดผู้ดูแล/ประเภท/สถานะ/Environment; ","")&amp;IF(NOT(ISNUMBER($AF60)),"ขาดเวลารับ Lead; ","")&amp;IF(AND($AA60="Duplicate",$AB60=""),"ขาด duplicate_of; ","")&amp;IF(AND($G60="Qualified",OR($R60="",$U60="")),"Qualified ขาดเหตุผล/วันที่; ","")&amp;IF(AND($G60="Unqualified",$R60=""),"Unqualified ขาดเหตุผล; ","")&amp;IF(AND($F60="Qualified",$G60&lt;&gt;"Qualified"),"สถานะ/ผลคัดกรองไม่ตรง; ","")&amp;IF(AND($F60="Unqualified",$G60&lt;&gt;"Unqualified"),"สถานะ/ผลคัดกรองไม่ตรง; ","")&amp;IF(AND($F60="Contacting",$S60=""),"ขาดเวลาพยายามติดต่อ; ","")&amp;IF(AND($O60="Contactable",$T60=""),"ขาดเวลาติดต่อสำเร็จ; ","")&amp;IF(AND($F60="Quotation Sent",$AV60=""),"ยังไม่มีใบราคาที่ตรวจผ่าน; ","")&amp;IF(AND($F60="Won",$AY60=0),"Won ยังไม่มี PO ที่ตรวจผ่าน; ","")&amp;IF(AND($AY60&gt;0,$F60&lt;&gt;"Won"),"มี PO แล้ว—ตรวจสถานะ; ","")&amp;IF(AND($F60="Lost",OR($W60="",$X60="")),"Lost ขาดวัน/เหตุผล; ","")&amp;IF(AND($AA60="Real",NOT(OR($F60="Won",$F60="Lost",$F60="Unqualified")),OR($H60="",$I60="")),"ขาดนัด/งานถัดไป; ","")&amp;IF(OR($AC60="",$AD60=""),"ขาดเวลา/ผู้บันทึก; ","")&amp;IF(AND(ISNUMBER($S60),ISNUMBER($AF60),$S60&lt;$AF60),"ตรวจเวลา attempt ก่อนรับ Lead; ","")))</x:f>
      </x:c>
      <x:c r="BA60" s="42" t="str">
        <x:f>IF($A60="","",IF(AND($AE60&lt;&gt;"",$AA60="Real",$AT60="production",COUNTIF('Leads'!$AE$8:$AE$107,$AE60)=1,COUNTIF('Leads'!$A$8:$A$107,$A60)=1,COUNTIF('Guide_Lists'!$AR$2:$AR$4,$A60)=0),1,0))</x:f>
      </x:c>
    </x:row>
    <x:row r="61" ht="30" customHeight="1">
      <x:c r="A61" s="94"/>
      <x:c r="B61" s="32"/>
      <x:c r="C61" s="32"/>
      <x:c r="D61" s="32"/>
      <x:c r="E61" s="92"/>
      <x:c r="F61" s="36"/>
      <x:c r="G61" s="36"/>
      <x:c r="H61" s="82"/>
      <x:c r="I61" s="36"/>
      <x:c r="J61" s="42" t="str">
        <x:f>IF($A61="","",IF(OR($AA61="Test",$AA61="Spam",$AA61="Duplicate",COUNTIF('Guide_Lists'!$AR$2:$AR$4,$A61)&gt;0),"ไม่นับผลธุรกิจ",IF($AA61&lt;&gt;"Real","ระบุประเภทข้อมูล",IF(OR($F61="Won",$F61="Lost",$F61="Unqualified"),"ปิดงานขาย",IF($H61="","ยังไม่นัด",IF(NOT(ISNUMBER($H61)),"ตรวจวันนัด",IF(INT($H61)&lt;'Guide_Lists'!$B$4,"เกินกำหนด",IF(INT($H61)='Guide_Lists'!$B$4,"ติดตามวันนี้","รอนัด"))))))))</x:f>
      </x:c>
      <x:c r="K61" s="32"/>
      <x:c r="L61" s="94"/>
      <x:c r="M61" s="94"/>
      <x:c r="N61" s="94"/>
      <x:c r="O61" s="36"/>
      <x:c r="P61" s="36"/>
      <x:c r="Q61" s="36"/>
      <x:c r="R61" s="36"/>
      <x:c r="S61" s="82"/>
      <x:c r="T61" s="82"/>
      <x:c r="U61" s="82"/>
      <x:c r="V61" s="82"/>
      <x:c r="W61" s="82"/>
      <x:c r="X61" s="36"/>
      <x:c r="Y61" s="36"/>
      <x:c r="Z61" s="36"/>
      <x:c r="AA61" s="36"/>
      <x:c r="AB61" s="96"/>
      <x:c r="AC61" s="82"/>
      <x:c r="AD61" s="36"/>
      <x:c r="AE61" s="94"/>
      <x:c r="AF61" s="86"/>
      <x:c r="AG61" s="32"/>
      <x:c r="AH61" s="32"/>
      <x:c r="AI61" s="32"/>
      <x:c r="AJ61" s="88"/>
      <x:c r="AK61" s="32"/>
      <x:c r="AL61" s="32"/>
      <x:c r="AM61" s="32"/>
      <x:c r="AN61" s="32"/>
      <x:c r="AO61" s="32"/>
      <x:c r="AP61" s="32"/>
      <x:c r="AQ61" s="94"/>
      <x:c r="AR61" s="32"/>
      <x:c r="AS61" s="32"/>
      <x:c r="AT61" s="32"/>
      <x:c r="AU61" s="86"/>
      <x:c r="AV61" s="90" t="str">
        <x:f>IF($A61="","",IF(COUNTIFS('Quotations'!$L$8:$L$107,$AE61,'Quotations'!$O$8:$O$107,1)=0,"",MINIFS('Quotations'!$E$8:$E$107,'Quotations'!$L$8:$L$107,$AE61,'Quotations'!$O$8:$O$107,1)))</x:f>
      </x:c>
      <x:c r="AW61" s="90" t="str">
        <x:f>IF($A61="","",IF(COUNTIFS('Orders_PO'!$N$8:$N$107,$AE61,'Orders_PO'!$Q$8:$Q$107,1)=0,"",MINIFS('Orders_PO'!$E$8:$E$107,'Orders_PO'!$N$8:$N$107,$AE61,'Orders_PO'!$Q$8:$Q$107,1)))</x:f>
      </x:c>
      <x:c r="AX61" s="42" t="str">
        <x:f>IF($A61="","",COUNTIFS('Quotations'!$L$8:$L$107,$AE61,'Quotations'!$O$8:$O$107,1,'Quotations'!$I$8:$I$107,"Yes"))</x:f>
      </x:c>
      <x:c r="AY61" s="42" t="str">
        <x:f>IF($A61="","",COUNTIFS('Orders_PO'!$N$8:$N$107,$AE61,'Orders_PO'!$Q$8:$Q$107,1))</x:f>
      </x:c>
      <x:c r="AZ61" s="42" t="str">
        <x:f>IF($A61="","",IF((IF($AE61="","ขาด Lead ID; ","")&amp;IF(AND($AE61&lt;&gt;"",COUNTIF('Leads'!$AE$8:$AE$107,$AE61)&gt;1),"Lead ID ซ้ำ; ","")&amp;IF(COUNTIF('Leads'!$A$8:$A$107,$A61)&gt;1,"Reference ซ้ำ; ","")&amp;IF(COUNTIF('Guide_Lists'!$AR$2:$AR$4,$A61)&gt;0,"Known TEST — ห้ามนับผล; ","")&amp;IF(OR($B61="",$D61=""),"ขาดชื่อ/งาน; ","")&amp;IF(AND($L61="",$M61="",$N61=""),"ขาดช่องทางติดต่อ; ","")&amp;IF(OR($Z61="",$AA61="",$F61="",$G61="",$AT61=""),"ขาดผู้ดูแล/ประเภท/สถานะ/Environment; ","")&amp;IF(NOT(ISNUMBER($AF61)),"ขาดเวลารับ Lead; ","")&amp;IF(AND($AA61="Duplicate",$AB61=""),"ขาด duplicate_of; ","")&amp;IF(AND($G61="Qualified",OR($R61="",$U61="")),"Qualified ขาดเหตุผล/วันที่; ","")&amp;IF(AND($G61="Unqualified",$R61=""),"Unqualified ขาดเหตุผล; ","")&amp;IF(AND($F61="Qualified",$G61&lt;&gt;"Qualified"),"สถานะ/ผลคัดกรองไม่ตรง; ","")&amp;IF(AND($F61="Unqualified",$G61&lt;&gt;"Unqualified"),"สถานะ/ผลคัดกรองไม่ตรง; ","")&amp;IF(AND($F61="Contacting",$S61=""),"ขาดเวลาพยายามติดต่อ; ","")&amp;IF(AND($O61="Contactable",$T61=""),"ขาดเวลาติดต่อสำเร็จ; ","")&amp;IF(AND($F61="Quotation Sent",$AV61=""),"ยังไม่มีใบราคาที่ตรวจผ่าน; ","")&amp;IF(AND($F61="Won",$AY61=0),"Won ยังไม่มี PO ที่ตรวจผ่าน; ","")&amp;IF(AND($AY61&gt;0,$F61&lt;&gt;"Won"),"มี PO แล้ว—ตรวจสถานะ; ","")&amp;IF(AND($F61="Lost",OR($W61="",$X61="")),"Lost ขาดวัน/เหตุผล; ","")&amp;IF(AND($AA61="Real",NOT(OR($F61="Won",$F61="Lost",$F61="Unqualified")),OR($H61="",$I61="")),"ขาดนัด/งานถัดไป; ","")&amp;IF(OR($AC61="",$AD61=""),"ขาดเวลา/ผู้บันทึก; ","")&amp;IF(AND(ISNUMBER($S61),ISNUMBER($AF61),$S61&lt;$AF61),"ตรวจเวลา attempt ก่อนรับ Lead; ",""))="","ครบ",IF($AE61="","ขาด Lead ID; ","")&amp;IF(AND($AE61&lt;&gt;"",COUNTIF('Leads'!$AE$8:$AE$107,$AE61)&gt;1),"Lead ID ซ้ำ; ","")&amp;IF(COUNTIF('Leads'!$A$8:$A$107,$A61)&gt;1,"Reference ซ้ำ; ","")&amp;IF(COUNTIF('Guide_Lists'!$AR$2:$AR$4,$A61)&gt;0,"Known TEST — ห้ามนับผล; ","")&amp;IF(OR($B61="",$D61=""),"ขาดชื่อ/งาน; ","")&amp;IF(AND($L61="",$M61="",$N61=""),"ขาดช่องทางติดต่อ; ","")&amp;IF(OR($Z61="",$AA61="",$F61="",$G61="",$AT61=""),"ขาดผู้ดูแล/ประเภท/สถานะ/Environment; ","")&amp;IF(NOT(ISNUMBER($AF61)),"ขาดเวลารับ Lead; ","")&amp;IF(AND($AA61="Duplicate",$AB61=""),"ขาด duplicate_of; ","")&amp;IF(AND($G61="Qualified",OR($R61="",$U61="")),"Qualified ขาดเหตุผล/วันที่; ","")&amp;IF(AND($G61="Unqualified",$R61=""),"Unqualified ขาดเหตุผล; ","")&amp;IF(AND($F61="Qualified",$G61&lt;&gt;"Qualified"),"สถานะ/ผลคัดกรองไม่ตรง; ","")&amp;IF(AND($F61="Unqualified",$G61&lt;&gt;"Unqualified"),"สถานะ/ผลคัดกรองไม่ตรง; ","")&amp;IF(AND($F61="Contacting",$S61=""),"ขาดเวลาพยายามติดต่อ; ","")&amp;IF(AND($O61="Contactable",$T61=""),"ขาดเวลาติดต่อสำเร็จ; ","")&amp;IF(AND($F61="Quotation Sent",$AV61=""),"ยังไม่มีใบราคาที่ตรวจผ่าน; ","")&amp;IF(AND($F61="Won",$AY61=0),"Won ยังไม่มี PO ที่ตรวจผ่าน; ","")&amp;IF(AND($AY61&gt;0,$F61&lt;&gt;"Won"),"มี PO แล้ว—ตรวจสถานะ; ","")&amp;IF(AND($F61="Lost",OR($W61="",$X61="")),"Lost ขาดวัน/เหตุผล; ","")&amp;IF(AND($AA61="Real",NOT(OR($F61="Won",$F61="Lost",$F61="Unqualified")),OR($H61="",$I61="")),"ขาดนัด/งานถัดไป; ","")&amp;IF(OR($AC61="",$AD61=""),"ขาดเวลา/ผู้บันทึก; ","")&amp;IF(AND(ISNUMBER($S61),ISNUMBER($AF61),$S61&lt;$AF61),"ตรวจเวลา attempt ก่อนรับ Lead; ","")))</x:f>
      </x:c>
      <x:c r="BA61" s="42" t="str">
        <x:f>IF($A61="","",IF(AND($AE61&lt;&gt;"",$AA61="Real",$AT61="production",COUNTIF('Leads'!$AE$8:$AE$107,$AE61)=1,COUNTIF('Leads'!$A$8:$A$107,$A61)=1,COUNTIF('Guide_Lists'!$AR$2:$AR$4,$A61)=0),1,0))</x:f>
      </x:c>
    </x:row>
    <x:row r="62" ht="30" customHeight="1">
      <x:c r="A62" s="94"/>
      <x:c r="B62" s="32"/>
      <x:c r="C62" s="32"/>
      <x:c r="D62" s="32"/>
      <x:c r="E62" s="92"/>
      <x:c r="F62" s="36"/>
      <x:c r="G62" s="36"/>
      <x:c r="H62" s="82"/>
      <x:c r="I62" s="36"/>
      <x:c r="J62" s="42" t="str">
        <x:f>IF($A62="","",IF(OR($AA62="Test",$AA62="Spam",$AA62="Duplicate",COUNTIF('Guide_Lists'!$AR$2:$AR$4,$A62)&gt;0),"ไม่นับผลธุรกิจ",IF($AA62&lt;&gt;"Real","ระบุประเภทข้อมูล",IF(OR($F62="Won",$F62="Lost",$F62="Unqualified"),"ปิดงานขาย",IF($H62="","ยังไม่นัด",IF(NOT(ISNUMBER($H62)),"ตรวจวันนัด",IF(INT($H62)&lt;'Guide_Lists'!$B$4,"เกินกำหนด",IF(INT($H62)='Guide_Lists'!$B$4,"ติดตามวันนี้","รอนัด"))))))))</x:f>
      </x:c>
      <x:c r="K62" s="32"/>
      <x:c r="L62" s="94"/>
      <x:c r="M62" s="94"/>
      <x:c r="N62" s="94"/>
      <x:c r="O62" s="36"/>
      <x:c r="P62" s="36"/>
      <x:c r="Q62" s="36"/>
      <x:c r="R62" s="36"/>
      <x:c r="S62" s="82"/>
      <x:c r="T62" s="82"/>
      <x:c r="U62" s="82"/>
      <x:c r="V62" s="82"/>
      <x:c r="W62" s="82"/>
      <x:c r="X62" s="36"/>
      <x:c r="Y62" s="36"/>
      <x:c r="Z62" s="36"/>
      <x:c r="AA62" s="36"/>
      <x:c r="AB62" s="96"/>
      <x:c r="AC62" s="82"/>
      <x:c r="AD62" s="36"/>
      <x:c r="AE62" s="94"/>
      <x:c r="AF62" s="86"/>
      <x:c r="AG62" s="32"/>
      <x:c r="AH62" s="32"/>
      <x:c r="AI62" s="32"/>
      <x:c r="AJ62" s="88"/>
      <x:c r="AK62" s="32"/>
      <x:c r="AL62" s="32"/>
      <x:c r="AM62" s="32"/>
      <x:c r="AN62" s="32"/>
      <x:c r="AO62" s="32"/>
      <x:c r="AP62" s="32"/>
      <x:c r="AQ62" s="94"/>
      <x:c r="AR62" s="32"/>
      <x:c r="AS62" s="32"/>
      <x:c r="AT62" s="32"/>
      <x:c r="AU62" s="86"/>
      <x:c r="AV62" s="90" t="str">
        <x:f>IF($A62="","",IF(COUNTIFS('Quotations'!$L$8:$L$107,$AE62,'Quotations'!$O$8:$O$107,1)=0,"",MINIFS('Quotations'!$E$8:$E$107,'Quotations'!$L$8:$L$107,$AE62,'Quotations'!$O$8:$O$107,1)))</x:f>
      </x:c>
      <x:c r="AW62" s="90" t="str">
        <x:f>IF($A62="","",IF(COUNTIFS('Orders_PO'!$N$8:$N$107,$AE62,'Orders_PO'!$Q$8:$Q$107,1)=0,"",MINIFS('Orders_PO'!$E$8:$E$107,'Orders_PO'!$N$8:$N$107,$AE62,'Orders_PO'!$Q$8:$Q$107,1)))</x:f>
      </x:c>
      <x:c r="AX62" s="42" t="str">
        <x:f>IF($A62="","",COUNTIFS('Quotations'!$L$8:$L$107,$AE62,'Quotations'!$O$8:$O$107,1,'Quotations'!$I$8:$I$107,"Yes"))</x:f>
      </x:c>
      <x:c r="AY62" s="42" t="str">
        <x:f>IF($A62="","",COUNTIFS('Orders_PO'!$N$8:$N$107,$AE62,'Orders_PO'!$Q$8:$Q$107,1))</x:f>
      </x:c>
      <x:c r="AZ62" s="42" t="str">
        <x:f>IF($A62="","",IF((IF($AE62="","ขาด Lead ID; ","")&amp;IF(AND($AE62&lt;&gt;"",COUNTIF('Leads'!$AE$8:$AE$107,$AE62)&gt;1),"Lead ID ซ้ำ; ","")&amp;IF(COUNTIF('Leads'!$A$8:$A$107,$A62)&gt;1,"Reference ซ้ำ; ","")&amp;IF(COUNTIF('Guide_Lists'!$AR$2:$AR$4,$A62)&gt;0,"Known TEST — ห้ามนับผล; ","")&amp;IF(OR($B62="",$D62=""),"ขาดชื่อ/งาน; ","")&amp;IF(AND($L62="",$M62="",$N62=""),"ขาดช่องทางติดต่อ; ","")&amp;IF(OR($Z62="",$AA62="",$F62="",$G62="",$AT62=""),"ขาดผู้ดูแล/ประเภท/สถานะ/Environment; ","")&amp;IF(NOT(ISNUMBER($AF62)),"ขาดเวลารับ Lead; ","")&amp;IF(AND($AA62="Duplicate",$AB62=""),"ขาด duplicate_of; ","")&amp;IF(AND($G62="Qualified",OR($R62="",$U62="")),"Qualified ขาดเหตุผล/วันที่; ","")&amp;IF(AND($G62="Unqualified",$R62=""),"Unqualified ขาดเหตุผล; ","")&amp;IF(AND($F62="Qualified",$G62&lt;&gt;"Qualified"),"สถานะ/ผลคัดกรองไม่ตรง; ","")&amp;IF(AND($F62="Unqualified",$G62&lt;&gt;"Unqualified"),"สถานะ/ผลคัดกรองไม่ตรง; ","")&amp;IF(AND($F62="Contacting",$S62=""),"ขาดเวลาพยายามติดต่อ; ","")&amp;IF(AND($O62="Contactable",$T62=""),"ขาดเวลาติดต่อสำเร็จ; ","")&amp;IF(AND($F62="Quotation Sent",$AV62=""),"ยังไม่มีใบราคาที่ตรวจผ่าน; ","")&amp;IF(AND($F62="Won",$AY62=0),"Won ยังไม่มี PO ที่ตรวจผ่าน; ","")&amp;IF(AND($AY62&gt;0,$F62&lt;&gt;"Won"),"มี PO แล้ว—ตรวจสถานะ; ","")&amp;IF(AND($F62="Lost",OR($W62="",$X62="")),"Lost ขาดวัน/เหตุผล; ","")&amp;IF(AND($AA62="Real",NOT(OR($F62="Won",$F62="Lost",$F62="Unqualified")),OR($H62="",$I62="")),"ขาดนัด/งานถัดไป; ","")&amp;IF(OR($AC62="",$AD62=""),"ขาดเวลา/ผู้บันทึก; ","")&amp;IF(AND(ISNUMBER($S62),ISNUMBER($AF62),$S62&lt;$AF62),"ตรวจเวลา attempt ก่อนรับ Lead; ",""))="","ครบ",IF($AE62="","ขาด Lead ID; ","")&amp;IF(AND($AE62&lt;&gt;"",COUNTIF('Leads'!$AE$8:$AE$107,$AE62)&gt;1),"Lead ID ซ้ำ; ","")&amp;IF(COUNTIF('Leads'!$A$8:$A$107,$A62)&gt;1,"Reference ซ้ำ; ","")&amp;IF(COUNTIF('Guide_Lists'!$AR$2:$AR$4,$A62)&gt;0,"Known TEST — ห้ามนับผล; ","")&amp;IF(OR($B62="",$D62=""),"ขาดชื่อ/งาน; ","")&amp;IF(AND($L62="",$M62="",$N62=""),"ขาดช่องทางติดต่อ; ","")&amp;IF(OR($Z62="",$AA62="",$F62="",$G62="",$AT62=""),"ขาดผู้ดูแล/ประเภท/สถานะ/Environment; ","")&amp;IF(NOT(ISNUMBER($AF62)),"ขาดเวลารับ Lead; ","")&amp;IF(AND($AA62="Duplicate",$AB62=""),"ขาด duplicate_of; ","")&amp;IF(AND($G62="Qualified",OR($R62="",$U62="")),"Qualified ขาดเหตุผล/วันที่; ","")&amp;IF(AND($G62="Unqualified",$R62=""),"Unqualified ขาดเหตุผล; ","")&amp;IF(AND($F62="Qualified",$G62&lt;&gt;"Qualified"),"สถานะ/ผลคัดกรองไม่ตรง; ","")&amp;IF(AND($F62="Unqualified",$G62&lt;&gt;"Unqualified"),"สถานะ/ผลคัดกรองไม่ตรง; ","")&amp;IF(AND($F62="Contacting",$S62=""),"ขาดเวลาพยายามติดต่อ; ","")&amp;IF(AND($O62="Contactable",$T62=""),"ขาดเวลาติดต่อสำเร็จ; ","")&amp;IF(AND($F62="Quotation Sent",$AV62=""),"ยังไม่มีใบราคาที่ตรวจผ่าน; ","")&amp;IF(AND($F62="Won",$AY62=0),"Won ยังไม่มี PO ที่ตรวจผ่าน; ","")&amp;IF(AND($AY62&gt;0,$F62&lt;&gt;"Won"),"มี PO แล้ว—ตรวจสถานะ; ","")&amp;IF(AND($F62="Lost",OR($W62="",$X62="")),"Lost ขาดวัน/เหตุผล; ","")&amp;IF(AND($AA62="Real",NOT(OR($F62="Won",$F62="Lost",$F62="Unqualified")),OR($H62="",$I62="")),"ขาดนัด/งานถัดไป; ","")&amp;IF(OR($AC62="",$AD62=""),"ขาดเวลา/ผู้บันทึก; ","")&amp;IF(AND(ISNUMBER($S62),ISNUMBER($AF62),$S62&lt;$AF62),"ตรวจเวลา attempt ก่อนรับ Lead; ","")))</x:f>
      </x:c>
      <x:c r="BA62" s="42" t="str">
        <x:f>IF($A62="","",IF(AND($AE62&lt;&gt;"",$AA62="Real",$AT62="production",COUNTIF('Leads'!$AE$8:$AE$107,$AE62)=1,COUNTIF('Leads'!$A$8:$A$107,$A62)=1,COUNTIF('Guide_Lists'!$AR$2:$AR$4,$A62)=0),1,0))</x:f>
      </x:c>
    </x:row>
    <x:row r="63" ht="30" customHeight="1">
      <x:c r="A63" s="94"/>
      <x:c r="B63" s="32"/>
      <x:c r="C63" s="32"/>
      <x:c r="D63" s="32"/>
      <x:c r="E63" s="92"/>
      <x:c r="F63" s="36"/>
      <x:c r="G63" s="36"/>
      <x:c r="H63" s="82"/>
      <x:c r="I63" s="36"/>
      <x:c r="J63" s="42" t="str">
        <x:f>IF($A63="","",IF(OR($AA63="Test",$AA63="Spam",$AA63="Duplicate",COUNTIF('Guide_Lists'!$AR$2:$AR$4,$A63)&gt;0),"ไม่นับผลธุรกิจ",IF($AA63&lt;&gt;"Real","ระบุประเภทข้อมูล",IF(OR($F63="Won",$F63="Lost",$F63="Unqualified"),"ปิดงานขาย",IF($H63="","ยังไม่นัด",IF(NOT(ISNUMBER($H63)),"ตรวจวันนัด",IF(INT($H63)&lt;'Guide_Lists'!$B$4,"เกินกำหนด",IF(INT($H63)='Guide_Lists'!$B$4,"ติดตามวันนี้","รอนัด"))))))))</x:f>
      </x:c>
      <x:c r="K63" s="32"/>
      <x:c r="L63" s="94"/>
      <x:c r="M63" s="94"/>
      <x:c r="N63" s="94"/>
      <x:c r="O63" s="36"/>
      <x:c r="P63" s="36"/>
      <x:c r="Q63" s="36"/>
      <x:c r="R63" s="36"/>
      <x:c r="S63" s="82"/>
      <x:c r="T63" s="82"/>
      <x:c r="U63" s="82"/>
      <x:c r="V63" s="82"/>
      <x:c r="W63" s="82"/>
      <x:c r="X63" s="36"/>
      <x:c r="Y63" s="36"/>
      <x:c r="Z63" s="36"/>
      <x:c r="AA63" s="36"/>
      <x:c r="AB63" s="96"/>
      <x:c r="AC63" s="82"/>
      <x:c r="AD63" s="36"/>
      <x:c r="AE63" s="94"/>
      <x:c r="AF63" s="86"/>
      <x:c r="AG63" s="32"/>
      <x:c r="AH63" s="32"/>
      <x:c r="AI63" s="32"/>
      <x:c r="AJ63" s="88"/>
      <x:c r="AK63" s="32"/>
      <x:c r="AL63" s="32"/>
      <x:c r="AM63" s="32"/>
      <x:c r="AN63" s="32"/>
      <x:c r="AO63" s="32"/>
      <x:c r="AP63" s="32"/>
      <x:c r="AQ63" s="94"/>
      <x:c r="AR63" s="32"/>
      <x:c r="AS63" s="32"/>
      <x:c r="AT63" s="32"/>
      <x:c r="AU63" s="86"/>
      <x:c r="AV63" s="90" t="str">
        <x:f>IF($A63="","",IF(COUNTIFS('Quotations'!$L$8:$L$107,$AE63,'Quotations'!$O$8:$O$107,1)=0,"",MINIFS('Quotations'!$E$8:$E$107,'Quotations'!$L$8:$L$107,$AE63,'Quotations'!$O$8:$O$107,1)))</x:f>
      </x:c>
      <x:c r="AW63" s="90" t="str">
        <x:f>IF($A63="","",IF(COUNTIFS('Orders_PO'!$N$8:$N$107,$AE63,'Orders_PO'!$Q$8:$Q$107,1)=0,"",MINIFS('Orders_PO'!$E$8:$E$107,'Orders_PO'!$N$8:$N$107,$AE63,'Orders_PO'!$Q$8:$Q$107,1)))</x:f>
      </x:c>
      <x:c r="AX63" s="42" t="str">
        <x:f>IF($A63="","",COUNTIFS('Quotations'!$L$8:$L$107,$AE63,'Quotations'!$O$8:$O$107,1,'Quotations'!$I$8:$I$107,"Yes"))</x:f>
      </x:c>
      <x:c r="AY63" s="42" t="str">
        <x:f>IF($A63="","",COUNTIFS('Orders_PO'!$N$8:$N$107,$AE63,'Orders_PO'!$Q$8:$Q$107,1))</x:f>
      </x:c>
      <x:c r="AZ63" s="42" t="str">
        <x:f>IF($A63="","",IF((IF($AE63="","ขาด Lead ID; ","")&amp;IF(AND($AE63&lt;&gt;"",COUNTIF('Leads'!$AE$8:$AE$107,$AE63)&gt;1),"Lead ID ซ้ำ; ","")&amp;IF(COUNTIF('Leads'!$A$8:$A$107,$A63)&gt;1,"Reference ซ้ำ; ","")&amp;IF(COUNTIF('Guide_Lists'!$AR$2:$AR$4,$A63)&gt;0,"Known TEST — ห้ามนับผล; ","")&amp;IF(OR($B63="",$D63=""),"ขาดชื่อ/งาน; ","")&amp;IF(AND($L63="",$M63="",$N63=""),"ขาดช่องทางติดต่อ; ","")&amp;IF(OR($Z63="",$AA63="",$F63="",$G63="",$AT63=""),"ขาดผู้ดูแล/ประเภท/สถานะ/Environment; ","")&amp;IF(NOT(ISNUMBER($AF63)),"ขาดเวลารับ Lead; ","")&amp;IF(AND($AA63="Duplicate",$AB63=""),"ขาด duplicate_of; ","")&amp;IF(AND($G63="Qualified",OR($R63="",$U63="")),"Qualified ขาดเหตุผล/วันที่; ","")&amp;IF(AND($G63="Unqualified",$R63=""),"Unqualified ขาดเหตุผล; ","")&amp;IF(AND($F63="Qualified",$G63&lt;&gt;"Qualified"),"สถานะ/ผลคัดกรองไม่ตรง; ","")&amp;IF(AND($F63="Unqualified",$G63&lt;&gt;"Unqualified"),"สถานะ/ผลคัดกรองไม่ตรง; ","")&amp;IF(AND($F63="Contacting",$S63=""),"ขาดเวลาพยายามติดต่อ; ","")&amp;IF(AND($O63="Contactable",$T63=""),"ขาดเวลาติดต่อสำเร็จ; ","")&amp;IF(AND($F63="Quotation Sent",$AV63=""),"ยังไม่มีใบราคาที่ตรวจผ่าน; ","")&amp;IF(AND($F63="Won",$AY63=0),"Won ยังไม่มี PO ที่ตรวจผ่าน; ","")&amp;IF(AND($AY63&gt;0,$F63&lt;&gt;"Won"),"มี PO แล้ว—ตรวจสถานะ; ","")&amp;IF(AND($F63="Lost",OR($W63="",$X63="")),"Lost ขาดวัน/เหตุผล; ","")&amp;IF(AND($AA63="Real",NOT(OR($F63="Won",$F63="Lost",$F63="Unqualified")),OR($H63="",$I63="")),"ขาดนัด/งานถัดไป; ","")&amp;IF(OR($AC63="",$AD63=""),"ขาดเวลา/ผู้บันทึก; ","")&amp;IF(AND(ISNUMBER($S63),ISNUMBER($AF63),$S63&lt;$AF63),"ตรวจเวลา attempt ก่อนรับ Lead; ",""))="","ครบ",IF($AE63="","ขาด Lead ID; ","")&amp;IF(AND($AE63&lt;&gt;"",COUNTIF('Leads'!$AE$8:$AE$107,$AE63)&gt;1),"Lead ID ซ้ำ; ","")&amp;IF(COUNTIF('Leads'!$A$8:$A$107,$A63)&gt;1,"Reference ซ้ำ; ","")&amp;IF(COUNTIF('Guide_Lists'!$AR$2:$AR$4,$A63)&gt;0,"Known TEST — ห้ามนับผล; ","")&amp;IF(OR($B63="",$D63=""),"ขาดชื่อ/งาน; ","")&amp;IF(AND($L63="",$M63="",$N63=""),"ขาดช่องทางติดต่อ; ","")&amp;IF(OR($Z63="",$AA63="",$F63="",$G63="",$AT63=""),"ขาดผู้ดูแล/ประเภท/สถานะ/Environment; ","")&amp;IF(NOT(ISNUMBER($AF63)),"ขาดเวลารับ Lead; ","")&amp;IF(AND($AA63="Duplicate",$AB63=""),"ขาด duplicate_of; ","")&amp;IF(AND($G63="Qualified",OR($R63="",$U63="")),"Qualified ขาดเหตุผล/วันที่; ","")&amp;IF(AND($G63="Unqualified",$R63=""),"Unqualified ขาดเหตุผล; ","")&amp;IF(AND($F63="Qualified",$G63&lt;&gt;"Qualified"),"สถานะ/ผลคัดกรองไม่ตรง; ","")&amp;IF(AND($F63="Unqualified",$G63&lt;&gt;"Unqualified"),"สถานะ/ผลคัดกรองไม่ตรง; ","")&amp;IF(AND($F63="Contacting",$S63=""),"ขาดเวลาพยายามติดต่อ; ","")&amp;IF(AND($O63="Contactable",$T63=""),"ขาดเวลาติดต่อสำเร็จ; ","")&amp;IF(AND($F63="Quotation Sent",$AV63=""),"ยังไม่มีใบราคาที่ตรวจผ่าน; ","")&amp;IF(AND($F63="Won",$AY63=0),"Won ยังไม่มี PO ที่ตรวจผ่าน; ","")&amp;IF(AND($AY63&gt;0,$F63&lt;&gt;"Won"),"มี PO แล้ว—ตรวจสถานะ; ","")&amp;IF(AND($F63="Lost",OR($W63="",$X63="")),"Lost ขาดวัน/เหตุผล; ","")&amp;IF(AND($AA63="Real",NOT(OR($F63="Won",$F63="Lost",$F63="Unqualified")),OR($H63="",$I63="")),"ขาดนัด/งานถัดไป; ","")&amp;IF(OR($AC63="",$AD63=""),"ขาดเวลา/ผู้บันทึก; ","")&amp;IF(AND(ISNUMBER($S63),ISNUMBER($AF63),$S63&lt;$AF63),"ตรวจเวลา attempt ก่อนรับ Lead; ","")))</x:f>
      </x:c>
      <x:c r="BA63" s="42" t="str">
        <x:f>IF($A63="","",IF(AND($AE63&lt;&gt;"",$AA63="Real",$AT63="production",COUNTIF('Leads'!$AE$8:$AE$107,$AE63)=1,COUNTIF('Leads'!$A$8:$A$107,$A63)=1,COUNTIF('Guide_Lists'!$AR$2:$AR$4,$A63)=0),1,0))</x:f>
      </x:c>
    </x:row>
    <x:row r="64" ht="30" customHeight="1">
      <x:c r="A64" s="94"/>
      <x:c r="B64" s="32"/>
      <x:c r="C64" s="32"/>
      <x:c r="D64" s="32"/>
      <x:c r="E64" s="92"/>
      <x:c r="F64" s="36"/>
      <x:c r="G64" s="36"/>
      <x:c r="H64" s="82"/>
      <x:c r="I64" s="36"/>
      <x:c r="J64" s="42" t="str">
        <x:f>IF($A64="","",IF(OR($AA64="Test",$AA64="Spam",$AA64="Duplicate",COUNTIF('Guide_Lists'!$AR$2:$AR$4,$A64)&gt;0),"ไม่นับผลธุรกิจ",IF($AA64&lt;&gt;"Real","ระบุประเภทข้อมูล",IF(OR($F64="Won",$F64="Lost",$F64="Unqualified"),"ปิดงานขาย",IF($H64="","ยังไม่นัด",IF(NOT(ISNUMBER($H64)),"ตรวจวันนัด",IF(INT($H64)&lt;'Guide_Lists'!$B$4,"เกินกำหนด",IF(INT($H64)='Guide_Lists'!$B$4,"ติดตามวันนี้","รอนัด"))))))))</x:f>
      </x:c>
      <x:c r="K64" s="32"/>
      <x:c r="L64" s="94"/>
      <x:c r="M64" s="94"/>
      <x:c r="N64" s="94"/>
      <x:c r="O64" s="36"/>
      <x:c r="P64" s="36"/>
      <x:c r="Q64" s="36"/>
      <x:c r="R64" s="36"/>
      <x:c r="S64" s="82"/>
      <x:c r="T64" s="82"/>
      <x:c r="U64" s="82"/>
      <x:c r="V64" s="82"/>
      <x:c r="W64" s="82"/>
      <x:c r="X64" s="36"/>
      <x:c r="Y64" s="36"/>
      <x:c r="Z64" s="36"/>
      <x:c r="AA64" s="36"/>
      <x:c r="AB64" s="96"/>
      <x:c r="AC64" s="82"/>
      <x:c r="AD64" s="36"/>
      <x:c r="AE64" s="94"/>
      <x:c r="AF64" s="86"/>
      <x:c r="AG64" s="32"/>
      <x:c r="AH64" s="32"/>
      <x:c r="AI64" s="32"/>
      <x:c r="AJ64" s="88"/>
      <x:c r="AK64" s="32"/>
      <x:c r="AL64" s="32"/>
      <x:c r="AM64" s="32"/>
      <x:c r="AN64" s="32"/>
      <x:c r="AO64" s="32"/>
      <x:c r="AP64" s="32"/>
      <x:c r="AQ64" s="94"/>
      <x:c r="AR64" s="32"/>
      <x:c r="AS64" s="32"/>
      <x:c r="AT64" s="32"/>
      <x:c r="AU64" s="86"/>
      <x:c r="AV64" s="90" t="str">
        <x:f>IF($A64="","",IF(COUNTIFS('Quotations'!$L$8:$L$107,$AE64,'Quotations'!$O$8:$O$107,1)=0,"",MINIFS('Quotations'!$E$8:$E$107,'Quotations'!$L$8:$L$107,$AE64,'Quotations'!$O$8:$O$107,1)))</x:f>
      </x:c>
      <x:c r="AW64" s="90" t="str">
        <x:f>IF($A64="","",IF(COUNTIFS('Orders_PO'!$N$8:$N$107,$AE64,'Orders_PO'!$Q$8:$Q$107,1)=0,"",MINIFS('Orders_PO'!$E$8:$E$107,'Orders_PO'!$N$8:$N$107,$AE64,'Orders_PO'!$Q$8:$Q$107,1)))</x:f>
      </x:c>
      <x:c r="AX64" s="42" t="str">
        <x:f>IF($A64="","",COUNTIFS('Quotations'!$L$8:$L$107,$AE64,'Quotations'!$O$8:$O$107,1,'Quotations'!$I$8:$I$107,"Yes"))</x:f>
      </x:c>
      <x:c r="AY64" s="42" t="str">
        <x:f>IF($A64="","",COUNTIFS('Orders_PO'!$N$8:$N$107,$AE64,'Orders_PO'!$Q$8:$Q$107,1))</x:f>
      </x:c>
      <x:c r="AZ64" s="42" t="str">
        <x:f>IF($A64="","",IF((IF($AE64="","ขาด Lead ID; ","")&amp;IF(AND($AE64&lt;&gt;"",COUNTIF('Leads'!$AE$8:$AE$107,$AE64)&gt;1),"Lead ID ซ้ำ; ","")&amp;IF(COUNTIF('Leads'!$A$8:$A$107,$A64)&gt;1,"Reference ซ้ำ; ","")&amp;IF(COUNTIF('Guide_Lists'!$AR$2:$AR$4,$A64)&gt;0,"Known TEST — ห้ามนับผล; ","")&amp;IF(OR($B64="",$D64=""),"ขาดชื่อ/งาน; ","")&amp;IF(AND($L64="",$M64="",$N64=""),"ขาดช่องทางติดต่อ; ","")&amp;IF(OR($Z64="",$AA64="",$F64="",$G64="",$AT64=""),"ขาดผู้ดูแล/ประเภท/สถานะ/Environment; ","")&amp;IF(NOT(ISNUMBER($AF64)),"ขาดเวลารับ Lead; ","")&amp;IF(AND($AA64="Duplicate",$AB64=""),"ขาด duplicate_of; ","")&amp;IF(AND($G64="Qualified",OR($R64="",$U64="")),"Qualified ขาดเหตุผล/วันที่; ","")&amp;IF(AND($G64="Unqualified",$R64=""),"Unqualified ขาดเหตุผล; ","")&amp;IF(AND($F64="Qualified",$G64&lt;&gt;"Qualified"),"สถานะ/ผลคัดกรองไม่ตรง; ","")&amp;IF(AND($F64="Unqualified",$G64&lt;&gt;"Unqualified"),"สถานะ/ผลคัดกรองไม่ตรง; ","")&amp;IF(AND($F64="Contacting",$S64=""),"ขาดเวลาพยายามติดต่อ; ","")&amp;IF(AND($O64="Contactable",$T64=""),"ขาดเวลาติดต่อสำเร็จ; ","")&amp;IF(AND($F64="Quotation Sent",$AV64=""),"ยังไม่มีใบราคาที่ตรวจผ่าน; ","")&amp;IF(AND($F64="Won",$AY64=0),"Won ยังไม่มี PO ที่ตรวจผ่าน; ","")&amp;IF(AND($AY64&gt;0,$F64&lt;&gt;"Won"),"มี PO แล้ว—ตรวจสถานะ; ","")&amp;IF(AND($F64="Lost",OR($W64="",$X64="")),"Lost ขาดวัน/เหตุผล; ","")&amp;IF(AND($AA64="Real",NOT(OR($F64="Won",$F64="Lost",$F64="Unqualified")),OR($H64="",$I64="")),"ขาดนัด/งานถัดไป; ","")&amp;IF(OR($AC64="",$AD64=""),"ขาดเวลา/ผู้บันทึก; ","")&amp;IF(AND(ISNUMBER($S64),ISNUMBER($AF64),$S64&lt;$AF64),"ตรวจเวลา attempt ก่อนรับ Lead; ",""))="","ครบ",IF($AE64="","ขาด Lead ID; ","")&amp;IF(AND($AE64&lt;&gt;"",COUNTIF('Leads'!$AE$8:$AE$107,$AE64)&gt;1),"Lead ID ซ้ำ; ","")&amp;IF(COUNTIF('Leads'!$A$8:$A$107,$A64)&gt;1,"Reference ซ้ำ; ","")&amp;IF(COUNTIF('Guide_Lists'!$AR$2:$AR$4,$A64)&gt;0,"Known TEST — ห้ามนับผล; ","")&amp;IF(OR($B64="",$D64=""),"ขาดชื่อ/งาน; ","")&amp;IF(AND($L64="",$M64="",$N64=""),"ขาดช่องทางติดต่อ; ","")&amp;IF(OR($Z64="",$AA64="",$F64="",$G64="",$AT64=""),"ขาดผู้ดูแล/ประเภท/สถานะ/Environment; ","")&amp;IF(NOT(ISNUMBER($AF64)),"ขาดเวลารับ Lead; ","")&amp;IF(AND($AA64="Duplicate",$AB64=""),"ขาด duplicate_of; ","")&amp;IF(AND($G64="Qualified",OR($R64="",$U64="")),"Qualified ขาดเหตุผล/วันที่; ","")&amp;IF(AND($G64="Unqualified",$R64=""),"Unqualified ขาดเหตุผล; ","")&amp;IF(AND($F64="Qualified",$G64&lt;&gt;"Qualified"),"สถานะ/ผลคัดกรองไม่ตรง; ","")&amp;IF(AND($F64="Unqualified",$G64&lt;&gt;"Unqualified"),"สถานะ/ผลคัดกรองไม่ตรง; ","")&amp;IF(AND($F64="Contacting",$S64=""),"ขาดเวลาพยายามติดต่อ; ","")&amp;IF(AND($O64="Contactable",$T64=""),"ขาดเวลาติดต่อสำเร็จ; ","")&amp;IF(AND($F64="Quotation Sent",$AV64=""),"ยังไม่มีใบราคาที่ตรวจผ่าน; ","")&amp;IF(AND($F64="Won",$AY64=0),"Won ยังไม่มี PO ที่ตรวจผ่าน; ","")&amp;IF(AND($AY64&gt;0,$F64&lt;&gt;"Won"),"มี PO แล้ว—ตรวจสถานะ; ","")&amp;IF(AND($F64="Lost",OR($W64="",$X64="")),"Lost ขาดวัน/เหตุผล; ","")&amp;IF(AND($AA64="Real",NOT(OR($F64="Won",$F64="Lost",$F64="Unqualified")),OR($H64="",$I64="")),"ขาดนัด/งานถัดไป; ","")&amp;IF(OR($AC64="",$AD64=""),"ขาดเวลา/ผู้บันทึก; ","")&amp;IF(AND(ISNUMBER($S64),ISNUMBER($AF64),$S64&lt;$AF64),"ตรวจเวลา attempt ก่อนรับ Lead; ","")))</x:f>
      </x:c>
      <x:c r="BA64" s="42" t="str">
        <x:f>IF($A64="","",IF(AND($AE64&lt;&gt;"",$AA64="Real",$AT64="production",COUNTIF('Leads'!$AE$8:$AE$107,$AE64)=1,COUNTIF('Leads'!$A$8:$A$107,$A64)=1,COUNTIF('Guide_Lists'!$AR$2:$AR$4,$A64)=0),1,0))</x:f>
      </x:c>
    </x:row>
    <x:row r="65" ht="30" customHeight="1">
      <x:c r="A65" s="94"/>
      <x:c r="B65" s="32"/>
      <x:c r="C65" s="32"/>
      <x:c r="D65" s="32"/>
      <x:c r="E65" s="92"/>
      <x:c r="F65" s="36"/>
      <x:c r="G65" s="36"/>
      <x:c r="H65" s="82"/>
      <x:c r="I65" s="36"/>
      <x:c r="J65" s="42" t="str">
        <x:f>IF($A65="","",IF(OR($AA65="Test",$AA65="Spam",$AA65="Duplicate",COUNTIF('Guide_Lists'!$AR$2:$AR$4,$A65)&gt;0),"ไม่นับผลธุรกิจ",IF($AA65&lt;&gt;"Real","ระบุประเภทข้อมูล",IF(OR($F65="Won",$F65="Lost",$F65="Unqualified"),"ปิดงานขาย",IF($H65="","ยังไม่นัด",IF(NOT(ISNUMBER($H65)),"ตรวจวันนัด",IF(INT($H65)&lt;'Guide_Lists'!$B$4,"เกินกำหนด",IF(INT($H65)='Guide_Lists'!$B$4,"ติดตามวันนี้","รอนัด"))))))))</x:f>
      </x:c>
      <x:c r="K65" s="32"/>
      <x:c r="L65" s="94"/>
      <x:c r="M65" s="94"/>
      <x:c r="N65" s="94"/>
      <x:c r="O65" s="36"/>
      <x:c r="P65" s="36"/>
      <x:c r="Q65" s="36"/>
      <x:c r="R65" s="36"/>
      <x:c r="S65" s="82"/>
      <x:c r="T65" s="82"/>
      <x:c r="U65" s="82"/>
      <x:c r="V65" s="82"/>
      <x:c r="W65" s="82"/>
      <x:c r="X65" s="36"/>
      <x:c r="Y65" s="36"/>
      <x:c r="Z65" s="36"/>
      <x:c r="AA65" s="36"/>
      <x:c r="AB65" s="96"/>
      <x:c r="AC65" s="82"/>
      <x:c r="AD65" s="36"/>
      <x:c r="AE65" s="94"/>
      <x:c r="AF65" s="86"/>
      <x:c r="AG65" s="32"/>
      <x:c r="AH65" s="32"/>
      <x:c r="AI65" s="32"/>
      <x:c r="AJ65" s="88"/>
      <x:c r="AK65" s="32"/>
      <x:c r="AL65" s="32"/>
      <x:c r="AM65" s="32"/>
      <x:c r="AN65" s="32"/>
      <x:c r="AO65" s="32"/>
      <x:c r="AP65" s="32"/>
      <x:c r="AQ65" s="94"/>
      <x:c r="AR65" s="32"/>
      <x:c r="AS65" s="32"/>
      <x:c r="AT65" s="32"/>
      <x:c r="AU65" s="86"/>
      <x:c r="AV65" s="90" t="str">
        <x:f>IF($A65="","",IF(COUNTIFS('Quotations'!$L$8:$L$107,$AE65,'Quotations'!$O$8:$O$107,1)=0,"",MINIFS('Quotations'!$E$8:$E$107,'Quotations'!$L$8:$L$107,$AE65,'Quotations'!$O$8:$O$107,1)))</x:f>
      </x:c>
      <x:c r="AW65" s="90" t="str">
        <x:f>IF($A65="","",IF(COUNTIFS('Orders_PO'!$N$8:$N$107,$AE65,'Orders_PO'!$Q$8:$Q$107,1)=0,"",MINIFS('Orders_PO'!$E$8:$E$107,'Orders_PO'!$N$8:$N$107,$AE65,'Orders_PO'!$Q$8:$Q$107,1)))</x:f>
      </x:c>
      <x:c r="AX65" s="42" t="str">
        <x:f>IF($A65="","",COUNTIFS('Quotations'!$L$8:$L$107,$AE65,'Quotations'!$O$8:$O$107,1,'Quotations'!$I$8:$I$107,"Yes"))</x:f>
      </x:c>
      <x:c r="AY65" s="42" t="str">
        <x:f>IF($A65="","",COUNTIFS('Orders_PO'!$N$8:$N$107,$AE65,'Orders_PO'!$Q$8:$Q$107,1))</x:f>
      </x:c>
      <x:c r="AZ65" s="42" t="str">
        <x:f>IF($A65="","",IF((IF($AE65="","ขาด Lead ID; ","")&amp;IF(AND($AE65&lt;&gt;"",COUNTIF('Leads'!$AE$8:$AE$107,$AE65)&gt;1),"Lead ID ซ้ำ; ","")&amp;IF(COUNTIF('Leads'!$A$8:$A$107,$A65)&gt;1,"Reference ซ้ำ; ","")&amp;IF(COUNTIF('Guide_Lists'!$AR$2:$AR$4,$A65)&gt;0,"Known TEST — ห้ามนับผล; ","")&amp;IF(OR($B65="",$D65=""),"ขาดชื่อ/งาน; ","")&amp;IF(AND($L65="",$M65="",$N65=""),"ขาดช่องทางติดต่อ; ","")&amp;IF(OR($Z65="",$AA65="",$F65="",$G65="",$AT65=""),"ขาดผู้ดูแล/ประเภท/สถานะ/Environment; ","")&amp;IF(NOT(ISNUMBER($AF65)),"ขาดเวลารับ Lead; ","")&amp;IF(AND($AA65="Duplicate",$AB65=""),"ขาด duplicate_of; ","")&amp;IF(AND($G65="Qualified",OR($R65="",$U65="")),"Qualified ขาดเหตุผล/วันที่; ","")&amp;IF(AND($G65="Unqualified",$R65=""),"Unqualified ขาดเหตุผล; ","")&amp;IF(AND($F65="Qualified",$G65&lt;&gt;"Qualified"),"สถานะ/ผลคัดกรองไม่ตรง; ","")&amp;IF(AND($F65="Unqualified",$G65&lt;&gt;"Unqualified"),"สถานะ/ผลคัดกรองไม่ตรง; ","")&amp;IF(AND($F65="Contacting",$S65=""),"ขาดเวลาพยายามติดต่อ; ","")&amp;IF(AND($O65="Contactable",$T65=""),"ขาดเวลาติดต่อสำเร็จ; ","")&amp;IF(AND($F65="Quotation Sent",$AV65=""),"ยังไม่มีใบราคาที่ตรวจผ่าน; ","")&amp;IF(AND($F65="Won",$AY65=0),"Won ยังไม่มี PO ที่ตรวจผ่าน; ","")&amp;IF(AND($AY65&gt;0,$F65&lt;&gt;"Won"),"มี PO แล้ว—ตรวจสถานะ; ","")&amp;IF(AND($F65="Lost",OR($W65="",$X65="")),"Lost ขาดวัน/เหตุผล; ","")&amp;IF(AND($AA65="Real",NOT(OR($F65="Won",$F65="Lost",$F65="Unqualified")),OR($H65="",$I65="")),"ขาดนัด/งานถัดไป; ","")&amp;IF(OR($AC65="",$AD65=""),"ขาดเวลา/ผู้บันทึก; ","")&amp;IF(AND(ISNUMBER($S65),ISNUMBER($AF65),$S65&lt;$AF65),"ตรวจเวลา attempt ก่อนรับ Lead; ",""))="","ครบ",IF($AE65="","ขาด Lead ID; ","")&amp;IF(AND($AE65&lt;&gt;"",COUNTIF('Leads'!$AE$8:$AE$107,$AE65)&gt;1),"Lead ID ซ้ำ; ","")&amp;IF(COUNTIF('Leads'!$A$8:$A$107,$A65)&gt;1,"Reference ซ้ำ; ","")&amp;IF(COUNTIF('Guide_Lists'!$AR$2:$AR$4,$A65)&gt;0,"Known TEST — ห้ามนับผล; ","")&amp;IF(OR($B65="",$D65=""),"ขาดชื่อ/งาน; ","")&amp;IF(AND($L65="",$M65="",$N65=""),"ขาดช่องทางติดต่อ; ","")&amp;IF(OR($Z65="",$AA65="",$F65="",$G65="",$AT65=""),"ขาดผู้ดูแล/ประเภท/สถานะ/Environment; ","")&amp;IF(NOT(ISNUMBER($AF65)),"ขาดเวลารับ Lead; ","")&amp;IF(AND($AA65="Duplicate",$AB65=""),"ขาด duplicate_of; ","")&amp;IF(AND($G65="Qualified",OR($R65="",$U65="")),"Qualified ขาดเหตุผล/วันที่; ","")&amp;IF(AND($G65="Unqualified",$R65=""),"Unqualified ขาดเหตุผล; ","")&amp;IF(AND($F65="Qualified",$G65&lt;&gt;"Qualified"),"สถานะ/ผลคัดกรองไม่ตรง; ","")&amp;IF(AND($F65="Unqualified",$G65&lt;&gt;"Unqualified"),"สถานะ/ผลคัดกรองไม่ตรง; ","")&amp;IF(AND($F65="Contacting",$S65=""),"ขาดเวลาพยายามติดต่อ; ","")&amp;IF(AND($O65="Contactable",$T65=""),"ขาดเวลาติดต่อสำเร็จ; ","")&amp;IF(AND($F65="Quotation Sent",$AV65=""),"ยังไม่มีใบราคาที่ตรวจผ่าน; ","")&amp;IF(AND($F65="Won",$AY65=0),"Won ยังไม่มี PO ที่ตรวจผ่าน; ","")&amp;IF(AND($AY65&gt;0,$F65&lt;&gt;"Won"),"มี PO แล้ว—ตรวจสถานะ; ","")&amp;IF(AND($F65="Lost",OR($W65="",$X65="")),"Lost ขาดวัน/เหตุผล; ","")&amp;IF(AND($AA65="Real",NOT(OR($F65="Won",$F65="Lost",$F65="Unqualified")),OR($H65="",$I65="")),"ขาดนัด/งานถัดไป; ","")&amp;IF(OR($AC65="",$AD65=""),"ขาดเวลา/ผู้บันทึก; ","")&amp;IF(AND(ISNUMBER($S65),ISNUMBER($AF65),$S65&lt;$AF65),"ตรวจเวลา attempt ก่อนรับ Lead; ","")))</x:f>
      </x:c>
      <x:c r="BA65" s="42" t="str">
        <x:f>IF($A65="","",IF(AND($AE65&lt;&gt;"",$AA65="Real",$AT65="production",COUNTIF('Leads'!$AE$8:$AE$107,$AE65)=1,COUNTIF('Leads'!$A$8:$A$107,$A65)=1,COUNTIF('Guide_Lists'!$AR$2:$AR$4,$A65)=0),1,0))</x:f>
      </x:c>
    </x:row>
    <x:row r="66" ht="30" customHeight="1">
      <x:c r="A66" s="94"/>
      <x:c r="B66" s="32"/>
      <x:c r="C66" s="32"/>
      <x:c r="D66" s="32"/>
      <x:c r="E66" s="92"/>
      <x:c r="F66" s="36"/>
      <x:c r="G66" s="36"/>
      <x:c r="H66" s="82"/>
      <x:c r="I66" s="36"/>
      <x:c r="J66" s="42" t="str">
        <x:f>IF($A66="","",IF(OR($AA66="Test",$AA66="Spam",$AA66="Duplicate",COUNTIF('Guide_Lists'!$AR$2:$AR$4,$A66)&gt;0),"ไม่นับผลธุรกิจ",IF($AA66&lt;&gt;"Real","ระบุประเภทข้อมูล",IF(OR($F66="Won",$F66="Lost",$F66="Unqualified"),"ปิดงานขาย",IF($H66="","ยังไม่นัด",IF(NOT(ISNUMBER($H66)),"ตรวจวันนัด",IF(INT($H66)&lt;'Guide_Lists'!$B$4,"เกินกำหนด",IF(INT($H66)='Guide_Lists'!$B$4,"ติดตามวันนี้","รอนัด"))))))))</x:f>
      </x:c>
      <x:c r="K66" s="32"/>
      <x:c r="L66" s="94"/>
      <x:c r="M66" s="94"/>
      <x:c r="N66" s="94"/>
      <x:c r="O66" s="36"/>
      <x:c r="P66" s="36"/>
      <x:c r="Q66" s="36"/>
      <x:c r="R66" s="36"/>
      <x:c r="S66" s="82"/>
      <x:c r="T66" s="82"/>
      <x:c r="U66" s="82"/>
      <x:c r="V66" s="82"/>
      <x:c r="W66" s="82"/>
      <x:c r="X66" s="36"/>
      <x:c r="Y66" s="36"/>
      <x:c r="Z66" s="36"/>
      <x:c r="AA66" s="36"/>
      <x:c r="AB66" s="96"/>
      <x:c r="AC66" s="82"/>
      <x:c r="AD66" s="36"/>
      <x:c r="AE66" s="94"/>
      <x:c r="AF66" s="86"/>
      <x:c r="AG66" s="32"/>
      <x:c r="AH66" s="32"/>
      <x:c r="AI66" s="32"/>
      <x:c r="AJ66" s="88"/>
      <x:c r="AK66" s="32"/>
      <x:c r="AL66" s="32"/>
      <x:c r="AM66" s="32"/>
      <x:c r="AN66" s="32"/>
      <x:c r="AO66" s="32"/>
      <x:c r="AP66" s="32"/>
      <x:c r="AQ66" s="94"/>
      <x:c r="AR66" s="32"/>
      <x:c r="AS66" s="32"/>
      <x:c r="AT66" s="32"/>
      <x:c r="AU66" s="86"/>
      <x:c r="AV66" s="90" t="str">
        <x:f>IF($A66="","",IF(COUNTIFS('Quotations'!$L$8:$L$107,$AE66,'Quotations'!$O$8:$O$107,1)=0,"",MINIFS('Quotations'!$E$8:$E$107,'Quotations'!$L$8:$L$107,$AE66,'Quotations'!$O$8:$O$107,1)))</x:f>
      </x:c>
      <x:c r="AW66" s="90" t="str">
        <x:f>IF($A66="","",IF(COUNTIFS('Orders_PO'!$N$8:$N$107,$AE66,'Orders_PO'!$Q$8:$Q$107,1)=0,"",MINIFS('Orders_PO'!$E$8:$E$107,'Orders_PO'!$N$8:$N$107,$AE66,'Orders_PO'!$Q$8:$Q$107,1)))</x:f>
      </x:c>
      <x:c r="AX66" s="42" t="str">
        <x:f>IF($A66="","",COUNTIFS('Quotations'!$L$8:$L$107,$AE66,'Quotations'!$O$8:$O$107,1,'Quotations'!$I$8:$I$107,"Yes"))</x:f>
      </x:c>
      <x:c r="AY66" s="42" t="str">
        <x:f>IF($A66="","",COUNTIFS('Orders_PO'!$N$8:$N$107,$AE66,'Orders_PO'!$Q$8:$Q$107,1))</x:f>
      </x:c>
      <x:c r="AZ66" s="42" t="str">
        <x:f>IF($A66="","",IF((IF($AE66="","ขาด Lead ID; ","")&amp;IF(AND($AE66&lt;&gt;"",COUNTIF('Leads'!$AE$8:$AE$107,$AE66)&gt;1),"Lead ID ซ้ำ; ","")&amp;IF(COUNTIF('Leads'!$A$8:$A$107,$A66)&gt;1,"Reference ซ้ำ; ","")&amp;IF(COUNTIF('Guide_Lists'!$AR$2:$AR$4,$A66)&gt;0,"Known TEST — ห้ามนับผล; ","")&amp;IF(OR($B66="",$D66=""),"ขาดชื่อ/งาน; ","")&amp;IF(AND($L66="",$M66="",$N66=""),"ขาดช่องทางติดต่อ; ","")&amp;IF(OR($Z66="",$AA66="",$F66="",$G66="",$AT66=""),"ขาดผู้ดูแล/ประเภท/สถานะ/Environment; ","")&amp;IF(NOT(ISNUMBER($AF66)),"ขาดเวลารับ Lead; ","")&amp;IF(AND($AA66="Duplicate",$AB66=""),"ขาด duplicate_of; ","")&amp;IF(AND($G66="Qualified",OR($R66="",$U66="")),"Qualified ขาดเหตุผล/วันที่; ","")&amp;IF(AND($G66="Unqualified",$R66=""),"Unqualified ขาดเหตุผล; ","")&amp;IF(AND($F66="Qualified",$G66&lt;&gt;"Qualified"),"สถานะ/ผลคัดกรองไม่ตรง; ","")&amp;IF(AND($F66="Unqualified",$G66&lt;&gt;"Unqualified"),"สถานะ/ผลคัดกรองไม่ตรง; ","")&amp;IF(AND($F66="Contacting",$S66=""),"ขาดเวลาพยายามติดต่อ; ","")&amp;IF(AND($O66="Contactable",$T66=""),"ขาดเวลาติดต่อสำเร็จ; ","")&amp;IF(AND($F66="Quotation Sent",$AV66=""),"ยังไม่มีใบราคาที่ตรวจผ่าน; ","")&amp;IF(AND($F66="Won",$AY66=0),"Won ยังไม่มี PO ที่ตรวจผ่าน; ","")&amp;IF(AND($AY66&gt;0,$F66&lt;&gt;"Won"),"มี PO แล้ว—ตรวจสถานะ; ","")&amp;IF(AND($F66="Lost",OR($W66="",$X66="")),"Lost ขาดวัน/เหตุผล; ","")&amp;IF(AND($AA66="Real",NOT(OR($F66="Won",$F66="Lost",$F66="Unqualified")),OR($H66="",$I66="")),"ขาดนัด/งานถัดไป; ","")&amp;IF(OR($AC66="",$AD66=""),"ขาดเวลา/ผู้บันทึก; ","")&amp;IF(AND(ISNUMBER($S66),ISNUMBER($AF66),$S66&lt;$AF66),"ตรวจเวลา attempt ก่อนรับ Lead; ",""))="","ครบ",IF($AE66="","ขาด Lead ID; ","")&amp;IF(AND($AE66&lt;&gt;"",COUNTIF('Leads'!$AE$8:$AE$107,$AE66)&gt;1),"Lead ID ซ้ำ; ","")&amp;IF(COUNTIF('Leads'!$A$8:$A$107,$A66)&gt;1,"Reference ซ้ำ; ","")&amp;IF(COUNTIF('Guide_Lists'!$AR$2:$AR$4,$A66)&gt;0,"Known TEST — ห้ามนับผล; ","")&amp;IF(OR($B66="",$D66=""),"ขาดชื่อ/งาน; ","")&amp;IF(AND($L66="",$M66="",$N66=""),"ขาดช่องทางติดต่อ; ","")&amp;IF(OR($Z66="",$AA66="",$F66="",$G66="",$AT66=""),"ขาดผู้ดูแล/ประเภท/สถานะ/Environment; ","")&amp;IF(NOT(ISNUMBER($AF66)),"ขาดเวลารับ Lead; ","")&amp;IF(AND($AA66="Duplicate",$AB66=""),"ขาด duplicate_of; ","")&amp;IF(AND($G66="Qualified",OR($R66="",$U66="")),"Qualified ขาดเหตุผล/วันที่; ","")&amp;IF(AND($G66="Unqualified",$R66=""),"Unqualified ขาดเหตุผล; ","")&amp;IF(AND($F66="Qualified",$G66&lt;&gt;"Qualified"),"สถานะ/ผลคัดกรองไม่ตรง; ","")&amp;IF(AND($F66="Unqualified",$G66&lt;&gt;"Unqualified"),"สถานะ/ผลคัดกรองไม่ตรง; ","")&amp;IF(AND($F66="Contacting",$S66=""),"ขาดเวลาพยายามติดต่อ; ","")&amp;IF(AND($O66="Contactable",$T66=""),"ขาดเวลาติดต่อสำเร็จ; ","")&amp;IF(AND($F66="Quotation Sent",$AV66=""),"ยังไม่มีใบราคาที่ตรวจผ่าน; ","")&amp;IF(AND($F66="Won",$AY66=0),"Won ยังไม่มี PO ที่ตรวจผ่าน; ","")&amp;IF(AND($AY66&gt;0,$F66&lt;&gt;"Won"),"มี PO แล้ว—ตรวจสถานะ; ","")&amp;IF(AND($F66="Lost",OR($W66="",$X66="")),"Lost ขาดวัน/เหตุผล; ","")&amp;IF(AND($AA66="Real",NOT(OR($F66="Won",$F66="Lost",$F66="Unqualified")),OR($H66="",$I66="")),"ขาดนัด/งานถัดไป; ","")&amp;IF(OR($AC66="",$AD66=""),"ขาดเวลา/ผู้บันทึก; ","")&amp;IF(AND(ISNUMBER($S66),ISNUMBER($AF66),$S66&lt;$AF66),"ตรวจเวลา attempt ก่อนรับ Lead; ","")))</x:f>
      </x:c>
      <x:c r="BA66" s="42" t="str">
        <x:f>IF($A66="","",IF(AND($AE66&lt;&gt;"",$AA66="Real",$AT66="production",COUNTIF('Leads'!$AE$8:$AE$107,$AE66)=1,COUNTIF('Leads'!$A$8:$A$107,$A66)=1,COUNTIF('Guide_Lists'!$AR$2:$AR$4,$A66)=0),1,0))</x:f>
      </x:c>
    </x:row>
    <x:row r="67" ht="30" customHeight="1">
      <x:c r="A67" s="94"/>
      <x:c r="B67" s="32"/>
      <x:c r="C67" s="32"/>
      <x:c r="D67" s="32"/>
      <x:c r="E67" s="92"/>
      <x:c r="F67" s="36"/>
      <x:c r="G67" s="36"/>
      <x:c r="H67" s="82"/>
      <x:c r="I67" s="36"/>
      <x:c r="J67" s="42" t="str">
        <x:f>IF($A67="","",IF(OR($AA67="Test",$AA67="Spam",$AA67="Duplicate",COUNTIF('Guide_Lists'!$AR$2:$AR$4,$A67)&gt;0),"ไม่นับผลธุรกิจ",IF($AA67&lt;&gt;"Real","ระบุประเภทข้อมูล",IF(OR($F67="Won",$F67="Lost",$F67="Unqualified"),"ปิดงานขาย",IF($H67="","ยังไม่นัด",IF(NOT(ISNUMBER($H67)),"ตรวจวันนัด",IF(INT($H67)&lt;'Guide_Lists'!$B$4,"เกินกำหนด",IF(INT($H67)='Guide_Lists'!$B$4,"ติดตามวันนี้","รอนัด"))))))))</x:f>
      </x:c>
      <x:c r="K67" s="32"/>
      <x:c r="L67" s="94"/>
      <x:c r="M67" s="94"/>
      <x:c r="N67" s="94"/>
      <x:c r="O67" s="36"/>
      <x:c r="P67" s="36"/>
      <x:c r="Q67" s="36"/>
      <x:c r="R67" s="36"/>
      <x:c r="S67" s="82"/>
      <x:c r="T67" s="82"/>
      <x:c r="U67" s="82"/>
      <x:c r="V67" s="82"/>
      <x:c r="W67" s="82"/>
      <x:c r="X67" s="36"/>
      <x:c r="Y67" s="36"/>
      <x:c r="Z67" s="36"/>
      <x:c r="AA67" s="36"/>
      <x:c r="AB67" s="96"/>
      <x:c r="AC67" s="82"/>
      <x:c r="AD67" s="36"/>
      <x:c r="AE67" s="94"/>
      <x:c r="AF67" s="86"/>
      <x:c r="AG67" s="32"/>
      <x:c r="AH67" s="32"/>
      <x:c r="AI67" s="32"/>
      <x:c r="AJ67" s="88"/>
      <x:c r="AK67" s="32"/>
      <x:c r="AL67" s="32"/>
      <x:c r="AM67" s="32"/>
      <x:c r="AN67" s="32"/>
      <x:c r="AO67" s="32"/>
      <x:c r="AP67" s="32"/>
      <x:c r="AQ67" s="94"/>
      <x:c r="AR67" s="32"/>
      <x:c r="AS67" s="32"/>
      <x:c r="AT67" s="32"/>
      <x:c r="AU67" s="86"/>
      <x:c r="AV67" s="90" t="str">
        <x:f>IF($A67="","",IF(COUNTIFS('Quotations'!$L$8:$L$107,$AE67,'Quotations'!$O$8:$O$107,1)=0,"",MINIFS('Quotations'!$E$8:$E$107,'Quotations'!$L$8:$L$107,$AE67,'Quotations'!$O$8:$O$107,1)))</x:f>
      </x:c>
      <x:c r="AW67" s="90" t="str">
        <x:f>IF($A67="","",IF(COUNTIFS('Orders_PO'!$N$8:$N$107,$AE67,'Orders_PO'!$Q$8:$Q$107,1)=0,"",MINIFS('Orders_PO'!$E$8:$E$107,'Orders_PO'!$N$8:$N$107,$AE67,'Orders_PO'!$Q$8:$Q$107,1)))</x:f>
      </x:c>
      <x:c r="AX67" s="42" t="str">
        <x:f>IF($A67="","",COUNTIFS('Quotations'!$L$8:$L$107,$AE67,'Quotations'!$O$8:$O$107,1,'Quotations'!$I$8:$I$107,"Yes"))</x:f>
      </x:c>
      <x:c r="AY67" s="42" t="str">
        <x:f>IF($A67="","",COUNTIFS('Orders_PO'!$N$8:$N$107,$AE67,'Orders_PO'!$Q$8:$Q$107,1))</x:f>
      </x:c>
      <x:c r="AZ67" s="42" t="str">
        <x:f>IF($A67="","",IF((IF($AE67="","ขาด Lead ID; ","")&amp;IF(AND($AE67&lt;&gt;"",COUNTIF('Leads'!$AE$8:$AE$107,$AE67)&gt;1),"Lead ID ซ้ำ; ","")&amp;IF(COUNTIF('Leads'!$A$8:$A$107,$A67)&gt;1,"Reference ซ้ำ; ","")&amp;IF(COUNTIF('Guide_Lists'!$AR$2:$AR$4,$A67)&gt;0,"Known TEST — ห้ามนับผล; ","")&amp;IF(OR($B67="",$D67=""),"ขาดชื่อ/งาน; ","")&amp;IF(AND($L67="",$M67="",$N67=""),"ขาดช่องทางติดต่อ; ","")&amp;IF(OR($Z67="",$AA67="",$F67="",$G67="",$AT67=""),"ขาดผู้ดูแล/ประเภท/สถานะ/Environment; ","")&amp;IF(NOT(ISNUMBER($AF67)),"ขาดเวลารับ Lead; ","")&amp;IF(AND($AA67="Duplicate",$AB67=""),"ขาด duplicate_of; ","")&amp;IF(AND($G67="Qualified",OR($R67="",$U67="")),"Qualified ขาดเหตุผล/วันที่; ","")&amp;IF(AND($G67="Unqualified",$R67=""),"Unqualified ขาดเหตุผล; ","")&amp;IF(AND($F67="Qualified",$G67&lt;&gt;"Qualified"),"สถานะ/ผลคัดกรองไม่ตรง; ","")&amp;IF(AND($F67="Unqualified",$G67&lt;&gt;"Unqualified"),"สถานะ/ผลคัดกรองไม่ตรง; ","")&amp;IF(AND($F67="Contacting",$S67=""),"ขาดเวลาพยายามติดต่อ; ","")&amp;IF(AND($O67="Contactable",$T67=""),"ขาดเวลาติดต่อสำเร็จ; ","")&amp;IF(AND($F67="Quotation Sent",$AV67=""),"ยังไม่มีใบราคาที่ตรวจผ่าน; ","")&amp;IF(AND($F67="Won",$AY67=0),"Won ยังไม่มี PO ที่ตรวจผ่าน; ","")&amp;IF(AND($AY67&gt;0,$F67&lt;&gt;"Won"),"มี PO แล้ว—ตรวจสถานะ; ","")&amp;IF(AND($F67="Lost",OR($W67="",$X67="")),"Lost ขาดวัน/เหตุผล; ","")&amp;IF(AND($AA67="Real",NOT(OR($F67="Won",$F67="Lost",$F67="Unqualified")),OR($H67="",$I67="")),"ขาดนัด/งานถัดไป; ","")&amp;IF(OR($AC67="",$AD67=""),"ขาดเวลา/ผู้บันทึก; ","")&amp;IF(AND(ISNUMBER($S67),ISNUMBER($AF67),$S67&lt;$AF67),"ตรวจเวลา attempt ก่อนรับ Lead; ",""))="","ครบ",IF($AE67="","ขาด Lead ID; ","")&amp;IF(AND($AE67&lt;&gt;"",COUNTIF('Leads'!$AE$8:$AE$107,$AE67)&gt;1),"Lead ID ซ้ำ; ","")&amp;IF(COUNTIF('Leads'!$A$8:$A$107,$A67)&gt;1,"Reference ซ้ำ; ","")&amp;IF(COUNTIF('Guide_Lists'!$AR$2:$AR$4,$A67)&gt;0,"Known TEST — ห้ามนับผล; ","")&amp;IF(OR($B67="",$D67=""),"ขาดชื่อ/งาน; ","")&amp;IF(AND($L67="",$M67="",$N67=""),"ขาดช่องทางติดต่อ; ","")&amp;IF(OR($Z67="",$AA67="",$F67="",$G67="",$AT67=""),"ขาดผู้ดูแล/ประเภท/สถานะ/Environment; ","")&amp;IF(NOT(ISNUMBER($AF67)),"ขาดเวลารับ Lead; ","")&amp;IF(AND($AA67="Duplicate",$AB67=""),"ขาด duplicate_of; ","")&amp;IF(AND($G67="Qualified",OR($R67="",$U67="")),"Qualified ขาดเหตุผล/วันที่; ","")&amp;IF(AND($G67="Unqualified",$R67=""),"Unqualified ขาดเหตุผล; ","")&amp;IF(AND($F67="Qualified",$G67&lt;&gt;"Qualified"),"สถานะ/ผลคัดกรองไม่ตรง; ","")&amp;IF(AND($F67="Unqualified",$G67&lt;&gt;"Unqualified"),"สถานะ/ผลคัดกรองไม่ตรง; ","")&amp;IF(AND($F67="Contacting",$S67=""),"ขาดเวลาพยายามติดต่อ; ","")&amp;IF(AND($O67="Contactable",$T67=""),"ขาดเวลาติดต่อสำเร็จ; ","")&amp;IF(AND($F67="Quotation Sent",$AV67=""),"ยังไม่มีใบราคาที่ตรวจผ่าน; ","")&amp;IF(AND($F67="Won",$AY67=0),"Won ยังไม่มี PO ที่ตรวจผ่าน; ","")&amp;IF(AND($AY67&gt;0,$F67&lt;&gt;"Won"),"มี PO แล้ว—ตรวจสถานะ; ","")&amp;IF(AND($F67="Lost",OR($W67="",$X67="")),"Lost ขาดวัน/เหตุผล; ","")&amp;IF(AND($AA67="Real",NOT(OR($F67="Won",$F67="Lost",$F67="Unqualified")),OR($H67="",$I67="")),"ขาดนัด/งานถัดไป; ","")&amp;IF(OR($AC67="",$AD67=""),"ขาดเวลา/ผู้บันทึก; ","")&amp;IF(AND(ISNUMBER($S67),ISNUMBER($AF67),$S67&lt;$AF67),"ตรวจเวลา attempt ก่อนรับ Lead; ","")))</x:f>
      </x:c>
      <x:c r="BA67" s="42" t="str">
        <x:f>IF($A67="","",IF(AND($AE67&lt;&gt;"",$AA67="Real",$AT67="production",COUNTIF('Leads'!$AE$8:$AE$107,$AE67)=1,COUNTIF('Leads'!$A$8:$A$107,$A67)=1,COUNTIF('Guide_Lists'!$AR$2:$AR$4,$A67)=0),1,0))</x:f>
      </x:c>
    </x:row>
    <x:row r="68" ht="30" customHeight="1">
      <x:c r="A68" s="94"/>
      <x:c r="B68" s="32"/>
      <x:c r="C68" s="32"/>
      <x:c r="D68" s="32"/>
      <x:c r="E68" s="92"/>
      <x:c r="F68" s="36"/>
      <x:c r="G68" s="36"/>
      <x:c r="H68" s="82"/>
      <x:c r="I68" s="36"/>
      <x:c r="J68" s="42" t="str">
        <x:f>IF($A68="","",IF(OR($AA68="Test",$AA68="Spam",$AA68="Duplicate",COUNTIF('Guide_Lists'!$AR$2:$AR$4,$A68)&gt;0),"ไม่นับผลธุรกิจ",IF($AA68&lt;&gt;"Real","ระบุประเภทข้อมูล",IF(OR($F68="Won",$F68="Lost",$F68="Unqualified"),"ปิดงานขาย",IF($H68="","ยังไม่นัด",IF(NOT(ISNUMBER($H68)),"ตรวจวันนัด",IF(INT($H68)&lt;'Guide_Lists'!$B$4,"เกินกำหนด",IF(INT($H68)='Guide_Lists'!$B$4,"ติดตามวันนี้","รอนัด"))))))))</x:f>
      </x:c>
      <x:c r="K68" s="32"/>
      <x:c r="L68" s="94"/>
      <x:c r="M68" s="94"/>
      <x:c r="N68" s="94"/>
      <x:c r="O68" s="36"/>
      <x:c r="P68" s="36"/>
      <x:c r="Q68" s="36"/>
      <x:c r="R68" s="36"/>
      <x:c r="S68" s="82"/>
      <x:c r="T68" s="82"/>
      <x:c r="U68" s="82"/>
      <x:c r="V68" s="82"/>
      <x:c r="W68" s="82"/>
      <x:c r="X68" s="36"/>
      <x:c r="Y68" s="36"/>
      <x:c r="Z68" s="36"/>
      <x:c r="AA68" s="36"/>
      <x:c r="AB68" s="96"/>
      <x:c r="AC68" s="82"/>
      <x:c r="AD68" s="36"/>
      <x:c r="AE68" s="94"/>
      <x:c r="AF68" s="86"/>
      <x:c r="AG68" s="32"/>
      <x:c r="AH68" s="32"/>
      <x:c r="AI68" s="32"/>
      <x:c r="AJ68" s="88"/>
      <x:c r="AK68" s="32"/>
      <x:c r="AL68" s="32"/>
      <x:c r="AM68" s="32"/>
      <x:c r="AN68" s="32"/>
      <x:c r="AO68" s="32"/>
      <x:c r="AP68" s="32"/>
      <x:c r="AQ68" s="94"/>
      <x:c r="AR68" s="32"/>
      <x:c r="AS68" s="32"/>
      <x:c r="AT68" s="32"/>
      <x:c r="AU68" s="86"/>
      <x:c r="AV68" s="90" t="str">
        <x:f>IF($A68="","",IF(COUNTIFS('Quotations'!$L$8:$L$107,$AE68,'Quotations'!$O$8:$O$107,1)=0,"",MINIFS('Quotations'!$E$8:$E$107,'Quotations'!$L$8:$L$107,$AE68,'Quotations'!$O$8:$O$107,1)))</x:f>
      </x:c>
      <x:c r="AW68" s="90" t="str">
        <x:f>IF($A68="","",IF(COUNTIFS('Orders_PO'!$N$8:$N$107,$AE68,'Orders_PO'!$Q$8:$Q$107,1)=0,"",MINIFS('Orders_PO'!$E$8:$E$107,'Orders_PO'!$N$8:$N$107,$AE68,'Orders_PO'!$Q$8:$Q$107,1)))</x:f>
      </x:c>
      <x:c r="AX68" s="42" t="str">
        <x:f>IF($A68="","",COUNTIFS('Quotations'!$L$8:$L$107,$AE68,'Quotations'!$O$8:$O$107,1,'Quotations'!$I$8:$I$107,"Yes"))</x:f>
      </x:c>
      <x:c r="AY68" s="42" t="str">
        <x:f>IF($A68="","",COUNTIFS('Orders_PO'!$N$8:$N$107,$AE68,'Orders_PO'!$Q$8:$Q$107,1))</x:f>
      </x:c>
      <x:c r="AZ68" s="42" t="str">
        <x:f>IF($A68="","",IF((IF($AE68="","ขาด Lead ID; ","")&amp;IF(AND($AE68&lt;&gt;"",COUNTIF('Leads'!$AE$8:$AE$107,$AE68)&gt;1),"Lead ID ซ้ำ; ","")&amp;IF(COUNTIF('Leads'!$A$8:$A$107,$A68)&gt;1,"Reference ซ้ำ; ","")&amp;IF(COUNTIF('Guide_Lists'!$AR$2:$AR$4,$A68)&gt;0,"Known TEST — ห้ามนับผล; ","")&amp;IF(OR($B68="",$D68=""),"ขาดชื่อ/งาน; ","")&amp;IF(AND($L68="",$M68="",$N68=""),"ขาดช่องทางติดต่อ; ","")&amp;IF(OR($Z68="",$AA68="",$F68="",$G68="",$AT68=""),"ขาดผู้ดูแล/ประเภท/สถานะ/Environment; ","")&amp;IF(NOT(ISNUMBER($AF68)),"ขาดเวลารับ Lead; ","")&amp;IF(AND($AA68="Duplicate",$AB68=""),"ขาด duplicate_of; ","")&amp;IF(AND($G68="Qualified",OR($R68="",$U68="")),"Qualified ขาดเหตุผล/วันที่; ","")&amp;IF(AND($G68="Unqualified",$R68=""),"Unqualified ขาดเหตุผล; ","")&amp;IF(AND($F68="Qualified",$G68&lt;&gt;"Qualified"),"สถานะ/ผลคัดกรองไม่ตรง; ","")&amp;IF(AND($F68="Unqualified",$G68&lt;&gt;"Unqualified"),"สถานะ/ผลคัดกรองไม่ตรง; ","")&amp;IF(AND($F68="Contacting",$S68=""),"ขาดเวลาพยายามติดต่อ; ","")&amp;IF(AND($O68="Contactable",$T68=""),"ขาดเวลาติดต่อสำเร็จ; ","")&amp;IF(AND($F68="Quotation Sent",$AV68=""),"ยังไม่มีใบราคาที่ตรวจผ่าน; ","")&amp;IF(AND($F68="Won",$AY68=0),"Won ยังไม่มี PO ที่ตรวจผ่าน; ","")&amp;IF(AND($AY68&gt;0,$F68&lt;&gt;"Won"),"มี PO แล้ว—ตรวจสถานะ; ","")&amp;IF(AND($F68="Lost",OR($W68="",$X68="")),"Lost ขาดวัน/เหตุผล; ","")&amp;IF(AND($AA68="Real",NOT(OR($F68="Won",$F68="Lost",$F68="Unqualified")),OR($H68="",$I68="")),"ขาดนัด/งานถัดไป; ","")&amp;IF(OR($AC68="",$AD68=""),"ขาดเวลา/ผู้บันทึก; ","")&amp;IF(AND(ISNUMBER($S68),ISNUMBER($AF68),$S68&lt;$AF68),"ตรวจเวลา attempt ก่อนรับ Lead; ",""))="","ครบ",IF($AE68="","ขาด Lead ID; ","")&amp;IF(AND($AE68&lt;&gt;"",COUNTIF('Leads'!$AE$8:$AE$107,$AE68)&gt;1),"Lead ID ซ้ำ; ","")&amp;IF(COUNTIF('Leads'!$A$8:$A$107,$A68)&gt;1,"Reference ซ้ำ; ","")&amp;IF(COUNTIF('Guide_Lists'!$AR$2:$AR$4,$A68)&gt;0,"Known TEST — ห้ามนับผล; ","")&amp;IF(OR($B68="",$D68=""),"ขาดชื่อ/งาน; ","")&amp;IF(AND($L68="",$M68="",$N68=""),"ขาดช่องทางติดต่อ; ","")&amp;IF(OR($Z68="",$AA68="",$F68="",$G68="",$AT68=""),"ขาดผู้ดูแล/ประเภท/สถานะ/Environment; ","")&amp;IF(NOT(ISNUMBER($AF68)),"ขาดเวลารับ Lead; ","")&amp;IF(AND($AA68="Duplicate",$AB68=""),"ขาด duplicate_of; ","")&amp;IF(AND($G68="Qualified",OR($R68="",$U68="")),"Qualified ขาดเหตุผล/วันที่; ","")&amp;IF(AND($G68="Unqualified",$R68=""),"Unqualified ขาดเหตุผล; ","")&amp;IF(AND($F68="Qualified",$G68&lt;&gt;"Qualified"),"สถานะ/ผลคัดกรองไม่ตรง; ","")&amp;IF(AND($F68="Unqualified",$G68&lt;&gt;"Unqualified"),"สถานะ/ผลคัดกรองไม่ตรง; ","")&amp;IF(AND($F68="Contacting",$S68=""),"ขาดเวลาพยายามติดต่อ; ","")&amp;IF(AND($O68="Contactable",$T68=""),"ขาดเวลาติดต่อสำเร็จ; ","")&amp;IF(AND($F68="Quotation Sent",$AV68=""),"ยังไม่มีใบราคาที่ตรวจผ่าน; ","")&amp;IF(AND($F68="Won",$AY68=0),"Won ยังไม่มี PO ที่ตรวจผ่าน; ","")&amp;IF(AND($AY68&gt;0,$F68&lt;&gt;"Won"),"มี PO แล้ว—ตรวจสถานะ; ","")&amp;IF(AND($F68="Lost",OR($W68="",$X68="")),"Lost ขาดวัน/เหตุผล; ","")&amp;IF(AND($AA68="Real",NOT(OR($F68="Won",$F68="Lost",$F68="Unqualified")),OR($H68="",$I68="")),"ขาดนัด/งานถัดไป; ","")&amp;IF(OR($AC68="",$AD68=""),"ขาดเวลา/ผู้บันทึก; ","")&amp;IF(AND(ISNUMBER($S68),ISNUMBER($AF68),$S68&lt;$AF68),"ตรวจเวลา attempt ก่อนรับ Lead; ","")))</x:f>
      </x:c>
      <x:c r="BA68" s="42" t="str">
        <x:f>IF($A68="","",IF(AND($AE68&lt;&gt;"",$AA68="Real",$AT68="production",COUNTIF('Leads'!$AE$8:$AE$107,$AE68)=1,COUNTIF('Leads'!$A$8:$A$107,$A68)=1,COUNTIF('Guide_Lists'!$AR$2:$AR$4,$A68)=0),1,0))</x:f>
      </x:c>
    </x:row>
    <x:row r="69" ht="30" customHeight="1">
      <x:c r="A69" s="94"/>
      <x:c r="B69" s="32"/>
      <x:c r="C69" s="32"/>
      <x:c r="D69" s="32"/>
      <x:c r="E69" s="92"/>
      <x:c r="F69" s="36"/>
      <x:c r="G69" s="36"/>
      <x:c r="H69" s="82"/>
      <x:c r="I69" s="36"/>
      <x:c r="J69" s="42" t="str">
        <x:f>IF($A69="","",IF(OR($AA69="Test",$AA69="Spam",$AA69="Duplicate",COUNTIF('Guide_Lists'!$AR$2:$AR$4,$A69)&gt;0),"ไม่นับผลธุรกิจ",IF($AA69&lt;&gt;"Real","ระบุประเภทข้อมูล",IF(OR($F69="Won",$F69="Lost",$F69="Unqualified"),"ปิดงานขาย",IF($H69="","ยังไม่นัด",IF(NOT(ISNUMBER($H69)),"ตรวจวันนัด",IF(INT($H69)&lt;'Guide_Lists'!$B$4,"เกินกำหนด",IF(INT($H69)='Guide_Lists'!$B$4,"ติดตามวันนี้","รอนัด"))))))))</x:f>
      </x:c>
      <x:c r="K69" s="32"/>
      <x:c r="L69" s="94"/>
      <x:c r="M69" s="94"/>
      <x:c r="N69" s="94"/>
      <x:c r="O69" s="36"/>
      <x:c r="P69" s="36"/>
      <x:c r="Q69" s="36"/>
      <x:c r="R69" s="36"/>
      <x:c r="S69" s="82"/>
      <x:c r="T69" s="82"/>
      <x:c r="U69" s="82"/>
      <x:c r="V69" s="82"/>
      <x:c r="W69" s="82"/>
      <x:c r="X69" s="36"/>
      <x:c r="Y69" s="36"/>
      <x:c r="Z69" s="36"/>
      <x:c r="AA69" s="36"/>
      <x:c r="AB69" s="96"/>
      <x:c r="AC69" s="82"/>
      <x:c r="AD69" s="36"/>
      <x:c r="AE69" s="94"/>
      <x:c r="AF69" s="86"/>
      <x:c r="AG69" s="32"/>
      <x:c r="AH69" s="32"/>
      <x:c r="AI69" s="32"/>
      <x:c r="AJ69" s="88"/>
      <x:c r="AK69" s="32"/>
      <x:c r="AL69" s="32"/>
      <x:c r="AM69" s="32"/>
      <x:c r="AN69" s="32"/>
      <x:c r="AO69" s="32"/>
      <x:c r="AP69" s="32"/>
      <x:c r="AQ69" s="94"/>
      <x:c r="AR69" s="32"/>
      <x:c r="AS69" s="32"/>
      <x:c r="AT69" s="32"/>
      <x:c r="AU69" s="86"/>
      <x:c r="AV69" s="90" t="str">
        <x:f>IF($A69="","",IF(COUNTIFS('Quotations'!$L$8:$L$107,$AE69,'Quotations'!$O$8:$O$107,1)=0,"",MINIFS('Quotations'!$E$8:$E$107,'Quotations'!$L$8:$L$107,$AE69,'Quotations'!$O$8:$O$107,1)))</x:f>
      </x:c>
      <x:c r="AW69" s="90" t="str">
        <x:f>IF($A69="","",IF(COUNTIFS('Orders_PO'!$N$8:$N$107,$AE69,'Orders_PO'!$Q$8:$Q$107,1)=0,"",MINIFS('Orders_PO'!$E$8:$E$107,'Orders_PO'!$N$8:$N$107,$AE69,'Orders_PO'!$Q$8:$Q$107,1)))</x:f>
      </x:c>
      <x:c r="AX69" s="42" t="str">
        <x:f>IF($A69="","",COUNTIFS('Quotations'!$L$8:$L$107,$AE69,'Quotations'!$O$8:$O$107,1,'Quotations'!$I$8:$I$107,"Yes"))</x:f>
      </x:c>
      <x:c r="AY69" s="42" t="str">
        <x:f>IF($A69="","",COUNTIFS('Orders_PO'!$N$8:$N$107,$AE69,'Orders_PO'!$Q$8:$Q$107,1))</x:f>
      </x:c>
      <x:c r="AZ69" s="42" t="str">
        <x:f>IF($A69="","",IF((IF($AE69="","ขาด Lead ID; ","")&amp;IF(AND($AE69&lt;&gt;"",COUNTIF('Leads'!$AE$8:$AE$107,$AE69)&gt;1),"Lead ID ซ้ำ; ","")&amp;IF(COUNTIF('Leads'!$A$8:$A$107,$A69)&gt;1,"Reference ซ้ำ; ","")&amp;IF(COUNTIF('Guide_Lists'!$AR$2:$AR$4,$A69)&gt;0,"Known TEST — ห้ามนับผล; ","")&amp;IF(OR($B69="",$D69=""),"ขาดชื่อ/งาน; ","")&amp;IF(AND($L69="",$M69="",$N69=""),"ขาดช่องทางติดต่อ; ","")&amp;IF(OR($Z69="",$AA69="",$F69="",$G69="",$AT69=""),"ขาดผู้ดูแล/ประเภท/สถานะ/Environment; ","")&amp;IF(NOT(ISNUMBER($AF69)),"ขาดเวลารับ Lead; ","")&amp;IF(AND($AA69="Duplicate",$AB69=""),"ขาด duplicate_of; ","")&amp;IF(AND($G69="Qualified",OR($R69="",$U69="")),"Qualified ขาดเหตุผล/วันที่; ","")&amp;IF(AND($G69="Unqualified",$R69=""),"Unqualified ขาดเหตุผล; ","")&amp;IF(AND($F69="Qualified",$G69&lt;&gt;"Qualified"),"สถานะ/ผลคัดกรองไม่ตรง; ","")&amp;IF(AND($F69="Unqualified",$G69&lt;&gt;"Unqualified"),"สถานะ/ผลคัดกรองไม่ตรง; ","")&amp;IF(AND($F69="Contacting",$S69=""),"ขาดเวลาพยายามติดต่อ; ","")&amp;IF(AND($O69="Contactable",$T69=""),"ขาดเวลาติดต่อสำเร็จ; ","")&amp;IF(AND($F69="Quotation Sent",$AV69=""),"ยังไม่มีใบราคาที่ตรวจผ่าน; ","")&amp;IF(AND($F69="Won",$AY69=0),"Won ยังไม่มี PO ที่ตรวจผ่าน; ","")&amp;IF(AND($AY69&gt;0,$F69&lt;&gt;"Won"),"มี PO แล้ว—ตรวจสถานะ; ","")&amp;IF(AND($F69="Lost",OR($W69="",$X69="")),"Lost ขาดวัน/เหตุผล; ","")&amp;IF(AND($AA69="Real",NOT(OR($F69="Won",$F69="Lost",$F69="Unqualified")),OR($H69="",$I69="")),"ขาดนัด/งานถัดไป; ","")&amp;IF(OR($AC69="",$AD69=""),"ขาดเวลา/ผู้บันทึก; ","")&amp;IF(AND(ISNUMBER($S69),ISNUMBER($AF69),$S69&lt;$AF69),"ตรวจเวลา attempt ก่อนรับ Lead; ",""))="","ครบ",IF($AE69="","ขาด Lead ID; ","")&amp;IF(AND($AE69&lt;&gt;"",COUNTIF('Leads'!$AE$8:$AE$107,$AE69)&gt;1),"Lead ID ซ้ำ; ","")&amp;IF(COUNTIF('Leads'!$A$8:$A$107,$A69)&gt;1,"Reference ซ้ำ; ","")&amp;IF(COUNTIF('Guide_Lists'!$AR$2:$AR$4,$A69)&gt;0,"Known TEST — ห้ามนับผล; ","")&amp;IF(OR($B69="",$D69=""),"ขาดชื่อ/งาน; ","")&amp;IF(AND($L69="",$M69="",$N69=""),"ขาดช่องทางติดต่อ; ","")&amp;IF(OR($Z69="",$AA69="",$F69="",$G69="",$AT69=""),"ขาดผู้ดูแล/ประเภท/สถานะ/Environment; ","")&amp;IF(NOT(ISNUMBER($AF69)),"ขาดเวลารับ Lead; ","")&amp;IF(AND($AA69="Duplicate",$AB69=""),"ขาด duplicate_of; ","")&amp;IF(AND($G69="Qualified",OR($R69="",$U69="")),"Qualified ขาดเหตุผล/วันที่; ","")&amp;IF(AND($G69="Unqualified",$R69=""),"Unqualified ขาดเหตุผล; ","")&amp;IF(AND($F69="Qualified",$G69&lt;&gt;"Qualified"),"สถานะ/ผลคัดกรองไม่ตรง; ","")&amp;IF(AND($F69="Unqualified",$G69&lt;&gt;"Unqualified"),"สถานะ/ผลคัดกรองไม่ตรง; ","")&amp;IF(AND($F69="Contacting",$S69=""),"ขาดเวลาพยายามติดต่อ; ","")&amp;IF(AND($O69="Contactable",$T69=""),"ขาดเวลาติดต่อสำเร็จ; ","")&amp;IF(AND($F69="Quotation Sent",$AV69=""),"ยังไม่มีใบราคาที่ตรวจผ่าน; ","")&amp;IF(AND($F69="Won",$AY69=0),"Won ยังไม่มี PO ที่ตรวจผ่าน; ","")&amp;IF(AND($AY69&gt;0,$F69&lt;&gt;"Won"),"มี PO แล้ว—ตรวจสถานะ; ","")&amp;IF(AND($F69="Lost",OR($W69="",$X69="")),"Lost ขาดวัน/เหตุผล; ","")&amp;IF(AND($AA69="Real",NOT(OR($F69="Won",$F69="Lost",$F69="Unqualified")),OR($H69="",$I69="")),"ขาดนัด/งานถัดไป; ","")&amp;IF(OR($AC69="",$AD69=""),"ขาดเวลา/ผู้บันทึก; ","")&amp;IF(AND(ISNUMBER($S69),ISNUMBER($AF69),$S69&lt;$AF69),"ตรวจเวลา attempt ก่อนรับ Lead; ","")))</x:f>
      </x:c>
      <x:c r="BA69" s="42" t="str">
        <x:f>IF($A69="","",IF(AND($AE69&lt;&gt;"",$AA69="Real",$AT69="production",COUNTIF('Leads'!$AE$8:$AE$107,$AE69)=1,COUNTIF('Leads'!$A$8:$A$107,$A69)=1,COUNTIF('Guide_Lists'!$AR$2:$AR$4,$A69)=0),1,0))</x:f>
      </x:c>
    </x:row>
    <x:row r="70" ht="30" customHeight="1">
      <x:c r="A70" s="94"/>
      <x:c r="B70" s="32"/>
      <x:c r="C70" s="32"/>
      <x:c r="D70" s="32"/>
      <x:c r="E70" s="92"/>
      <x:c r="F70" s="36"/>
      <x:c r="G70" s="36"/>
      <x:c r="H70" s="82"/>
      <x:c r="I70" s="36"/>
      <x:c r="J70" s="42" t="str">
        <x:f>IF($A70="","",IF(OR($AA70="Test",$AA70="Spam",$AA70="Duplicate",COUNTIF('Guide_Lists'!$AR$2:$AR$4,$A70)&gt;0),"ไม่นับผลธุรกิจ",IF($AA70&lt;&gt;"Real","ระบุประเภทข้อมูล",IF(OR($F70="Won",$F70="Lost",$F70="Unqualified"),"ปิดงานขาย",IF($H70="","ยังไม่นัด",IF(NOT(ISNUMBER($H70)),"ตรวจวันนัด",IF(INT($H70)&lt;'Guide_Lists'!$B$4,"เกินกำหนด",IF(INT($H70)='Guide_Lists'!$B$4,"ติดตามวันนี้","รอนัด"))))))))</x:f>
      </x:c>
      <x:c r="K70" s="32"/>
      <x:c r="L70" s="94"/>
      <x:c r="M70" s="94"/>
      <x:c r="N70" s="94"/>
      <x:c r="O70" s="36"/>
      <x:c r="P70" s="36"/>
      <x:c r="Q70" s="36"/>
      <x:c r="R70" s="36"/>
      <x:c r="S70" s="82"/>
      <x:c r="T70" s="82"/>
      <x:c r="U70" s="82"/>
      <x:c r="V70" s="82"/>
      <x:c r="W70" s="82"/>
      <x:c r="X70" s="36"/>
      <x:c r="Y70" s="36"/>
      <x:c r="Z70" s="36"/>
      <x:c r="AA70" s="36"/>
      <x:c r="AB70" s="96"/>
      <x:c r="AC70" s="82"/>
      <x:c r="AD70" s="36"/>
      <x:c r="AE70" s="94"/>
      <x:c r="AF70" s="86"/>
      <x:c r="AG70" s="32"/>
      <x:c r="AH70" s="32"/>
      <x:c r="AI70" s="32"/>
      <x:c r="AJ70" s="88"/>
      <x:c r="AK70" s="32"/>
      <x:c r="AL70" s="32"/>
      <x:c r="AM70" s="32"/>
      <x:c r="AN70" s="32"/>
      <x:c r="AO70" s="32"/>
      <x:c r="AP70" s="32"/>
      <x:c r="AQ70" s="94"/>
      <x:c r="AR70" s="32"/>
      <x:c r="AS70" s="32"/>
      <x:c r="AT70" s="32"/>
      <x:c r="AU70" s="86"/>
      <x:c r="AV70" s="90" t="str">
        <x:f>IF($A70="","",IF(COUNTIFS('Quotations'!$L$8:$L$107,$AE70,'Quotations'!$O$8:$O$107,1)=0,"",MINIFS('Quotations'!$E$8:$E$107,'Quotations'!$L$8:$L$107,$AE70,'Quotations'!$O$8:$O$107,1)))</x:f>
      </x:c>
      <x:c r="AW70" s="90" t="str">
        <x:f>IF($A70="","",IF(COUNTIFS('Orders_PO'!$N$8:$N$107,$AE70,'Orders_PO'!$Q$8:$Q$107,1)=0,"",MINIFS('Orders_PO'!$E$8:$E$107,'Orders_PO'!$N$8:$N$107,$AE70,'Orders_PO'!$Q$8:$Q$107,1)))</x:f>
      </x:c>
      <x:c r="AX70" s="42" t="str">
        <x:f>IF($A70="","",COUNTIFS('Quotations'!$L$8:$L$107,$AE70,'Quotations'!$O$8:$O$107,1,'Quotations'!$I$8:$I$107,"Yes"))</x:f>
      </x:c>
      <x:c r="AY70" s="42" t="str">
        <x:f>IF($A70="","",COUNTIFS('Orders_PO'!$N$8:$N$107,$AE70,'Orders_PO'!$Q$8:$Q$107,1))</x:f>
      </x:c>
      <x:c r="AZ70" s="42" t="str">
        <x:f>IF($A70="","",IF((IF($AE70="","ขาด Lead ID; ","")&amp;IF(AND($AE70&lt;&gt;"",COUNTIF('Leads'!$AE$8:$AE$107,$AE70)&gt;1),"Lead ID ซ้ำ; ","")&amp;IF(COUNTIF('Leads'!$A$8:$A$107,$A70)&gt;1,"Reference ซ้ำ; ","")&amp;IF(COUNTIF('Guide_Lists'!$AR$2:$AR$4,$A70)&gt;0,"Known TEST — ห้ามนับผล; ","")&amp;IF(OR($B70="",$D70=""),"ขาดชื่อ/งาน; ","")&amp;IF(AND($L70="",$M70="",$N70=""),"ขาดช่องทางติดต่อ; ","")&amp;IF(OR($Z70="",$AA70="",$F70="",$G70="",$AT70=""),"ขาดผู้ดูแล/ประเภท/สถานะ/Environment; ","")&amp;IF(NOT(ISNUMBER($AF70)),"ขาดเวลารับ Lead; ","")&amp;IF(AND($AA70="Duplicate",$AB70=""),"ขาด duplicate_of; ","")&amp;IF(AND($G70="Qualified",OR($R70="",$U70="")),"Qualified ขาดเหตุผล/วันที่; ","")&amp;IF(AND($G70="Unqualified",$R70=""),"Unqualified ขาดเหตุผล; ","")&amp;IF(AND($F70="Qualified",$G70&lt;&gt;"Qualified"),"สถานะ/ผลคัดกรองไม่ตรง; ","")&amp;IF(AND($F70="Unqualified",$G70&lt;&gt;"Unqualified"),"สถานะ/ผลคัดกรองไม่ตรง; ","")&amp;IF(AND($F70="Contacting",$S70=""),"ขาดเวลาพยายามติดต่อ; ","")&amp;IF(AND($O70="Contactable",$T70=""),"ขาดเวลาติดต่อสำเร็จ; ","")&amp;IF(AND($F70="Quotation Sent",$AV70=""),"ยังไม่มีใบราคาที่ตรวจผ่าน; ","")&amp;IF(AND($F70="Won",$AY70=0),"Won ยังไม่มี PO ที่ตรวจผ่าน; ","")&amp;IF(AND($AY70&gt;0,$F70&lt;&gt;"Won"),"มี PO แล้ว—ตรวจสถานะ; ","")&amp;IF(AND($F70="Lost",OR($W70="",$X70="")),"Lost ขาดวัน/เหตุผล; ","")&amp;IF(AND($AA70="Real",NOT(OR($F70="Won",$F70="Lost",$F70="Unqualified")),OR($H70="",$I70="")),"ขาดนัด/งานถัดไป; ","")&amp;IF(OR($AC70="",$AD70=""),"ขาดเวลา/ผู้บันทึก; ","")&amp;IF(AND(ISNUMBER($S70),ISNUMBER($AF70),$S70&lt;$AF70),"ตรวจเวลา attempt ก่อนรับ Lead; ",""))="","ครบ",IF($AE70="","ขาด Lead ID; ","")&amp;IF(AND($AE70&lt;&gt;"",COUNTIF('Leads'!$AE$8:$AE$107,$AE70)&gt;1),"Lead ID ซ้ำ; ","")&amp;IF(COUNTIF('Leads'!$A$8:$A$107,$A70)&gt;1,"Reference ซ้ำ; ","")&amp;IF(COUNTIF('Guide_Lists'!$AR$2:$AR$4,$A70)&gt;0,"Known TEST — ห้ามนับผล; ","")&amp;IF(OR($B70="",$D70=""),"ขาดชื่อ/งาน; ","")&amp;IF(AND($L70="",$M70="",$N70=""),"ขาดช่องทางติดต่อ; ","")&amp;IF(OR($Z70="",$AA70="",$F70="",$G70="",$AT70=""),"ขาดผู้ดูแล/ประเภท/สถานะ/Environment; ","")&amp;IF(NOT(ISNUMBER($AF70)),"ขาดเวลารับ Lead; ","")&amp;IF(AND($AA70="Duplicate",$AB70=""),"ขาด duplicate_of; ","")&amp;IF(AND($G70="Qualified",OR($R70="",$U70="")),"Qualified ขาดเหตุผล/วันที่; ","")&amp;IF(AND($G70="Unqualified",$R70=""),"Unqualified ขาดเหตุผล; ","")&amp;IF(AND($F70="Qualified",$G70&lt;&gt;"Qualified"),"สถานะ/ผลคัดกรองไม่ตรง; ","")&amp;IF(AND($F70="Unqualified",$G70&lt;&gt;"Unqualified"),"สถานะ/ผลคัดกรองไม่ตรง; ","")&amp;IF(AND($F70="Contacting",$S70=""),"ขาดเวลาพยายามติดต่อ; ","")&amp;IF(AND($O70="Contactable",$T70=""),"ขาดเวลาติดต่อสำเร็จ; ","")&amp;IF(AND($F70="Quotation Sent",$AV70=""),"ยังไม่มีใบราคาที่ตรวจผ่าน; ","")&amp;IF(AND($F70="Won",$AY70=0),"Won ยังไม่มี PO ที่ตรวจผ่าน; ","")&amp;IF(AND($AY70&gt;0,$F70&lt;&gt;"Won"),"มี PO แล้ว—ตรวจสถานะ; ","")&amp;IF(AND($F70="Lost",OR($W70="",$X70="")),"Lost ขาดวัน/เหตุผล; ","")&amp;IF(AND($AA70="Real",NOT(OR($F70="Won",$F70="Lost",$F70="Unqualified")),OR($H70="",$I70="")),"ขาดนัด/งานถัดไป; ","")&amp;IF(OR($AC70="",$AD70=""),"ขาดเวลา/ผู้บันทึก; ","")&amp;IF(AND(ISNUMBER($S70),ISNUMBER($AF70),$S70&lt;$AF70),"ตรวจเวลา attempt ก่อนรับ Lead; ","")))</x:f>
      </x:c>
      <x:c r="BA70" s="42" t="str">
        <x:f>IF($A70="","",IF(AND($AE70&lt;&gt;"",$AA70="Real",$AT70="production",COUNTIF('Leads'!$AE$8:$AE$107,$AE70)=1,COUNTIF('Leads'!$A$8:$A$107,$A70)=1,COUNTIF('Guide_Lists'!$AR$2:$AR$4,$A70)=0),1,0))</x:f>
      </x:c>
    </x:row>
    <x:row r="71" ht="30" customHeight="1">
      <x:c r="A71" s="94"/>
      <x:c r="B71" s="32"/>
      <x:c r="C71" s="32"/>
      <x:c r="D71" s="32"/>
      <x:c r="E71" s="92"/>
      <x:c r="F71" s="36"/>
      <x:c r="G71" s="36"/>
      <x:c r="H71" s="82"/>
      <x:c r="I71" s="36"/>
      <x:c r="J71" s="42" t="str">
        <x:f>IF($A71="","",IF(OR($AA71="Test",$AA71="Spam",$AA71="Duplicate",COUNTIF('Guide_Lists'!$AR$2:$AR$4,$A71)&gt;0),"ไม่นับผลธุรกิจ",IF($AA71&lt;&gt;"Real","ระบุประเภทข้อมูล",IF(OR($F71="Won",$F71="Lost",$F71="Unqualified"),"ปิดงานขาย",IF($H71="","ยังไม่นัด",IF(NOT(ISNUMBER($H71)),"ตรวจวันนัด",IF(INT($H71)&lt;'Guide_Lists'!$B$4,"เกินกำหนด",IF(INT($H71)='Guide_Lists'!$B$4,"ติดตามวันนี้","รอนัด"))))))))</x:f>
      </x:c>
      <x:c r="K71" s="32"/>
      <x:c r="L71" s="94"/>
      <x:c r="M71" s="94"/>
      <x:c r="N71" s="94"/>
      <x:c r="O71" s="36"/>
      <x:c r="P71" s="36"/>
      <x:c r="Q71" s="36"/>
      <x:c r="R71" s="36"/>
      <x:c r="S71" s="82"/>
      <x:c r="T71" s="82"/>
      <x:c r="U71" s="82"/>
      <x:c r="V71" s="82"/>
      <x:c r="W71" s="82"/>
      <x:c r="X71" s="36"/>
      <x:c r="Y71" s="36"/>
      <x:c r="Z71" s="36"/>
      <x:c r="AA71" s="36"/>
      <x:c r="AB71" s="96"/>
      <x:c r="AC71" s="82"/>
      <x:c r="AD71" s="36"/>
      <x:c r="AE71" s="94"/>
      <x:c r="AF71" s="86"/>
      <x:c r="AG71" s="32"/>
      <x:c r="AH71" s="32"/>
      <x:c r="AI71" s="32"/>
      <x:c r="AJ71" s="88"/>
      <x:c r="AK71" s="32"/>
      <x:c r="AL71" s="32"/>
      <x:c r="AM71" s="32"/>
      <x:c r="AN71" s="32"/>
      <x:c r="AO71" s="32"/>
      <x:c r="AP71" s="32"/>
      <x:c r="AQ71" s="94"/>
      <x:c r="AR71" s="32"/>
      <x:c r="AS71" s="32"/>
      <x:c r="AT71" s="32"/>
      <x:c r="AU71" s="86"/>
      <x:c r="AV71" s="90" t="str">
        <x:f>IF($A71="","",IF(COUNTIFS('Quotations'!$L$8:$L$107,$AE71,'Quotations'!$O$8:$O$107,1)=0,"",MINIFS('Quotations'!$E$8:$E$107,'Quotations'!$L$8:$L$107,$AE71,'Quotations'!$O$8:$O$107,1)))</x:f>
      </x:c>
      <x:c r="AW71" s="90" t="str">
        <x:f>IF($A71="","",IF(COUNTIFS('Orders_PO'!$N$8:$N$107,$AE71,'Orders_PO'!$Q$8:$Q$107,1)=0,"",MINIFS('Orders_PO'!$E$8:$E$107,'Orders_PO'!$N$8:$N$107,$AE71,'Orders_PO'!$Q$8:$Q$107,1)))</x:f>
      </x:c>
      <x:c r="AX71" s="42" t="str">
        <x:f>IF($A71="","",COUNTIFS('Quotations'!$L$8:$L$107,$AE71,'Quotations'!$O$8:$O$107,1,'Quotations'!$I$8:$I$107,"Yes"))</x:f>
      </x:c>
      <x:c r="AY71" s="42" t="str">
        <x:f>IF($A71="","",COUNTIFS('Orders_PO'!$N$8:$N$107,$AE71,'Orders_PO'!$Q$8:$Q$107,1))</x:f>
      </x:c>
      <x:c r="AZ71" s="42" t="str">
        <x:f>IF($A71="","",IF((IF($AE71="","ขาด Lead ID; ","")&amp;IF(AND($AE71&lt;&gt;"",COUNTIF('Leads'!$AE$8:$AE$107,$AE71)&gt;1),"Lead ID ซ้ำ; ","")&amp;IF(COUNTIF('Leads'!$A$8:$A$107,$A71)&gt;1,"Reference ซ้ำ; ","")&amp;IF(COUNTIF('Guide_Lists'!$AR$2:$AR$4,$A71)&gt;0,"Known TEST — ห้ามนับผล; ","")&amp;IF(OR($B71="",$D71=""),"ขาดชื่อ/งาน; ","")&amp;IF(AND($L71="",$M71="",$N71=""),"ขาดช่องทางติดต่อ; ","")&amp;IF(OR($Z71="",$AA71="",$F71="",$G71="",$AT71=""),"ขาดผู้ดูแล/ประเภท/สถานะ/Environment; ","")&amp;IF(NOT(ISNUMBER($AF71)),"ขาดเวลารับ Lead; ","")&amp;IF(AND($AA71="Duplicate",$AB71=""),"ขาด duplicate_of; ","")&amp;IF(AND($G71="Qualified",OR($R71="",$U71="")),"Qualified ขาดเหตุผล/วันที่; ","")&amp;IF(AND($G71="Unqualified",$R71=""),"Unqualified ขาดเหตุผล; ","")&amp;IF(AND($F71="Qualified",$G71&lt;&gt;"Qualified"),"สถานะ/ผลคัดกรองไม่ตรง; ","")&amp;IF(AND($F71="Unqualified",$G71&lt;&gt;"Unqualified"),"สถานะ/ผลคัดกรองไม่ตรง; ","")&amp;IF(AND($F71="Contacting",$S71=""),"ขาดเวลาพยายามติดต่อ; ","")&amp;IF(AND($O71="Contactable",$T71=""),"ขาดเวลาติดต่อสำเร็จ; ","")&amp;IF(AND($F71="Quotation Sent",$AV71=""),"ยังไม่มีใบราคาที่ตรวจผ่าน; ","")&amp;IF(AND($F71="Won",$AY71=0),"Won ยังไม่มี PO ที่ตรวจผ่าน; ","")&amp;IF(AND($AY71&gt;0,$F71&lt;&gt;"Won"),"มี PO แล้ว—ตรวจสถานะ; ","")&amp;IF(AND($F71="Lost",OR($W71="",$X71="")),"Lost ขาดวัน/เหตุผล; ","")&amp;IF(AND($AA71="Real",NOT(OR($F71="Won",$F71="Lost",$F71="Unqualified")),OR($H71="",$I71="")),"ขาดนัด/งานถัดไป; ","")&amp;IF(OR($AC71="",$AD71=""),"ขาดเวลา/ผู้บันทึก; ","")&amp;IF(AND(ISNUMBER($S71),ISNUMBER($AF71),$S71&lt;$AF71),"ตรวจเวลา attempt ก่อนรับ Lead; ",""))="","ครบ",IF($AE71="","ขาด Lead ID; ","")&amp;IF(AND($AE71&lt;&gt;"",COUNTIF('Leads'!$AE$8:$AE$107,$AE71)&gt;1),"Lead ID ซ้ำ; ","")&amp;IF(COUNTIF('Leads'!$A$8:$A$107,$A71)&gt;1,"Reference ซ้ำ; ","")&amp;IF(COUNTIF('Guide_Lists'!$AR$2:$AR$4,$A71)&gt;0,"Known TEST — ห้ามนับผล; ","")&amp;IF(OR($B71="",$D71=""),"ขาดชื่อ/งาน; ","")&amp;IF(AND($L71="",$M71="",$N71=""),"ขาดช่องทางติดต่อ; ","")&amp;IF(OR($Z71="",$AA71="",$F71="",$G71="",$AT71=""),"ขาดผู้ดูแล/ประเภท/สถานะ/Environment; ","")&amp;IF(NOT(ISNUMBER($AF71)),"ขาดเวลารับ Lead; ","")&amp;IF(AND($AA71="Duplicate",$AB71=""),"ขาด duplicate_of; ","")&amp;IF(AND($G71="Qualified",OR($R71="",$U71="")),"Qualified ขาดเหตุผล/วันที่; ","")&amp;IF(AND($G71="Unqualified",$R71=""),"Unqualified ขาดเหตุผล; ","")&amp;IF(AND($F71="Qualified",$G71&lt;&gt;"Qualified"),"สถานะ/ผลคัดกรองไม่ตรง; ","")&amp;IF(AND($F71="Unqualified",$G71&lt;&gt;"Unqualified"),"สถานะ/ผลคัดกรองไม่ตรง; ","")&amp;IF(AND($F71="Contacting",$S71=""),"ขาดเวลาพยายามติดต่อ; ","")&amp;IF(AND($O71="Contactable",$T71=""),"ขาดเวลาติดต่อสำเร็จ; ","")&amp;IF(AND($F71="Quotation Sent",$AV71=""),"ยังไม่มีใบราคาที่ตรวจผ่าน; ","")&amp;IF(AND($F71="Won",$AY71=0),"Won ยังไม่มี PO ที่ตรวจผ่าน; ","")&amp;IF(AND($AY71&gt;0,$F71&lt;&gt;"Won"),"มี PO แล้ว—ตรวจสถานะ; ","")&amp;IF(AND($F71="Lost",OR($W71="",$X71="")),"Lost ขาดวัน/เหตุผล; ","")&amp;IF(AND($AA71="Real",NOT(OR($F71="Won",$F71="Lost",$F71="Unqualified")),OR($H71="",$I71="")),"ขาดนัด/งานถัดไป; ","")&amp;IF(OR($AC71="",$AD71=""),"ขาดเวลา/ผู้บันทึก; ","")&amp;IF(AND(ISNUMBER($S71),ISNUMBER($AF71),$S71&lt;$AF71),"ตรวจเวลา attempt ก่อนรับ Lead; ","")))</x:f>
      </x:c>
      <x:c r="BA71" s="42" t="str">
        <x:f>IF($A71="","",IF(AND($AE71&lt;&gt;"",$AA71="Real",$AT71="production",COUNTIF('Leads'!$AE$8:$AE$107,$AE71)=1,COUNTIF('Leads'!$A$8:$A$107,$A71)=1,COUNTIF('Guide_Lists'!$AR$2:$AR$4,$A71)=0),1,0))</x:f>
      </x:c>
    </x:row>
    <x:row r="72" ht="30" customHeight="1">
      <x:c r="A72" s="94"/>
      <x:c r="B72" s="32"/>
      <x:c r="C72" s="32"/>
      <x:c r="D72" s="32"/>
      <x:c r="E72" s="92"/>
      <x:c r="F72" s="36"/>
      <x:c r="G72" s="36"/>
      <x:c r="H72" s="82"/>
      <x:c r="I72" s="36"/>
      <x:c r="J72" s="42" t="str">
        <x:f>IF($A72="","",IF(OR($AA72="Test",$AA72="Spam",$AA72="Duplicate",COUNTIF('Guide_Lists'!$AR$2:$AR$4,$A72)&gt;0),"ไม่นับผลธุรกิจ",IF($AA72&lt;&gt;"Real","ระบุประเภทข้อมูล",IF(OR($F72="Won",$F72="Lost",$F72="Unqualified"),"ปิดงานขาย",IF($H72="","ยังไม่นัด",IF(NOT(ISNUMBER($H72)),"ตรวจวันนัด",IF(INT($H72)&lt;'Guide_Lists'!$B$4,"เกินกำหนด",IF(INT($H72)='Guide_Lists'!$B$4,"ติดตามวันนี้","รอนัด"))))))))</x:f>
      </x:c>
      <x:c r="K72" s="32"/>
      <x:c r="L72" s="94"/>
      <x:c r="M72" s="94"/>
      <x:c r="N72" s="94"/>
      <x:c r="O72" s="36"/>
      <x:c r="P72" s="36"/>
      <x:c r="Q72" s="36"/>
      <x:c r="R72" s="36"/>
      <x:c r="S72" s="82"/>
      <x:c r="T72" s="82"/>
      <x:c r="U72" s="82"/>
      <x:c r="V72" s="82"/>
      <x:c r="W72" s="82"/>
      <x:c r="X72" s="36"/>
      <x:c r="Y72" s="36"/>
      <x:c r="Z72" s="36"/>
      <x:c r="AA72" s="36"/>
      <x:c r="AB72" s="96"/>
      <x:c r="AC72" s="82"/>
      <x:c r="AD72" s="36"/>
      <x:c r="AE72" s="94"/>
      <x:c r="AF72" s="86"/>
      <x:c r="AG72" s="32"/>
      <x:c r="AH72" s="32"/>
      <x:c r="AI72" s="32"/>
      <x:c r="AJ72" s="88"/>
      <x:c r="AK72" s="32"/>
      <x:c r="AL72" s="32"/>
      <x:c r="AM72" s="32"/>
      <x:c r="AN72" s="32"/>
      <x:c r="AO72" s="32"/>
      <x:c r="AP72" s="32"/>
      <x:c r="AQ72" s="94"/>
      <x:c r="AR72" s="32"/>
      <x:c r="AS72" s="32"/>
      <x:c r="AT72" s="32"/>
      <x:c r="AU72" s="86"/>
      <x:c r="AV72" s="90" t="str">
        <x:f>IF($A72="","",IF(COUNTIFS('Quotations'!$L$8:$L$107,$AE72,'Quotations'!$O$8:$O$107,1)=0,"",MINIFS('Quotations'!$E$8:$E$107,'Quotations'!$L$8:$L$107,$AE72,'Quotations'!$O$8:$O$107,1)))</x:f>
      </x:c>
      <x:c r="AW72" s="90" t="str">
        <x:f>IF($A72="","",IF(COUNTIFS('Orders_PO'!$N$8:$N$107,$AE72,'Orders_PO'!$Q$8:$Q$107,1)=0,"",MINIFS('Orders_PO'!$E$8:$E$107,'Orders_PO'!$N$8:$N$107,$AE72,'Orders_PO'!$Q$8:$Q$107,1)))</x:f>
      </x:c>
      <x:c r="AX72" s="42" t="str">
        <x:f>IF($A72="","",COUNTIFS('Quotations'!$L$8:$L$107,$AE72,'Quotations'!$O$8:$O$107,1,'Quotations'!$I$8:$I$107,"Yes"))</x:f>
      </x:c>
      <x:c r="AY72" s="42" t="str">
        <x:f>IF($A72="","",COUNTIFS('Orders_PO'!$N$8:$N$107,$AE72,'Orders_PO'!$Q$8:$Q$107,1))</x:f>
      </x:c>
      <x:c r="AZ72" s="42" t="str">
        <x:f>IF($A72="","",IF((IF($AE72="","ขาด Lead ID; ","")&amp;IF(AND($AE72&lt;&gt;"",COUNTIF('Leads'!$AE$8:$AE$107,$AE72)&gt;1),"Lead ID ซ้ำ; ","")&amp;IF(COUNTIF('Leads'!$A$8:$A$107,$A72)&gt;1,"Reference ซ้ำ; ","")&amp;IF(COUNTIF('Guide_Lists'!$AR$2:$AR$4,$A72)&gt;0,"Known TEST — ห้ามนับผล; ","")&amp;IF(OR($B72="",$D72=""),"ขาดชื่อ/งาน; ","")&amp;IF(AND($L72="",$M72="",$N72=""),"ขาดช่องทางติดต่อ; ","")&amp;IF(OR($Z72="",$AA72="",$F72="",$G72="",$AT72=""),"ขาดผู้ดูแล/ประเภท/สถานะ/Environment; ","")&amp;IF(NOT(ISNUMBER($AF72)),"ขาดเวลารับ Lead; ","")&amp;IF(AND($AA72="Duplicate",$AB72=""),"ขาด duplicate_of; ","")&amp;IF(AND($G72="Qualified",OR($R72="",$U72="")),"Qualified ขาดเหตุผล/วันที่; ","")&amp;IF(AND($G72="Unqualified",$R72=""),"Unqualified ขาดเหตุผล; ","")&amp;IF(AND($F72="Qualified",$G72&lt;&gt;"Qualified"),"สถานะ/ผลคัดกรองไม่ตรง; ","")&amp;IF(AND($F72="Unqualified",$G72&lt;&gt;"Unqualified"),"สถานะ/ผลคัดกรองไม่ตรง; ","")&amp;IF(AND($F72="Contacting",$S72=""),"ขาดเวลาพยายามติดต่อ; ","")&amp;IF(AND($O72="Contactable",$T72=""),"ขาดเวลาติดต่อสำเร็จ; ","")&amp;IF(AND($F72="Quotation Sent",$AV72=""),"ยังไม่มีใบราคาที่ตรวจผ่าน; ","")&amp;IF(AND($F72="Won",$AY72=0),"Won ยังไม่มี PO ที่ตรวจผ่าน; ","")&amp;IF(AND($AY72&gt;0,$F72&lt;&gt;"Won"),"มี PO แล้ว—ตรวจสถานะ; ","")&amp;IF(AND($F72="Lost",OR($W72="",$X72="")),"Lost ขาดวัน/เหตุผล; ","")&amp;IF(AND($AA72="Real",NOT(OR($F72="Won",$F72="Lost",$F72="Unqualified")),OR($H72="",$I72="")),"ขาดนัด/งานถัดไป; ","")&amp;IF(OR($AC72="",$AD72=""),"ขาดเวลา/ผู้บันทึก; ","")&amp;IF(AND(ISNUMBER($S72),ISNUMBER($AF72),$S72&lt;$AF72),"ตรวจเวลา attempt ก่อนรับ Lead; ",""))="","ครบ",IF($AE72="","ขาด Lead ID; ","")&amp;IF(AND($AE72&lt;&gt;"",COUNTIF('Leads'!$AE$8:$AE$107,$AE72)&gt;1),"Lead ID ซ้ำ; ","")&amp;IF(COUNTIF('Leads'!$A$8:$A$107,$A72)&gt;1,"Reference ซ้ำ; ","")&amp;IF(COUNTIF('Guide_Lists'!$AR$2:$AR$4,$A72)&gt;0,"Known TEST — ห้ามนับผล; ","")&amp;IF(OR($B72="",$D72=""),"ขาดชื่อ/งาน; ","")&amp;IF(AND($L72="",$M72="",$N72=""),"ขาดช่องทางติดต่อ; ","")&amp;IF(OR($Z72="",$AA72="",$F72="",$G72="",$AT72=""),"ขาดผู้ดูแล/ประเภท/สถานะ/Environment; ","")&amp;IF(NOT(ISNUMBER($AF72)),"ขาดเวลารับ Lead; ","")&amp;IF(AND($AA72="Duplicate",$AB72=""),"ขาด duplicate_of; ","")&amp;IF(AND($G72="Qualified",OR($R72="",$U72="")),"Qualified ขาดเหตุผล/วันที่; ","")&amp;IF(AND($G72="Unqualified",$R72=""),"Unqualified ขาดเหตุผล; ","")&amp;IF(AND($F72="Qualified",$G72&lt;&gt;"Qualified"),"สถานะ/ผลคัดกรองไม่ตรง; ","")&amp;IF(AND($F72="Unqualified",$G72&lt;&gt;"Unqualified"),"สถานะ/ผลคัดกรองไม่ตรง; ","")&amp;IF(AND($F72="Contacting",$S72=""),"ขาดเวลาพยายามติดต่อ; ","")&amp;IF(AND($O72="Contactable",$T72=""),"ขาดเวลาติดต่อสำเร็จ; ","")&amp;IF(AND($F72="Quotation Sent",$AV72=""),"ยังไม่มีใบราคาที่ตรวจผ่าน; ","")&amp;IF(AND($F72="Won",$AY72=0),"Won ยังไม่มี PO ที่ตรวจผ่าน; ","")&amp;IF(AND($AY72&gt;0,$F72&lt;&gt;"Won"),"มี PO แล้ว—ตรวจสถานะ; ","")&amp;IF(AND($F72="Lost",OR($W72="",$X72="")),"Lost ขาดวัน/เหตุผล; ","")&amp;IF(AND($AA72="Real",NOT(OR($F72="Won",$F72="Lost",$F72="Unqualified")),OR($H72="",$I72="")),"ขาดนัด/งานถัดไป; ","")&amp;IF(OR($AC72="",$AD72=""),"ขาดเวลา/ผู้บันทึก; ","")&amp;IF(AND(ISNUMBER($S72),ISNUMBER($AF72),$S72&lt;$AF72),"ตรวจเวลา attempt ก่อนรับ Lead; ","")))</x:f>
      </x:c>
      <x:c r="BA72" s="42" t="str">
        <x:f>IF($A72="","",IF(AND($AE72&lt;&gt;"",$AA72="Real",$AT72="production",COUNTIF('Leads'!$AE$8:$AE$107,$AE72)=1,COUNTIF('Leads'!$A$8:$A$107,$A72)=1,COUNTIF('Guide_Lists'!$AR$2:$AR$4,$A72)=0),1,0))</x:f>
      </x:c>
    </x:row>
    <x:row r="73" ht="30" customHeight="1">
      <x:c r="A73" s="94"/>
      <x:c r="B73" s="32"/>
      <x:c r="C73" s="32"/>
      <x:c r="D73" s="32"/>
      <x:c r="E73" s="92"/>
      <x:c r="F73" s="36"/>
      <x:c r="G73" s="36"/>
      <x:c r="H73" s="82"/>
      <x:c r="I73" s="36"/>
      <x:c r="J73" s="42" t="str">
        <x:f>IF($A73="","",IF(OR($AA73="Test",$AA73="Spam",$AA73="Duplicate",COUNTIF('Guide_Lists'!$AR$2:$AR$4,$A73)&gt;0),"ไม่นับผลธุรกิจ",IF($AA73&lt;&gt;"Real","ระบุประเภทข้อมูล",IF(OR($F73="Won",$F73="Lost",$F73="Unqualified"),"ปิดงานขาย",IF($H73="","ยังไม่นัด",IF(NOT(ISNUMBER($H73)),"ตรวจวันนัด",IF(INT($H73)&lt;'Guide_Lists'!$B$4,"เกินกำหนด",IF(INT($H73)='Guide_Lists'!$B$4,"ติดตามวันนี้","รอนัด"))))))))</x:f>
      </x:c>
      <x:c r="K73" s="32"/>
      <x:c r="L73" s="94"/>
      <x:c r="M73" s="94"/>
      <x:c r="N73" s="94"/>
      <x:c r="O73" s="36"/>
      <x:c r="P73" s="36"/>
      <x:c r="Q73" s="36"/>
      <x:c r="R73" s="36"/>
      <x:c r="S73" s="82"/>
      <x:c r="T73" s="82"/>
      <x:c r="U73" s="82"/>
      <x:c r="V73" s="82"/>
      <x:c r="W73" s="82"/>
      <x:c r="X73" s="36"/>
      <x:c r="Y73" s="36"/>
      <x:c r="Z73" s="36"/>
      <x:c r="AA73" s="36"/>
      <x:c r="AB73" s="96"/>
      <x:c r="AC73" s="82"/>
      <x:c r="AD73" s="36"/>
      <x:c r="AE73" s="94"/>
      <x:c r="AF73" s="86"/>
      <x:c r="AG73" s="32"/>
      <x:c r="AH73" s="32"/>
      <x:c r="AI73" s="32"/>
      <x:c r="AJ73" s="88"/>
      <x:c r="AK73" s="32"/>
      <x:c r="AL73" s="32"/>
      <x:c r="AM73" s="32"/>
      <x:c r="AN73" s="32"/>
      <x:c r="AO73" s="32"/>
      <x:c r="AP73" s="32"/>
      <x:c r="AQ73" s="94"/>
      <x:c r="AR73" s="32"/>
      <x:c r="AS73" s="32"/>
      <x:c r="AT73" s="32"/>
      <x:c r="AU73" s="86"/>
      <x:c r="AV73" s="90" t="str">
        <x:f>IF($A73="","",IF(COUNTIFS('Quotations'!$L$8:$L$107,$AE73,'Quotations'!$O$8:$O$107,1)=0,"",MINIFS('Quotations'!$E$8:$E$107,'Quotations'!$L$8:$L$107,$AE73,'Quotations'!$O$8:$O$107,1)))</x:f>
      </x:c>
      <x:c r="AW73" s="90" t="str">
        <x:f>IF($A73="","",IF(COUNTIFS('Orders_PO'!$N$8:$N$107,$AE73,'Orders_PO'!$Q$8:$Q$107,1)=0,"",MINIFS('Orders_PO'!$E$8:$E$107,'Orders_PO'!$N$8:$N$107,$AE73,'Orders_PO'!$Q$8:$Q$107,1)))</x:f>
      </x:c>
      <x:c r="AX73" s="42" t="str">
        <x:f>IF($A73="","",COUNTIFS('Quotations'!$L$8:$L$107,$AE73,'Quotations'!$O$8:$O$107,1,'Quotations'!$I$8:$I$107,"Yes"))</x:f>
      </x:c>
      <x:c r="AY73" s="42" t="str">
        <x:f>IF($A73="","",COUNTIFS('Orders_PO'!$N$8:$N$107,$AE73,'Orders_PO'!$Q$8:$Q$107,1))</x:f>
      </x:c>
      <x:c r="AZ73" s="42" t="str">
        <x:f>IF($A73="","",IF((IF($AE73="","ขาด Lead ID; ","")&amp;IF(AND($AE73&lt;&gt;"",COUNTIF('Leads'!$AE$8:$AE$107,$AE73)&gt;1),"Lead ID ซ้ำ; ","")&amp;IF(COUNTIF('Leads'!$A$8:$A$107,$A73)&gt;1,"Reference ซ้ำ; ","")&amp;IF(COUNTIF('Guide_Lists'!$AR$2:$AR$4,$A73)&gt;0,"Known TEST — ห้ามนับผล; ","")&amp;IF(OR($B73="",$D73=""),"ขาดชื่อ/งาน; ","")&amp;IF(AND($L73="",$M73="",$N73=""),"ขาดช่องทางติดต่อ; ","")&amp;IF(OR($Z73="",$AA73="",$F73="",$G73="",$AT73=""),"ขาดผู้ดูแล/ประเภท/สถานะ/Environment; ","")&amp;IF(NOT(ISNUMBER($AF73)),"ขาดเวลารับ Lead; ","")&amp;IF(AND($AA73="Duplicate",$AB73=""),"ขาด duplicate_of; ","")&amp;IF(AND($G73="Qualified",OR($R73="",$U73="")),"Qualified ขาดเหตุผล/วันที่; ","")&amp;IF(AND($G73="Unqualified",$R73=""),"Unqualified ขาดเหตุผล; ","")&amp;IF(AND($F73="Qualified",$G73&lt;&gt;"Qualified"),"สถานะ/ผลคัดกรองไม่ตรง; ","")&amp;IF(AND($F73="Unqualified",$G73&lt;&gt;"Unqualified"),"สถานะ/ผลคัดกรองไม่ตรง; ","")&amp;IF(AND($F73="Contacting",$S73=""),"ขาดเวลาพยายามติดต่อ; ","")&amp;IF(AND($O73="Contactable",$T73=""),"ขาดเวลาติดต่อสำเร็จ; ","")&amp;IF(AND($F73="Quotation Sent",$AV73=""),"ยังไม่มีใบราคาที่ตรวจผ่าน; ","")&amp;IF(AND($F73="Won",$AY73=0),"Won ยังไม่มี PO ที่ตรวจผ่าน; ","")&amp;IF(AND($AY73&gt;0,$F73&lt;&gt;"Won"),"มี PO แล้ว—ตรวจสถานะ; ","")&amp;IF(AND($F73="Lost",OR($W73="",$X73="")),"Lost ขาดวัน/เหตุผล; ","")&amp;IF(AND($AA73="Real",NOT(OR($F73="Won",$F73="Lost",$F73="Unqualified")),OR($H73="",$I73="")),"ขาดนัด/งานถัดไป; ","")&amp;IF(OR($AC73="",$AD73=""),"ขาดเวลา/ผู้บันทึก; ","")&amp;IF(AND(ISNUMBER($S73),ISNUMBER($AF73),$S73&lt;$AF73),"ตรวจเวลา attempt ก่อนรับ Lead; ",""))="","ครบ",IF($AE73="","ขาด Lead ID; ","")&amp;IF(AND($AE73&lt;&gt;"",COUNTIF('Leads'!$AE$8:$AE$107,$AE73)&gt;1),"Lead ID ซ้ำ; ","")&amp;IF(COUNTIF('Leads'!$A$8:$A$107,$A73)&gt;1,"Reference ซ้ำ; ","")&amp;IF(COUNTIF('Guide_Lists'!$AR$2:$AR$4,$A73)&gt;0,"Known TEST — ห้ามนับผล; ","")&amp;IF(OR($B73="",$D73=""),"ขาดชื่อ/งาน; ","")&amp;IF(AND($L73="",$M73="",$N73=""),"ขาดช่องทางติดต่อ; ","")&amp;IF(OR($Z73="",$AA73="",$F73="",$G73="",$AT73=""),"ขาดผู้ดูแล/ประเภท/สถานะ/Environment; ","")&amp;IF(NOT(ISNUMBER($AF73)),"ขาดเวลารับ Lead; ","")&amp;IF(AND($AA73="Duplicate",$AB73=""),"ขาด duplicate_of; ","")&amp;IF(AND($G73="Qualified",OR($R73="",$U73="")),"Qualified ขาดเหตุผล/วันที่; ","")&amp;IF(AND($G73="Unqualified",$R73=""),"Unqualified ขาดเหตุผล; ","")&amp;IF(AND($F73="Qualified",$G73&lt;&gt;"Qualified"),"สถานะ/ผลคัดกรองไม่ตรง; ","")&amp;IF(AND($F73="Unqualified",$G73&lt;&gt;"Unqualified"),"สถานะ/ผลคัดกรองไม่ตรง; ","")&amp;IF(AND($F73="Contacting",$S73=""),"ขาดเวลาพยายามติดต่อ; ","")&amp;IF(AND($O73="Contactable",$T73=""),"ขาดเวลาติดต่อสำเร็จ; ","")&amp;IF(AND($F73="Quotation Sent",$AV73=""),"ยังไม่มีใบราคาที่ตรวจผ่าน; ","")&amp;IF(AND($F73="Won",$AY73=0),"Won ยังไม่มี PO ที่ตรวจผ่าน; ","")&amp;IF(AND($AY73&gt;0,$F73&lt;&gt;"Won"),"มี PO แล้ว—ตรวจสถานะ; ","")&amp;IF(AND($F73="Lost",OR($W73="",$X73="")),"Lost ขาดวัน/เหตุผล; ","")&amp;IF(AND($AA73="Real",NOT(OR($F73="Won",$F73="Lost",$F73="Unqualified")),OR($H73="",$I73="")),"ขาดนัด/งานถัดไป; ","")&amp;IF(OR($AC73="",$AD73=""),"ขาดเวลา/ผู้บันทึก; ","")&amp;IF(AND(ISNUMBER($S73),ISNUMBER($AF73),$S73&lt;$AF73),"ตรวจเวลา attempt ก่อนรับ Lead; ","")))</x:f>
      </x:c>
      <x:c r="BA73" s="42" t="str">
        <x:f>IF($A73="","",IF(AND($AE73&lt;&gt;"",$AA73="Real",$AT73="production",COUNTIF('Leads'!$AE$8:$AE$107,$AE73)=1,COUNTIF('Leads'!$A$8:$A$107,$A73)=1,COUNTIF('Guide_Lists'!$AR$2:$AR$4,$A73)=0),1,0))</x:f>
      </x:c>
    </x:row>
    <x:row r="74" ht="30" customHeight="1">
      <x:c r="A74" s="94"/>
      <x:c r="B74" s="32"/>
      <x:c r="C74" s="32"/>
      <x:c r="D74" s="32"/>
      <x:c r="E74" s="92"/>
      <x:c r="F74" s="36"/>
      <x:c r="G74" s="36"/>
      <x:c r="H74" s="82"/>
      <x:c r="I74" s="36"/>
      <x:c r="J74" s="42" t="str">
        <x:f>IF($A74="","",IF(OR($AA74="Test",$AA74="Spam",$AA74="Duplicate",COUNTIF('Guide_Lists'!$AR$2:$AR$4,$A74)&gt;0),"ไม่นับผลธุรกิจ",IF($AA74&lt;&gt;"Real","ระบุประเภทข้อมูล",IF(OR($F74="Won",$F74="Lost",$F74="Unqualified"),"ปิดงานขาย",IF($H74="","ยังไม่นัด",IF(NOT(ISNUMBER($H74)),"ตรวจวันนัด",IF(INT($H74)&lt;'Guide_Lists'!$B$4,"เกินกำหนด",IF(INT($H74)='Guide_Lists'!$B$4,"ติดตามวันนี้","รอนัด"))))))))</x:f>
      </x:c>
      <x:c r="K74" s="32"/>
      <x:c r="L74" s="94"/>
      <x:c r="M74" s="94"/>
      <x:c r="N74" s="94"/>
      <x:c r="O74" s="36"/>
      <x:c r="P74" s="36"/>
      <x:c r="Q74" s="36"/>
      <x:c r="R74" s="36"/>
      <x:c r="S74" s="82"/>
      <x:c r="T74" s="82"/>
      <x:c r="U74" s="82"/>
      <x:c r="V74" s="82"/>
      <x:c r="W74" s="82"/>
      <x:c r="X74" s="36"/>
      <x:c r="Y74" s="36"/>
      <x:c r="Z74" s="36"/>
      <x:c r="AA74" s="36"/>
      <x:c r="AB74" s="96"/>
      <x:c r="AC74" s="82"/>
      <x:c r="AD74" s="36"/>
      <x:c r="AE74" s="94"/>
      <x:c r="AF74" s="86"/>
      <x:c r="AG74" s="32"/>
      <x:c r="AH74" s="32"/>
      <x:c r="AI74" s="32"/>
      <x:c r="AJ74" s="88"/>
      <x:c r="AK74" s="32"/>
      <x:c r="AL74" s="32"/>
      <x:c r="AM74" s="32"/>
      <x:c r="AN74" s="32"/>
      <x:c r="AO74" s="32"/>
      <x:c r="AP74" s="32"/>
      <x:c r="AQ74" s="94"/>
      <x:c r="AR74" s="32"/>
      <x:c r="AS74" s="32"/>
      <x:c r="AT74" s="32"/>
      <x:c r="AU74" s="86"/>
      <x:c r="AV74" s="90" t="str">
        <x:f>IF($A74="","",IF(COUNTIFS('Quotations'!$L$8:$L$107,$AE74,'Quotations'!$O$8:$O$107,1)=0,"",MINIFS('Quotations'!$E$8:$E$107,'Quotations'!$L$8:$L$107,$AE74,'Quotations'!$O$8:$O$107,1)))</x:f>
      </x:c>
      <x:c r="AW74" s="90" t="str">
        <x:f>IF($A74="","",IF(COUNTIFS('Orders_PO'!$N$8:$N$107,$AE74,'Orders_PO'!$Q$8:$Q$107,1)=0,"",MINIFS('Orders_PO'!$E$8:$E$107,'Orders_PO'!$N$8:$N$107,$AE74,'Orders_PO'!$Q$8:$Q$107,1)))</x:f>
      </x:c>
      <x:c r="AX74" s="42" t="str">
        <x:f>IF($A74="","",COUNTIFS('Quotations'!$L$8:$L$107,$AE74,'Quotations'!$O$8:$O$107,1,'Quotations'!$I$8:$I$107,"Yes"))</x:f>
      </x:c>
      <x:c r="AY74" s="42" t="str">
        <x:f>IF($A74="","",COUNTIFS('Orders_PO'!$N$8:$N$107,$AE74,'Orders_PO'!$Q$8:$Q$107,1))</x:f>
      </x:c>
      <x:c r="AZ74" s="42" t="str">
        <x:f>IF($A74="","",IF((IF($AE74="","ขาด Lead ID; ","")&amp;IF(AND($AE74&lt;&gt;"",COUNTIF('Leads'!$AE$8:$AE$107,$AE74)&gt;1),"Lead ID ซ้ำ; ","")&amp;IF(COUNTIF('Leads'!$A$8:$A$107,$A74)&gt;1,"Reference ซ้ำ; ","")&amp;IF(COUNTIF('Guide_Lists'!$AR$2:$AR$4,$A74)&gt;0,"Known TEST — ห้ามนับผล; ","")&amp;IF(OR($B74="",$D74=""),"ขาดชื่อ/งาน; ","")&amp;IF(AND($L74="",$M74="",$N74=""),"ขาดช่องทางติดต่อ; ","")&amp;IF(OR($Z74="",$AA74="",$F74="",$G74="",$AT74=""),"ขาดผู้ดูแล/ประเภท/สถานะ/Environment; ","")&amp;IF(NOT(ISNUMBER($AF74)),"ขาดเวลารับ Lead; ","")&amp;IF(AND($AA74="Duplicate",$AB74=""),"ขาด duplicate_of; ","")&amp;IF(AND($G74="Qualified",OR($R74="",$U74="")),"Qualified ขาดเหตุผล/วันที่; ","")&amp;IF(AND($G74="Unqualified",$R74=""),"Unqualified ขาดเหตุผล; ","")&amp;IF(AND($F74="Qualified",$G74&lt;&gt;"Qualified"),"สถานะ/ผลคัดกรองไม่ตรง; ","")&amp;IF(AND($F74="Unqualified",$G74&lt;&gt;"Unqualified"),"สถานะ/ผลคัดกรองไม่ตรง; ","")&amp;IF(AND($F74="Contacting",$S74=""),"ขาดเวลาพยายามติดต่อ; ","")&amp;IF(AND($O74="Contactable",$T74=""),"ขาดเวลาติดต่อสำเร็จ; ","")&amp;IF(AND($F74="Quotation Sent",$AV74=""),"ยังไม่มีใบราคาที่ตรวจผ่าน; ","")&amp;IF(AND($F74="Won",$AY74=0),"Won ยังไม่มี PO ที่ตรวจผ่าน; ","")&amp;IF(AND($AY74&gt;0,$F74&lt;&gt;"Won"),"มี PO แล้ว—ตรวจสถานะ; ","")&amp;IF(AND($F74="Lost",OR($W74="",$X74="")),"Lost ขาดวัน/เหตุผล; ","")&amp;IF(AND($AA74="Real",NOT(OR($F74="Won",$F74="Lost",$F74="Unqualified")),OR($H74="",$I74="")),"ขาดนัด/งานถัดไป; ","")&amp;IF(OR($AC74="",$AD74=""),"ขาดเวลา/ผู้บันทึก; ","")&amp;IF(AND(ISNUMBER($S74),ISNUMBER($AF74),$S74&lt;$AF74),"ตรวจเวลา attempt ก่อนรับ Lead; ",""))="","ครบ",IF($AE74="","ขาด Lead ID; ","")&amp;IF(AND($AE74&lt;&gt;"",COUNTIF('Leads'!$AE$8:$AE$107,$AE74)&gt;1),"Lead ID ซ้ำ; ","")&amp;IF(COUNTIF('Leads'!$A$8:$A$107,$A74)&gt;1,"Reference ซ้ำ; ","")&amp;IF(COUNTIF('Guide_Lists'!$AR$2:$AR$4,$A74)&gt;0,"Known TEST — ห้ามนับผล; ","")&amp;IF(OR($B74="",$D74=""),"ขาดชื่อ/งาน; ","")&amp;IF(AND($L74="",$M74="",$N74=""),"ขาดช่องทางติดต่อ; ","")&amp;IF(OR($Z74="",$AA74="",$F74="",$G74="",$AT74=""),"ขาดผู้ดูแล/ประเภท/สถานะ/Environment; ","")&amp;IF(NOT(ISNUMBER($AF74)),"ขาดเวลารับ Lead; ","")&amp;IF(AND($AA74="Duplicate",$AB74=""),"ขาด duplicate_of; ","")&amp;IF(AND($G74="Qualified",OR($R74="",$U74="")),"Qualified ขาดเหตุผล/วันที่; ","")&amp;IF(AND($G74="Unqualified",$R74=""),"Unqualified ขาดเหตุผล; ","")&amp;IF(AND($F74="Qualified",$G74&lt;&gt;"Qualified"),"สถานะ/ผลคัดกรองไม่ตรง; ","")&amp;IF(AND($F74="Unqualified",$G74&lt;&gt;"Unqualified"),"สถานะ/ผลคัดกรองไม่ตรง; ","")&amp;IF(AND($F74="Contacting",$S74=""),"ขาดเวลาพยายามติดต่อ; ","")&amp;IF(AND($O74="Contactable",$T74=""),"ขาดเวลาติดต่อสำเร็จ; ","")&amp;IF(AND($F74="Quotation Sent",$AV74=""),"ยังไม่มีใบราคาที่ตรวจผ่าน; ","")&amp;IF(AND($F74="Won",$AY74=0),"Won ยังไม่มี PO ที่ตรวจผ่าน; ","")&amp;IF(AND($AY74&gt;0,$F74&lt;&gt;"Won"),"มี PO แล้ว—ตรวจสถานะ; ","")&amp;IF(AND($F74="Lost",OR($W74="",$X74="")),"Lost ขาดวัน/เหตุผล; ","")&amp;IF(AND($AA74="Real",NOT(OR($F74="Won",$F74="Lost",$F74="Unqualified")),OR($H74="",$I74="")),"ขาดนัด/งานถัดไป; ","")&amp;IF(OR($AC74="",$AD74=""),"ขาดเวลา/ผู้บันทึก; ","")&amp;IF(AND(ISNUMBER($S74),ISNUMBER($AF74),$S74&lt;$AF74),"ตรวจเวลา attempt ก่อนรับ Lead; ","")))</x:f>
      </x:c>
      <x:c r="BA74" s="42" t="str">
        <x:f>IF($A74="","",IF(AND($AE74&lt;&gt;"",$AA74="Real",$AT74="production",COUNTIF('Leads'!$AE$8:$AE$107,$AE74)=1,COUNTIF('Leads'!$A$8:$A$107,$A74)=1,COUNTIF('Guide_Lists'!$AR$2:$AR$4,$A74)=0),1,0))</x:f>
      </x:c>
    </x:row>
    <x:row r="75" ht="30" customHeight="1">
      <x:c r="A75" s="94"/>
      <x:c r="B75" s="32"/>
      <x:c r="C75" s="32"/>
      <x:c r="D75" s="32"/>
      <x:c r="E75" s="92"/>
      <x:c r="F75" s="36"/>
      <x:c r="G75" s="36"/>
      <x:c r="H75" s="82"/>
      <x:c r="I75" s="36"/>
      <x:c r="J75" s="42" t="str">
        <x:f>IF($A75="","",IF(OR($AA75="Test",$AA75="Spam",$AA75="Duplicate",COUNTIF('Guide_Lists'!$AR$2:$AR$4,$A75)&gt;0),"ไม่นับผลธุรกิจ",IF($AA75&lt;&gt;"Real","ระบุประเภทข้อมูล",IF(OR($F75="Won",$F75="Lost",$F75="Unqualified"),"ปิดงานขาย",IF($H75="","ยังไม่นัด",IF(NOT(ISNUMBER($H75)),"ตรวจวันนัด",IF(INT($H75)&lt;'Guide_Lists'!$B$4,"เกินกำหนด",IF(INT($H75)='Guide_Lists'!$B$4,"ติดตามวันนี้","รอนัด"))))))))</x:f>
      </x:c>
      <x:c r="K75" s="32"/>
      <x:c r="L75" s="94"/>
      <x:c r="M75" s="94"/>
      <x:c r="N75" s="94"/>
      <x:c r="O75" s="36"/>
      <x:c r="P75" s="36"/>
      <x:c r="Q75" s="36"/>
      <x:c r="R75" s="36"/>
      <x:c r="S75" s="82"/>
      <x:c r="T75" s="82"/>
      <x:c r="U75" s="82"/>
      <x:c r="V75" s="82"/>
      <x:c r="W75" s="82"/>
      <x:c r="X75" s="36"/>
      <x:c r="Y75" s="36"/>
      <x:c r="Z75" s="36"/>
      <x:c r="AA75" s="36"/>
      <x:c r="AB75" s="96"/>
      <x:c r="AC75" s="82"/>
      <x:c r="AD75" s="36"/>
      <x:c r="AE75" s="94"/>
      <x:c r="AF75" s="86"/>
      <x:c r="AG75" s="32"/>
      <x:c r="AH75" s="32"/>
      <x:c r="AI75" s="32"/>
      <x:c r="AJ75" s="88"/>
      <x:c r="AK75" s="32"/>
      <x:c r="AL75" s="32"/>
      <x:c r="AM75" s="32"/>
      <x:c r="AN75" s="32"/>
      <x:c r="AO75" s="32"/>
      <x:c r="AP75" s="32"/>
      <x:c r="AQ75" s="94"/>
      <x:c r="AR75" s="32"/>
      <x:c r="AS75" s="32"/>
      <x:c r="AT75" s="32"/>
      <x:c r="AU75" s="86"/>
      <x:c r="AV75" s="90" t="str">
        <x:f>IF($A75="","",IF(COUNTIFS('Quotations'!$L$8:$L$107,$AE75,'Quotations'!$O$8:$O$107,1)=0,"",MINIFS('Quotations'!$E$8:$E$107,'Quotations'!$L$8:$L$107,$AE75,'Quotations'!$O$8:$O$107,1)))</x:f>
      </x:c>
      <x:c r="AW75" s="90" t="str">
        <x:f>IF($A75="","",IF(COUNTIFS('Orders_PO'!$N$8:$N$107,$AE75,'Orders_PO'!$Q$8:$Q$107,1)=0,"",MINIFS('Orders_PO'!$E$8:$E$107,'Orders_PO'!$N$8:$N$107,$AE75,'Orders_PO'!$Q$8:$Q$107,1)))</x:f>
      </x:c>
      <x:c r="AX75" s="42" t="str">
        <x:f>IF($A75="","",COUNTIFS('Quotations'!$L$8:$L$107,$AE75,'Quotations'!$O$8:$O$107,1,'Quotations'!$I$8:$I$107,"Yes"))</x:f>
      </x:c>
      <x:c r="AY75" s="42" t="str">
        <x:f>IF($A75="","",COUNTIFS('Orders_PO'!$N$8:$N$107,$AE75,'Orders_PO'!$Q$8:$Q$107,1))</x:f>
      </x:c>
      <x:c r="AZ75" s="42" t="str">
        <x:f>IF($A75="","",IF((IF($AE75="","ขาด Lead ID; ","")&amp;IF(AND($AE75&lt;&gt;"",COUNTIF('Leads'!$AE$8:$AE$107,$AE75)&gt;1),"Lead ID ซ้ำ; ","")&amp;IF(COUNTIF('Leads'!$A$8:$A$107,$A75)&gt;1,"Reference ซ้ำ; ","")&amp;IF(COUNTIF('Guide_Lists'!$AR$2:$AR$4,$A75)&gt;0,"Known TEST — ห้ามนับผล; ","")&amp;IF(OR($B75="",$D75=""),"ขาดชื่อ/งาน; ","")&amp;IF(AND($L75="",$M75="",$N75=""),"ขาดช่องทางติดต่อ; ","")&amp;IF(OR($Z75="",$AA75="",$F75="",$G75="",$AT75=""),"ขาดผู้ดูแล/ประเภท/สถานะ/Environment; ","")&amp;IF(NOT(ISNUMBER($AF75)),"ขาดเวลารับ Lead; ","")&amp;IF(AND($AA75="Duplicate",$AB75=""),"ขาด duplicate_of; ","")&amp;IF(AND($G75="Qualified",OR($R75="",$U75="")),"Qualified ขาดเหตุผล/วันที่; ","")&amp;IF(AND($G75="Unqualified",$R75=""),"Unqualified ขาดเหตุผล; ","")&amp;IF(AND($F75="Qualified",$G75&lt;&gt;"Qualified"),"สถานะ/ผลคัดกรองไม่ตรง; ","")&amp;IF(AND($F75="Unqualified",$G75&lt;&gt;"Unqualified"),"สถานะ/ผลคัดกรองไม่ตรง; ","")&amp;IF(AND($F75="Contacting",$S75=""),"ขาดเวลาพยายามติดต่อ; ","")&amp;IF(AND($O75="Contactable",$T75=""),"ขาดเวลาติดต่อสำเร็จ; ","")&amp;IF(AND($F75="Quotation Sent",$AV75=""),"ยังไม่มีใบราคาที่ตรวจผ่าน; ","")&amp;IF(AND($F75="Won",$AY75=0),"Won ยังไม่มี PO ที่ตรวจผ่าน; ","")&amp;IF(AND($AY75&gt;0,$F75&lt;&gt;"Won"),"มี PO แล้ว—ตรวจสถานะ; ","")&amp;IF(AND($F75="Lost",OR($W75="",$X75="")),"Lost ขาดวัน/เหตุผล; ","")&amp;IF(AND($AA75="Real",NOT(OR($F75="Won",$F75="Lost",$F75="Unqualified")),OR($H75="",$I75="")),"ขาดนัด/งานถัดไป; ","")&amp;IF(OR($AC75="",$AD75=""),"ขาดเวลา/ผู้บันทึก; ","")&amp;IF(AND(ISNUMBER($S75),ISNUMBER($AF75),$S75&lt;$AF75),"ตรวจเวลา attempt ก่อนรับ Lead; ",""))="","ครบ",IF($AE75="","ขาด Lead ID; ","")&amp;IF(AND($AE75&lt;&gt;"",COUNTIF('Leads'!$AE$8:$AE$107,$AE75)&gt;1),"Lead ID ซ้ำ; ","")&amp;IF(COUNTIF('Leads'!$A$8:$A$107,$A75)&gt;1,"Reference ซ้ำ; ","")&amp;IF(COUNTIF('Guide_Lists'!$AR$2:$AR$4,$A75)&gt;0,"Known TEST — ห้ามนับผล; ","")&amp;IF(OR($B75="",$D75=""),"ขาดชื่อ/งาน; ","")&amp;IF(AND($L75="",$M75="",$N75=""),"ขาดช่องทางติดต่อ; ","")&amp;IF(OR($Z75="",$AA75="",$F75="",$G75="",$AT75=""),"ขาดผู้ดูแล/ประเภท/สถานะ/Environment; ","")&amp;IF(NOT(ISNUMBER($AF75)),"ขาดเวลารับ Lead; ","")&amp;IF(AND($AA75="Duplicate",$AB75=""),"ขาด duplicate_of; ","")&amp;IF(AND($G75="Qualified",OR($R75="",$U75="")),"Qualified ขาดเหตุผล/วันที่; ","")&amp;IF(AND($G75="Unqualified",$R75=""),"Unqualified ขาดเหตุผล; ","")&amp;IF(AND($F75="Qualified",$G75&lt;&gt;"Qualified"),"สถานะ/ผลคัดกรองไม่ตรง; ","")&amp;IF(AND($F75="Unqualified",$G75&lt;&gt;"Unqualified"),"สถานะ/ผลคัดกรองไม่ตรง; ","")&amp;IF(AND($F75="Contacting",$S75=""),"ขาดเวลาพยายามติดต่อ; ","")&amp;IF(AND($O75="Contactable",$T75=""),"ขาดเวลาติดต่อสำเร็จ; ","")&amp;IF(AND($F75="Quotation Sent",$AV75=""),"ยังไม่มีใบราคาที่ตรวจผ่าน; ","")&amp;IF(AND($F75="Won",$AY75=0),"Won ยังไม่มี PO ที่ตรวจผ่าน; ","")&amp;IF(AND($AY75&gt;0,$F75&lt;&gt;"Won"),"มี PO แล้ว—ตรวจสถานะ; ","")&amp;IF(AND($F75="Lost",OR($W75="",$X75="")),"Lost ขาดวัน/เหตุผล; ","")&amp;IF(AND($AA75="Real",NOT(OR($F75="Won",$F75="Lost",$F75="Unqualified")),OR($H75="",$I75="")),"ขาดนัด/งานถัดไป; ","")&amp;IF(OR($AC75="",$AD75=""),"ขาดเวลา/ผู้บันทึก; ","")&amp;IF(AND(ISNUMBER($S75),ISNUMBER($AF75),$S75&lt;$AF75),"ตรวจเวลา attempt ก่อนรับ Lead; ","")))</x:f>
      </x:c>
      <x:c r="BA75" s="42" t="str">
        <x:f>IF($A75="","",IF(AND($AE75&lt;&gt;"",$AA75="Real",$AT75="production",COUNTIF('Leads'!$AE$8:$AE$107,$AE75)=1,COUNTIF('Leads'!$A$8:$A$107,$A75)=1,COUNTIF('Guide_Lists'!$AR$2:$AR$4,$A75)=0),1,0))</x:f>
      </x:c>
    </x:row>
    <x:row r="76" ht="30" customHeight="1">
      <x:c r="A76" s="94"/>
      <x:c r="B76" s="32"/>
      <x:c r="C76" s="32"/>
      <x:c r="D76" s="32"/>
      <x:c r="E76" s="92"/>
      <x:c r="F76" s="36"/>
      <x:c r="G76" s="36"/>
      <x:c r="H76" s="82"/>
      <x:c r="I76" s="36"/>
      <x:c r="J76" s="42" t="str">
        <x:f>IF($A76="","",IF(OR($AA76="Test",$AA76="Spam",$AA76="Duplicate",COUNTIF('Guide_Lists'!$AR$2:$AR$4,$A76)&gt;0),"ไม่นับผลธุรกิจ",IF($AA76&lt;&gt;"Real","ระบุประเภทข้อมูล",IF(OR($F76="Won",$F76="Lost",$F76="Unqualified"),"ปิดงานขาย",IF($H76="","ยังไม่นัด",IF(NOT(ISNUMBER($H76)),"ตรวจวันนัด",IF(INT($H76)&lt;'Guide_Lists'!$B$4,"เกินกำหนด",IF(INT($H76)='Guide_Lists'!$B$4,"ติดตามวันนี้","รอนัด"))))))))</x:f>
      </x:c>
      <x:c r="K76" s="32"/>
      <x:c r="L76" s="94"/>
      <x:c r="M76" s="94"/>
      <x:c r="N76" s="94"/>
      <x:c r="O76" s="36"/>
      <x:c r="P76" s="36"/>
      <x:c r="Q76" s="36"/>
      <x:c r="R76" s="36"/>
      <x:c r="S76" s="82"/>
      <x:c r="T76" s="82"/>
      <x:c r="U76" s="82"/>
      <x:c r="V76" s="82"/>
      <x:c r="W76" s="82"/>
      <x:c r="X76" s="36"/>
      <x:c r="Y76" s="36"/>
      <x:c r="Z76" s="36"/>
      <x:c r="AA76" s="36"/>
      <x:c r="AB76" s="96"/>
      <x:c r="AC76" s="82"/>
      <x:c r="AD76" s="36"/>
      <x:c r="AE76" s="94"/>
      <x:c r="AF76" s="86"/>
      <x:c r="AG76" s="32"/>
      <x:c r="AH76" s="32"/>
      <x:c r="AI76" s="32"/>
      <x:c r="AJ76" s="88"/>
      <x:c r="AK76" s="32"/>
      <x:c r="AL76" s="32"/>
      <x:c r="AM76" s="32"/>
      <x:c r="AN76" s="32"/>
      <x:c r="AO76" s="32"/>
      <x:c r="AP76" s="32"/>
      <x:c r="AQ76" s="94"/>
      <x:c r="AR76" s="32"/>
      <x:c r="AS76" s="32"/>
      <x:c r="AT76" s="32"/>
      <x:c r="AU76" s="86"/>
      <x:c r="AV76" s="90" t="str">
        <x:f>IF($A76="","",IF(COUNTIFS('Quotations'!$L$8:$L$107,$AE76,'Quotations'!$O$8:$O$107,1)=0,"",MINIFS('Quotations'!$E$8:$E$107,'Quotations'!$L$8:$L$107,$AE76,'Quotations'!$O$8:$O$107,1)))</x:f>
      </x:c>
      <x:c r="AW76" s="90" t="str">
        <x:f>IF($A76="","",IF(COUNTIFS('Orders_PO'!$N$8:$N$107,$AE76,'Orders_PO'!$Q$8:$Q$107,1)=0,"",MINIFS('Orders_PO'!$E$8:$E$107,'Orders_PO'!$N$8:$N$107,$AE76,'Orders_PO'!$Q$8:$Q$107,1)))</x:f>
      </x:c>
      <x:c r="AX76" s="42" t="str">
        <x:f>IF($A76="","",COUNTIFS('Quotations'!$L$8:$L$107,$AE76,'Quotations'!$O$8:$O$107,1,'Quotations'!$I$8:$I$107,"Yes"))</x:f>
      </x:c>
      <x:c r="AY76" s="42" t="str">
        <x:f>IF($A76="","",COUNTIFS('Orders_PO'!$N$8:$N$107,$AE76,'Orders_PO'!$Q$8:$Q$107,1))</x:f>
      </x:c>
      <x:c r="AZ76" s="42" t="str">
        <x:f>IF($A76="","",IF((IF($AE76="","ขาด Lead ID; ","")&amp;IF(AND($AE76&lt;&gt;"",COUNTIF('Leads'!$AE$8:$AE$107,$AE76)&gt;1),"Lead ID ซ้ำ; ","")&amp;IF(COUNTIF('Leads'!$A$8:$A$107,$A76)&gt;1,"Reference ซ้ำ; ","")&amp;IF(COUNTIF('Guide_Lists'!$AR$2:$AR$4,$A76)&gt;0,"Known TEST — ห้ามนับผล; ","")&amp;IF(OR($B76="",$D76=""),"ขาดชื่อ/งาน; ","")&amp;IF(AND($L76="",$M76="",$N76=""),"ขาดช่องทางติดต่อ; ","")&amp;IF(OR($Z76="",$AA76="",$F76="",$G76="",$AT76=""),"ขาดผู้ดูแล/ประเภท/สถานะ/Environment; ","")&amp;IF(NOT(ISNUMBER($AF76)),"ขาดเวลารับ Lead; ","")&amp;IF(AND($AA76="Duplicate",$AB76=""),"ขาด duplicate_of; ","")&amp;IF(AND($G76="Qualified",OR($R76="",$U76="")),"Qualified ขาดเหตุผล/วันที่; ","")&amp;IF(AND($G76="Unqualified",$R76=""),"Unqualified ขาดเหตุผล; ","")&amp;IF(AND($F76="Qualified",$G76&lt;&gt;"Qualified"),"สถานะ/ผลคัดกรองไม่ตรง; ","")&amp;IF(AND($F76="Unqualified",$G76&lt;&gt;"Unqualified"),"สถานะ/ผลคัดกรองไม่ตรง; ","")&amp;IF(AND($F76="Contacting",$S76=""),"ขาดเวลาพยายามติดต่อ; ","")&amp;IF(AND($O76="Contactable",$T76=""),"ขาดเวลาติดต่อสำเร็จ; ","")&amp;IF(AND($F76="Quotation Sent",$AV76=""),"ยังไม่มีใบราคาที่ตรวจผ่าน; ","")&amp;IF(AND($F76="Won",$AY76=0),"Won ยังไม่มี PO ที่ตรวจผ่าน; ","")&amp;IF(AND($AY76&gt;0,$F76&lt;&gt;"Won"),"มี PO แล้ว—ตรวจสถานะ; ","")&amp;IF(AND($F76="Lost",OR($W76="",$X76="")),"Lost ขาดวัน/เหตุผล; ","")&amp;IF(AND($AA76="Real",NOT(OR($F76="Won",$F76="Lost",$F76="Unqualified")),OR($H76="",$I76="")),"ขาดนัด/งานถัดไป; ","")&amp;IF(OR($AC76="",$AD76=""),"ขาดเวลา/ผู้บันทึก; ","")&amp;IF(AND(ISNUMBER($S76),ISNUMBER($AF76),$S76&lt;$AF76),"ตรวจเวลา attempt ก่อนรับ Lead; ",""))="","ครบ",IF($AE76="","ขาด Lead ID; ","")&amp;IF(AND($AE76&lt;&gt;"",COUNTIF('Leads'!$AE$8:$AE$107,$AE76)&gt;1),"Lead ID ซ้ำ; ","")&amp;IF(COUNTIF('Leads'!$A$8:$A$107,$A76)&gt;1,"Reference ซ้ำ; ","")&amp;IF(COUNTIF('Guide_Lists'!$AR$2:$AR$4,$A76)&gt;0,"Known TEST — ห้ามนับผล; ","")&amp;IF(OR($B76="",$D76=""),"ขาดชื่อ/งาน; ","")&amp;IF(AND($L76="",$M76="",$N76=""),"ขาดช่องทางติดต่อ; ","")&amp;IF(OR($Z76="",$AA76="",$F76="",$G76="",$AT76=""),"ขาดผู้ดูแล/ประเภท/สถานะ/Environment; ","")&amp;IF(NOT(ISNUMBER($AF76)),"ขาดเวลารับ Lead; ","")&amp;IF(AND($AA76="Duplicate",$AB76=""),"ขาด duplicate_of; ","")&amp;IF(AND($G76="Qualified",OR($R76="",$U76="")),"Qualified ขาดเหตุผล/วันที่; ","")&amp;IF(AND($G76="Unqualified",$R76=""),"Unqualified ขาดเหตุผล; ","")&amp;IF(AND($F76="Qualified",$G76&lt;&gt;"Qualified"),"สถานะ/ผลคัดกรองไม่ตรง; ","")&amp;IF(AND($F76="Unqualified",$G76&lt;&gt;"Unqualified"),"สถานะ/ผลคัดกรองไม่ตรง; ","")&amp;IF(AND($F76="Contacting",$S76=""),"ขาดเวลาพยายามติดต่อ; ","")&amp;IF(AND($O76="Contactable",$T76=""),"ขาดเวลาติดต่อสำเร็จ; ","")&amp;IF(AND($F76="Quotation Sent",$AV76=""),"ยังไม่มีใบราคาที่ตรวจผ่าน; ","")&amp;IF(AND($F76="Won",$AY76=0),"Won ยังไม่มี PO ที่ตรวจผ่าน; ","")&amp;IF(AND($AY76&gt;0,$F76&lt;&gt;"Won"),"มี PO แล้ว—ตรวจสถานะ; ","")&amp;IF(AND($F76="Lost",OR($W76="",$X76="")),"Lost ขาดวัน/เหตุผล; ","")&amp;IF(AND($AA76="Real",NOT(OR($F76="Won",$F76="Lost",$F76="Unqualified")),OR($H76="",$I76="")),"ขาดนัด/งานถัดไป; ","")&amp;IF(OR($AC76="",$AD76=""),"ขาดเวลา/ผู้บันทึก; ","")&amp;IF(AND(ISNUMBER($S76),ISNUMBER($AF76),$S76&lt;$AF76),"ตรวจเวลา attempt ก่อนรับ Lead; ","")))</x:f>
      </x:c>
      <x:c r="BA76" s="42" t="str">
        <x:f>IF($A76="","",IF(AND($AE76&lt;&gt;"",$AA76="Real",$AT76="production",COUNTIF('Leads'!$AE$8:$AE$107,$AE76)=1,COUNTIF('Leads'!$A$8:$A$107,$A76)=1,COUNTIF('Guide_Lists'!$AR$2:$AR$4,$A76)=0),1,0))</x:f>
      </x:c>
    </x:row>
    <x:row r="77" ht="30" customHeight="1">
      <x:c r="A77" s="94"/>
      <x:c r="B77" s="32"/>
      <x:c r="C77" s="32"/>
      <x:c r="D77" s="32"/>
      <x:c r="E77" s="92"/>
      <x:c r="F77" s="36"/>
      <x:c r="G77" s="36"/>
      <x:c r="H77" s="82"/>
      <x:c r="I77" s="36"/>
      <x:c r="J77" s="42" t="str">
        <x:f>IF($A77="","",IF(OR($AA77="Test",$AA77="Spam",$AA77="Duplicate",COUNTIF('Guide_Lists'!$AR$2:$AR$4,$A77)&gt;0),"ไม่นับผลธุรกิจ",IF($AA77&lt;&gt;"Real","ระบุประเภทข้อมูล",IF(OR($F77="Won",$F77="Lost",$F77="Unqualified"),"ปิดงานขาย",IF($H77="","ยังไม่นัด",IF(NOT(ISNUMBER($H77)),"ตรวจวันนัด",IF(INT($H77)&lt;'Guide_Lists'!$B$4,"เกินกำหนด",IF(INT($H77)='Guide_Lists'!$B$4,"ติดตามวันนี้","รอนัด"))))))))</x:f>
      </x:c>
      <x:c r="K77" s="32"/>
      <x:c r="L77" s="94"/>
      <x:c r="M77" s="94"/>
      <x:c r="N77" s="94"/>
      <x:c r="O77" s="36"/>
      <x:c r="P77" s="36"/>
      <x:c r="Q77" s="36"/>
      <x:c r="R77" s="36"/>
      <x:c r="S77" s="82"/>
      <x:c r="T77" s="82"/>
      <x:c r="U77" s="82"/>
      <x:c r="V77" s="82"/>
      <x:c r="W77" s="82"/>
      <x:c r="X77" s="36"/>
      <x:c r="Y77" s="36"/>
      <x:c r="Z77" s="36"/>
      <x:c r="AA77" s="36"/>
      <x:c r="AB77" s="96"/>
      <x:c r="AC77" s="82"/>
      <x:c r="AD77" s="36"/>
      <x:c r="AE77" s="94"/>
      <x:c r="AF77" s="86"/>
      <x:c r="AG77" s="32"/>
      <x:c r="AH77" s="32"/>
      <x:c r="AI77" s="32"/>
      <x:c r="AJ77" s="88"/>
      <x:c r="AK77" s="32"/>
      <x:c r="AL77" s="32"/>
      <x:c r="AM77" s="32"/>
      <x:c r="AN77" s="32"/>
      <x:c r="AO77" s="32"/>
      <x:c r="AP77" s="32"/>
      <x:c r="AQ77" s="94"/>
      <x:c r="AR77" s="32"/>
      <x:c r="AS77" s="32"/>
      <x:c r="AT77" s="32"/>
      <x:c r="AU77" s="86"/>
      <x:c r="AV77" s="90" t="str">
        <x:f>IF($A77="","",IF(COUNTIFS('Quotations'!$L$8:$L$107,$AE77,'Quotations'!$O$8:$O$107,1)=0,"",MINIFS('Quotations'!$E$8:$E$107,'Quotations'!$L$8:$L$107,$AE77,'Quotations'!$O$8:$O$107,1)))</x:f>
      </x:c>
      <x:c r="AW77" s="90" t="str">
        <x:f>IF($A77="","",IF(COUNTIFS('Orders_PO'!$N$8:$N$107,$AE77,'Orders_PO'!$Q$8:$Q$107,1)=0,"",MINIFS('Orders_PO'!$E$8:$E$107,'Orders_PO'!$N$8:$N$107,$AE77,'Orders_PO'!$Q$8:$Q$107,1)))</x:f>
      </x:c>
      <x:c r="AX77" s="42" t="str">
        <x:f>IF($A77="","",COUNTIFS('Quotations'!$L$8:$L$107,$AE77,'Quotations'!$O$8:$O$107,1,'Quotations'!$I$8:$I$107,"Yes"))</x:f>
      </x:c>
      <x:c r="AY77" s="42" t="str">
        <x:f>IF($A77="","",COUNTIFS('Orders_PO'!$N$8:$N$107,$AE77,'Orders_PO'!$Q$8:$Q$107,1))</x:f>
      </x:c>
      <x:c r="AZ77" s="42" t="str">
        <x:f>IF($A77="","",IF((IF($AE77="","ขาด Lead ID; ","")&amp;IF(AND($AE77&lt;&gt;"",COUNTIF('Leads'!$AE$8:$AE$107,$AE77)&gt;1),"Lead ID ซ้ำ; ","")&amp;IF(COUNTIF('Leads'!$A$8:$A$107,$A77)&gt;1,"Reference ซ้ำ; ","")&amp;IF(COUNTIF('Guide_Lists'!$AR$2:$AR$4,$A77)&gt;0,"Known TEST — ห้ามนับผล; ","")&amp;IF(OR($B77="",$D77=""),"ขาดชื่อ/งาน; ","")&amp;IF(AND($L77="",$M77="",$N77=""),"ขาดช่องทางติดต่อ; ","")&amp;IF(OR($Z77="",$AA77="",$F77="",$G77="",$AT77=""),"ขาดผู้ดูแล/ประเภท/สถานะ/Environment; ","")&amp;IF(NOT(ISNUMBER($AF77)),"ขาดเวลารับ Lead; ","")&amp;IF(AND($AA77="Duplicate",$AB77=""),"ขาด duplicate_of; ","")&amp;IF(AND($G77="Qualified",OR($R77="",$U77="")),"Qualified ขาดเหตุผล/วันที่; ","")&amp;IF(AND($G77="Unqualified",$R77=""),"Unqualified ขาดเหตุผล; ","")&amp;IF(AND($F77="Qualified",$G77&lt;&gt;"Qualified"),"สถานะ/ผลคัดกรองไม่ตรง; ","")&amp;IF(AND($F77="Unqualified",$G77&lt;&gt;"Unqualified"),"สถานะ/ผลคัดกรองไม่ตรง; ","")&amp;IF(AND($F77="Contacting",$S77=""),"ขาดเวลาพยายามติดต่อ; ","")&amp;IF(AND($O77="Contactable",$T77=""),"ขาดเวลาติดต่อสำเร็จ; ","")&amp;IF(AND($F77="Quotation Sent",$AV77=""),"ยังไม่มีใบราคาที่ตรวจผ่าน; ","")&amp;IF(AND($F77="Won",$AY77=0),"Won ยังไม่มี PO ที่ตรวจผ่าน; ","")&amp;IF(AND($AY77&gt;0,$F77&lt;&gt;"Won"),"มี PO แล้ว—ตรวจสถานะ; ","")&amp;IF(AND($F77="Lost",OR($W77="",$X77="")),"Lost ขาดวัน/เหตุผล; ","")&amp;IF(AND($AA77="Real",NOT(OR($F77="Won",$F77="Lost",$F77="Unqualified")),OR($H77="",$I77="")),"ขาดนัด/งานถัดไป; ","")&amp;IF(OR($AC77="",$AD77=""),"ขาดเวลา/ผู้บันทึก; ","")&amp;IF(AND(ISNUMBER($S77),ISNUMBER($AF77),$S77&lt;$AF77),"ตรวจเวลา attempt ก่อนรับ Lead; ",""))="","ครบ",IF($AE77="","ขาด Lead ID; ","")&amp;IF(AND($AE77&lt;&gt;"",COUNTIF('Leads'!$AE$8:$AE$107,$AE77)&gt;1),"Lead ID ซ้ำ; ","")&amp;IF(COUNTIF('Leads'!$A$8:$A$107,$A77)&gt;1,"Reference ซ้ำ; ","")&amp;IF(COUNTIF('Guide_Lists'!$AR$2:$AR$4,$A77)&gt;0,"Known TEST — ห้ามนับผล; ","")&amp;IF(OR($B77="",$D77=""),"ขาดชื่อ/งาน; ","")&amp;IF(AND($L77="",$M77="",$N77=""),"ขาดช่องทางติดต่อ; ","")&amp;IF(OR($Z77="",$AA77="",$F77="",$G77="",$AT77=""),"ขาดผู้ดูแล/ประเภท/สถานะ/Environment; ","")&amp;IF(NOT(ISNUMBER($AF77)),"ขาดเวลารับ Lead; ","")&amp;IF(AND($AA77="Duplicate",$AB77=""),"ขาด duplicate_of; ","")&amp;IF(AND($G77="Qualified",OR($R77="",$U77="")),"Qualified ขาดเหตุผล/วันที่; ","")&amp;IF(AND($G77="Unqualified",$R77=""),"Unqualified ขาดเหตุผล; ","")&amp;IF(AND($F77="Qualified",$G77&lt;&gt;"Qualified"),"สถานะ/ผลคัดกรองไม่ตรง; ","")&amp;IF(AND($F77="Unqualified",$G77&lt;&gt;"Unqualified"),"สถานะ/ผลคัดกรองไม่ตรง; ","")&amp;IF(AND($F77="Contacting",$S77=""),"ขาดเวลาพยายามติดต่อ; ","")&amp;IF(AND($O77="Contactable",$T77=""),"ขาดเวลาติดต่อสำเร็จ; ","")&amp;IF(AND($F77="Quotation Sent",$AV77=""),"ยังไม่มีใบราคาที่ตรวจผ่าน; ","")&amp;IF(AND($F77="Won",$AY77=0),"Won ยังไม่มี PO ที่ตรวจผ่าน; ","")&amp;IF(AND($AY77&gt;0,$F77&lt;&gt;"Won"),"มี PO แล้ว—ตรวจสถานะ; ","")&amp;IF(AND($F77="Lost",OR($W77="",$X77="")),"Lost ขาดวัน/เหตุผล; ","")&amp;IF(AND($AA77="Real",NOT(OR($F77="Won",$F77="Lost",$F77="Unqualified")),OR($H77="",$I77="")),"ขาดนัด/งานถัดไป; ","")&amp;IF(OR($AC77="",$AD77=""),"ขาดเวลา/ผู้บันทึก; ","")&amp;IF(AND(ISNUMBER($S77),ISNUMBER($AF77),$S77&lt;$AF77),"ตรวจเวลา attempt ก่อนรับ Lead; ","")))</x:f>
      </x:c>
      <x:c r="BA77" s="42" t="str">
        <x:f>IF($A77="","",IF(AND($AE77&lt;&gt;"",$AA77="Real",$AT77="production",COUNTIF('Leads'!$AE$8:$AE$107,$AE77)=1,COUNTIF('Leads'!$A$8:$A$107,$A77)=1,COUNTIF('Guide_Lists'!$AR$2:$AR$4,$A77)=0),1,0))</x:f>
      </x:c>
    </x:row>
    <x:row r="78" ht="30" customHeight="1">
      <x:c r="A78" s="94"/>
      <x:c r="B78" s="32"/>
      <x:c r="C78" s="32"/>
      <x:c r="D78" s="32"/>
      <x:c r="E78" s="92"/>
      <x:c r="F78" s="36"/>
      <x:c r="G78" s="36"/>
      <x:c r="H78" s="82"/>
      <x:c r="I78" s="36"/>
      <x:c r="J78" s="42" t="str">
        <x:f>IF($A78="","",IF(OR($AA78="Test",$AA78="Spam",$AA78="Duplicate",COUNTIF('Guide_Lists'!$AR$2:$AR$4,$A78)&gt;0),"ไม่นับผลธุรกิจ",IF($AA78&lt;&gt;"Real","ระบุประเภทข้อมูล",IF(OR($F78="Won",$F78="Lost",$F78="Unqualified"),"ปิดงานขาย",IF($H78="","ยังไม่นัด",IF(NOT(ISNUMBER($H78)),"ตรวจวันนัด",IF(INT($H78)&lt;'Guide_Lists'!$B$4,"เกินกำหนด",IF(INT($H78)='Guide_Lists'!$B$4,"ติดตามวันนี้","รอนัด"))))))))</x:f>
      </x:c>
      <x:c r="K78" s="32"/>
      <x:c r="L78" s="94"/>
      <x:c r="M78" s="94"/>
      <x:c r="N78" s="94"/>
      <x:c r="O78" s="36"/>
      <x:c r="P78" s="36"/>
      <x:c r="Q78" s="36"/>
      <x:c r="R78" s="36"/>
      <x:c r="S78" s="82"/>
      <x:c r="T78" s="82"/>
      <x:c r="U78" s="82"/>
      <x:c r="V78" s="82"/>
      <x:c r="W78" s="82"/>
      <x:c r="X78" s="36"/>
      <x:c r="Y78" s="36"/>
      <x:c r="Z78" s="36"/>
      <x:c r="AA78" s="36"/>
      <x:c r="AB78" s="96"/>
      <x:c r="AC78" s="82"/>
      <x:c r="AD78" s="36"/>
      <x:c r="AE78" s="94"/>
      <x:c r="AF78" s="86"/>
      <x:c r="AG78" s="32"/>
      <x:c r="AH78" s="32"/>
      <x:c r="AI78" s="32"/>
      <x:c r="AJ78" s="88"/>
      <x:c r="AK78" s="32"/>
      <x:c r="AL78" s="32"/>
      <x:c r="AM78" s="32"/>
      <x:c r="AN78" s="32"/>
      <x:c r="AO78" s="32"/>
      <x:c r="AP78" s="32"/>
      <x:c r="AQ78" s="94"/>
      <x:c r="AR78" s="32"/>
      <x:c r="AS78" s="32"/>
      <x:c r="AT78" s="32"/>
      <x:c r="AU78" s="86"/>
      <x:c r="AV78" s="90" t="str">
        <x:f>IF($A78="","",IF(COUNTIFS('Quotations'!$L$8:$L$107,$AE78,'Quotations'!$O$8:$O$107,1)=0,"",MINIFS('Quotations'!$E$8:$E$107,'Quotations'!$L$8:$L$107,$AE78,'Quotations'!$O$8:$O$107,1)))</x:f>
      </x:c>
      <x:c r="AW78" s="90" t="str">
        <x:f>IF($A78="","",IF(COUNTIFS('Orders_PO'!$N$8:$N$107,$AE78,'Orders_PO'!$Q$8:$Q$107,1)=0,"",MINIFS('Orders_PO'!$E$8:$E$107,'Orders_PO'!$N$8:$N$107,$AE78,'Orders_PO'!$Q$8:$Q$107,1)))</x:f>
      </x:c>
      <x:c r="AX78" s="42" t="str">
        <x:f>IF($A78="","",COUNTIFS('Quotations'!$L$8:$L$107,$AE78,'Quotations'!$O$8:$O$107,1,'Quotations'!$I$8:$I$107,"Yes"))</x:f>
      </x:c>
      <x:c r="AY78" s="42" t="str">
        <x:f>IF($A78="","",COUNTIFS('Orders_PO'!$N$8:$N$107,$AE78,'Orders_PO'!$Q$8:$Q$107,1))</x:f>
      </x:c>
      <x:c r="AZ78" s="42" t="str">
        <x:f>IF($A78="","",IF((IF($AE78="","ขาด Lead ID; ","")&amp;IF(AND($AE78&lt;&gt;"",COUNTIF('Leads'!$AE$8:$AE$107,$AE78)&gt;1),"Lead ID ซ้ำ; ","")&amp;IF(COUNTIF('Leads'!$A$8:$A$107,$A78)&gt;1,"Reference ซ้ำ; ","")&amp;IF(COUNTIF('Guide_Lists'!$AR$2:$AR$4,$A78)&gt;0,"Known TEST — ห้ามนับผล; ","")&amp;IF(OR($B78="",$D78=""),"ขาดชื่อ/งาน; ","")&amp;IF(AND($L78="",$M78="",$N78=""),"ขาดช่องทางติดต่อ; ","")&amp;IF(OR($Z78="",$AA78="",$F78="",$G78="",$AT78=""),"ขาดผู้ดูแล/ประเภท/สถานะ/Environment; ","")&amp;IF(NOT(ISNUMBER($AF78)),"ขาดเวลารับ Lead; ","")&amp;IF(AND($AA78="Duplicate",$AB78=""),"ขาด duplicate_of; ","")&amp;IF(AND($G78="Qualified",OR($R78="",$U78="")),"Qualified ขาดเหตุผล/วันที่; ","")&amp;IF(AND($G78="Unqualified",$R78=""),"Unqualified ขาดเหตุผล; ","")&amp;IF(AND($F78="Qualified",$G78&lt;&gt;"Qualified"),"สถานะ/ผลคัดกรองไม่ตรง; ","")&amp;IF(AND($F78="Unqualified",$G78&lt;&gt;"Unqualified"),"สถานะ/ผลคัดกรองไม่ตรง; ","")&amp;IF(AND($F78="Contacting",$S78=""),"ขาดเวลาพยายามติดต่อ; ","")&amp;IF(AND($O78="Contactable",$T78=""),"ขาดเวลาติดต่อสำเร็จ; ","")&amp;IF(AND($F78="Quotation Sent",$AV78=""),"ยังไม่มีใบราคาที่ตรวจผ่าน; ","")&amp;IF(AND($F78="Won",$AY78=0),"Won ยังไม่มี PO ที่ตรวจผ่าน; ","")&amp;IF(AND($AY78&gt;0,$F78&lt;&gt;"Won"),"มี PO แล้ว—ตรวจสถานะ; ","")&amp;IF(AND($F78="Lost",OR($W78="",$X78="")),"Lost ขาดวัน/เหตุผล; ","")&amp;IF(AND($AA78="Real",NOT(OR($F78="Won",$F78="Lost",$F78="Unqualified")),OR($H78="",$I78="")),"ขาดนัด/งานถัดไป; ","")&amp;IF(OR($AC78="",$AD78=""),"ขาดเวลา/ผู้บันทึก; ","")&amp;IF(AND(ISNUMBER($S78),ISNUMBER($AF78),$S78&lt;$AF78),"ตรวจเวลา attempt ก่อนรับ Lead; ",""))="","ครบ",IF($AE78="","ขาด Lead ID; ","")&amp;IF(AND($AE78&lt;&gt;"",COUNTIF('Leads'!$AE$8:$AE$107,$AE78)&gt;1),"Lead ID ซ้ำ; ","")&amp;IF(COUNTIF('Leads'!$A$8:$A$107,$A78)&gt;1,"Reference ซ้ำ; ","")&amp;IF(COUNTIF('Guide_Lists'!$AR$2:$AR$4,$A78)&gt;0,"Known TEST — ห้ามนับผล; ","")&amp;IF(OR($B78="",$D78=""),"ขาดชื่อ/งาน; ","")&amp;IF(AND($L78="",$M78="",$N78=""),"ขาดช่องทางติดต่อ; ","")&amp;IF(OR($Z78="",$AA78="",$F78="",$G78="",$AT78=""),"ขาดผู้ดูแล/ประเภท/สถานะ/Environment; ","")&amp;IF(NOT(ISNUMBER($AF78)),"ขาดเวลารับ Lead; ","")&amp;IF(AND($AA78="Duplicate",$AB78=""),"ขาด duplicate_of; ","")&amp;IF(AND($G78="Qualified",OR($R78="",$U78="")),"Qualified ขาดเหตุผล/วันที่; ","")&amp;IF(AND($G78="Unqualified",$R78=""),"Unqualified ขาดเหตุผล; ","")&amp;IF(AND($F78="Qualified",$G78&lt;&gt;"Qualified"),"สถานะ/ผลคัดกรองไม่ตรง; ","")&amp;IF(AND($F78="Unqualified",$G78&lt;&gt;"Unqualified"),"สถานะ/ผลคัดกรองไม่ตรง; ","")&amp;IF(AND($F78="Contacting",$S78=""),"ขาดเวลาพยายามติดต่อ; ","")&amp;IF(AND($O78="Contactable",$T78=""),"ขาดเวลาติดต่อสำเร็จ; ","")&amp;IF(AND($F78="Quotation Sent",$AV78=""),"ยังไม่มีใบราคาที่ตรวจผ่าน; ","")&amp;IF(AND($F78="Won",$AY78=0),"Won ยังไม่มี PO ที่ตรวจผ่าน; ","")&amp;IF(AND($AY78&gt;0,$F78&lt;&gt;"Won"),"มี PO แล้ว—ตรวจสถานะ; ","")&amp;IF(AND($F78="Lost",OR($W78="",$X78="")),"Lost ขาดวัน/เหตุผล; ","")&amp;IF(AND($AA78="Real",NOT(OR($F78="Won",$F78="Lost",$F78="Unqualified")),OR($H78="",$I78="")),"ขาดนัด/งานถัดไป; ","")&amp;IF(OR($AC78="",$AD78=""),"ขาดเวลา/ผู้บันทึก; ","")&amp;IF(AND(ISNUMBER($S78),ISNUMBER($AF78),$S78&lt;$AF78),"ตรวจเวลา attempt ก่อนรับ Lead; ","")))</x:f>
      </x:c>
      <x:c r="BA78" s="42" t="str">
        <x:f>IF($A78="","",IF(AND($AE78&lt;&gt;"",$AA78="Real",$AT78="production",COUNTIF('Leads'!$AE$8:$AE$107,$AE78)=1,COUNTIF('Leads'!$A$8:$A$107,$A78)=1,COUNTIF('Guide_Lists'!$AR$2:$AR$4,$A78)=0),1,0))</x:f>
      </x:c>
    </x:row>
    <x:row r="79" ht="30" customHeight="1">
      <x:c r="A79" s="94"/>
      <x:c r="B79" s="32"/>
      <x:c r="C79" s="32"/>
      <x:c r="D79" s="32"/>
      <x:c r="E79" s="92"/>
      <x:c r="F79" s="36"/>
      <x:c r="G79" s="36"/>
      <x:c r="H79" s="82"/>
      <x:c r="I79" s="36"/>
      <x:c r="J79" s="42" t="str">
        <x:f>IF($A79="","",IF(OR($AA79="Test",$AA79="Spam",$AA79="Duplicate",COUNTIF('Guide_Lists'!$AR$2:$AR$4,$A79)&gt;0),"ไม่นับผลธุรกิจ",IF($AA79&lt;&gt;"Real","ระบุประเภทข้อมูล",IF(OR($F79="Won",$F79="Lost",$F79="Unqualified"),"ปิดงานขาย",IF($H79="","ยังไม่นัด",IF(NOT(ISNUMBER($H79)),"ตรวจวันนัด",IF(INT($H79)&lt;'Guide_Lists'!$B$4,"เกินกำหนด",IF(INT($H79)='Guide_Lists'!$B$4,"ติดตามวันนี้","รอนัด"))))))))</x:f>
      </x:c>
      <x:c r="K79" s="32"/>
      <x:c r="L79" s="94"/>
      <x:c r="M79" s="94"/>
      <x:c r="N79" s="94"/>
      <x:c r="O79" s="36"/>
      <x:c r="P79" s="36"/>
      <x:c r="Q79" s="36"/>
      <x:c r="R79" s="36"/>
      <x:c r="S79" s="82"/>
      <x:c r="T79" s="82"/>
      <x:c r="U79" s="82"/>
      <x:c r="V79" s="82"/>
      <x:c r="W79" s="82"/>
      <x:c r="X79" s="36"/>
      <x:c r="Y79" s="36"/>
      <x:c r="Z79" s="36"/>
      <x:c r="AA79" s="36"/>
      <x:c r="AB79" s="96"/>
      <x:c r="AC79" s="82"/>
      <x:c r="AD79" s="36"/>
      <x:c r="AE79" s="94"/>
      <x:c r="AF79" s="86"/>
      <x:c r="AG79" s="32"/>
      <x:c r="AH79" s="32"/>
      <x:c r="AI79" s="32"/>
      <x:c r="AJ79" s="88"/>
      <x:c r="AK79" s="32"/>
      <x:c r="AL79" s="32"/>
      <x:c r="AM79" s="32"/>
      <x:c r="AN79" s="32"/>
      <x:c r="AO79" s="32"/>
      <x:c r="AP79" s="32"/>
      <x:c r="AQ79" s="94"/>
      <x:c r="AR79" s="32"/>
      <x:c r="AS79" s="32"/>
      <x:c r="AT79" s="32"/>
      <x:c r="AU79" s="86"/>
      <x:c r="AV79" s="90" t="str">
        <x:f>IF($A79="","",IF(COUNTIFS('Quotations'!$L$8:$L$107,$AE79,'Quotations'!$O$8:$O$107,1)=0,"",MINIFS('Quotations'!$E$8:$E$107,'Quotations'!$L$8:$L$107,$AE79,'Quotations'!$O$8:$O$107,1)))</x:f>
      </x:c>
      <x:c r="AW79" s="90" t="str">
        <x:f>IF($A79="","",IF(COUNTIFS('Orders_PO'!$N$8:$N$107,$AE79,'Orders_PO'!$Q$8:$Q$107,1)=0,"",MINIFS('Orders_PO'!$E$8:$E$107,'Orders_PO'!$N$8:$N$107,$AE79,'Orders_PO'!$Q$8:$Q$107,1)))</x:f>
      </x:c>
      <x:c r="AX79" s="42" t="str">
        <x:f>IF($A79="","",COUNTIFS('Quotations'!$L$8:$L$107,$AE79,'Quotations'!$O$8:$O$107,1,'Quotations'!$I$8:$I$107,"Yes"))</x:f>
      </x:c>
      <x:c r="AY79" s="42" t="str">
        <x:f>IF($A79="","",COUNTIFS('Orders_PO'!$N$8:$N$107,$AE79,'Orders_PO'!$Q$8:$Q$107,1))</x:f>
      </x:c>
      <x:c r="AZ79" s="42" t="str">
        <x:f>IF($A79="","",IF((IF($AE79="","ขาด Lead ID; ","")&amp;IF(AND($AE79&lt;&gt;"",COUNTIF('Leads'!$AE$8:$AE$107,$AE79)&gt;1),"Lead ID ซ้ำ; ","")&amp;IF(COUNTIF('Leads'!$A$8:$A$107,$A79)&gt;1,"Reference ซ้ำ; ","")&amp;IF(COUNTIF('Guide_Lists'!$AR$2:$AR$4,$A79)&gt;0,"Known TEST — ห้ามนับผล; ","")&amp;IF(OR($B79="",$D79=""),"ขาดชื่อ/งาน; ","")&amp;IF(AND($L79="",$M79="",$N79=""),"ขาดช่องทางติดต่อ; ","")&amp;IF(OR($Z79="",$AA79="",$F79="",$G79="",$AT79=""),"ขาดผู้ดูแล/ประเภท/สถานะ/Environment; ","")&amp;IF(NOT(ISNUMBER($AF79)),"ขาดเวลารับ Lead; ","")&amp;IF(AND($AA79="Duplicate",$AB79=""),"ขาด duplicate_of; ","")&amp;IF(AND($G79="Qualified",OR($R79="",$U79="")),"Qualified ขาดเหตุผล/วันที่; ","")&amp;IF(AND($G79="Unqualified",$R79=""),"Unqualified ขาดเหตุผล; ","")&amp;IF(AND($F79="Qualified",$G79&lt;&gt;"Qualified"),"สถานะ/ผลคัดกรองไม่ตรง; ","")&amp;IF(AND($F79="Unqualified",$G79&lt;&gt;"Unqualified"),"สถานะ/ผลคัดกรองไม่ตรง; ","")&amp;IF(AND($F79="Contacting",$S79=""),"ขาดเวลาพยายามติดต่อ; ","")&amp;IF(AND($O79="Contactable",$T79=""),"ขาดเวลาติดต่อสำเร็จ; ","")&amp;IF(AND($F79="Quotation Sent",$AV79=""),"ยังไม่มีใบราคาที่ตรวจผ่าน; ","")&amp;IF(AND($F79="Won",$AY79=0),"Won ยังไม่มี PO ที่ตรวจผ่าน; ","")&amp;IF(AND($AY79&gt;0,$F79&lt;&gt;"Won"),"มี PO แล้ว—ตรวจสถานะ; ","")&amp;IF(AND($F79="Lost",OR($W79="",$X79="")),"Lost ขาดวัน/เหตุผล; ","")&amp;IF(AND($AA79="Real",NOT(OR($F79="Won",$F79="Lost",$F79="Unqualified")),OR($H79="",$I79="")),"ขาดนัด/งานถัดไป; ","")&amp;IF(OR($AC79="",$AD79=""),"ขาดเวลา/ผู้บันทึก; ","")&amp;IF(AND(ISNUMBER($S79),ISNUMBER($AF79),$S79&lt;$AF79),"ตรวจเวลา attempt ก่อนรับ Lead; ",""))="","ครบ",IF($AE79="","ขาด Lead ID; ","")&amp;IF(AND($AE79&lt;&gt;"",COUNTIF('Leads'!$AE$8:$AE$107,$AE79)&gt;1),"Lead ID ซ้ำ; ","")&amp;IF(COUNTIF('Leads'!$A$8:$A$107,$A79)&gt;1,"Reference ซ้ำ; ","")&amp;IF(COUNTIF('Guide_Lists'!$AR$2:$AR$4,$A79)&gt;0,"Known TEST — ห้ามนับผล; ","")&amp;IF(OR($B79="",$D79=""),"ขาดชื่อ/งาน; ","")&amp;IF(AND($L79="",$M79="",$N79=""),"ขาดช่องทางติดต่อ; ","")&amp;IF(OR($Z79="",$AA79="",$F79="",$G79="",$AT79=""),"ขาดผู้ดูแล/ประเภท/สถานะ/Environment; ","")&amp;IF(NOT(ISNUMBER($AF79)),"ขาดเวลารับ Lead; ","")&amp;IF(AND($AA79="Duplicate",$AB79=""),"ขาด duplicate_of; ","")&amp;IF(AND($G79="Qualified",OR($R79="",$U79="")),"Qualified ขาดเหตุผล/วันที่; ","")&amp;IF(AND($G79="Unqualified",$R79=""),"Unqualified ขาดเหตุผล; ","")&amp;IF(AND($F79="Qualified",$G79&lt;&gt;"Qualified"),"สถานะ/ผลคัดกรองไม่ตรง; ","")&amp;IF(AND($F79="Unqualified",$G79&lt;&gt;"Unqualified"),"สถานะ/ผลคัดกรองไม่ตรง; ","")&amp;IF(AND($F79="Contacting",$S79=""),"ขาดเวลาพยายามติดต่อ; ","")&amp;IF(AND($O79="Contactable",$T79=""),"ขาดเวลาติดต่อสำเร็จ; ","")&amp;IF(AND($F79="Quotation Sent",$AV79=""),"ยังไม่มีใบราคาที่ตรวจผ่าน; ","")&amp;IF(AND($F79="Won",$AY79=0),"Won ยังไม่มี PO ที่ตรวจผ่าน; ","")&amp;IF(AND($AY79&gt;0,$F79&lt;&gt;"Won"),"มี PO แล้ว—ตรวจสถานะ; ","")&amp;IF(AND($F79="Lost",OR($W79="",$X79="")),"Lost ขาดวัน/เหตุผล; ","")&amp;IF(AND($AA79="Real",NOT(OR($F79="Won",$F79="Lost",$F79="Unqualified")),OR($H79="",$I79="")),"ขาดนัด/งานถัดไป; ","")&amp;IF(OR($AC79="",$AD79=""),"ขาดเวลา/ผู้บันทึก; ","")&amp;IF(AND(ISNUMBER($S79),ISNUMBER($AF79),$S79&lt;$AF79),"ตรวจเวลา attempt ก่อนรับ Lead; ","")))</x:f>
      </x:c>
      <x:c r="BA79" s="42" t="str">
        <x:f>IF($A79="","",IF(AND($AE79&lt;&gt;"",$AA79="Real",$AT79="production",COUNTIF('Leads'!$AE$8:$AE$107,$AE79)=1,COUNTIF('Leads'!$A$8:$A$107,$A79)=1,COUNTIF('Guide_Lists'!$AR$2:$AR$4,$A79)=0),1,0))</x:f>
      </x:c>
    </x:row>
    <x:row r="80" ht="30" customHeight="1">
      <x:c r="A80" s="94"/>
      <x:c r="B80" s="32"/>
      <x:c r="C80" s="32"/>
      <x:c r="D80" s="32"/>
      <x:c r="E80" s="92"/>
      <x:c r="F80" s="36"/>
      <x:c r="G80" s="36"/>
      <x:c r="H80" s="82"/>
      <x:c r="I80" s="36"/>
      <x:c r="J80" s="42" t="str">
        <x:f>IF($A80="","",IF(OR($AA80="Test",$AA80="Spam",$AA80="Duplicate",COUNTIF('Guide_Lists'!$AR$2:$AR$4,$A80)&gt;0),"ไม่นับผลธุรกิจ",IF($AA80&lt;&gt;"Real","ระบุประเภทข้อมูล",IF(OR($F80="Won",$F80="Lost",$F80="Unqualified"),"ปิดงานขาย",IF($H80="","ยังไม่นัด",IF(NOT(ISNUMBER($H80)),"ตรวจวันนัด",IF(INT($H80)&lt;'Guide_Lists'!$B$4,"เกินกำหนด",IF(INT($H80)='Guide_Lists'!$B$4,"ติดตามวันนี้","รอนัด"))))))))</x:f>
      </x:c>
      <x:c r="K80" s="32"/>
      <x:c r="L80" s="94"/>
      <x:c r="M80" s="94"/>
      <x:c r="N80" s="94"/>
      <x:c r="O80" s="36"/>
      <x:c r="P80" s="36"/>
      <x:c r="Q80" s="36"/>
      <x:c r="R80" s="36"/>
      <x:c r="S80" s="82"/>
      <x:c r="T80" s="82"/>
      <x:c r="U80" s="82"/>
      <x:c r="V80" s="82"/>
      <x:c r="W80" s="82"/>
      <x:c r="X80" s="36"/>
      <x:c r="Y80" s="36"/>
      <x:c r="Z80" s="36"/>
      <x:c r="AA80" s="36"/>
      <x:c r="AB80" s="96"/>
      <x:c r="AC80" s="82"/>
      <x:c r="AD80" s="36"/>
      <x:c r="AE80" s="94"/>
      <x:c r="AF80" s="86"/>
      <x:c r="AG80" s="32"/>
      <x:c r="AH80" s="32"/>
      <x:c r="AI80" s="32"/>
      <x:c r="AJ80" s="88"/>
      <x:c r="AK80" s="32"/>
      <x:c r="AL80" s="32"/>
      <x:c r="AM80" s="32"/>
      <x:c r="AN80" s="32"/>
      <x:c r="AO80" s="32"/>
      <x:c r="AP80" s="32"/>
      <x:c r="AQ80" s="94"/>
      <x:c r="AR80" s="32"/>
      <x:c r="AS80" s="32"/>
      <x:c r="AT80" s="32"/>
      <x:c r="AU80" s="86"/>
      <x:c r="AV80" s="90" t="str">
        <x:f>IF($A80="","",IF(COUNTIFS('Quotations'!$L$8:$L$107,$AE80,'Quotations'!$O$8:$O$107,1)=0,"",MINIFS('Quotations'!$E$8:$E$107,'Quotations'!$L$8:$L$107,$AE80,'Quotations'!$O$8:$O$107,1)))</x:f>
      </x:c>
      <x:c r="AW80" s="90" t="str">
        <x:f>IF($A80="","",IF(COUNTIFS('Orders_PO'!$N$8:$N$107,$AE80,'Orders_PO'!$Q$8:$Q$107,1)=0,"",MINIFS('Orders_PO'!$E$8:$E$107,'Orders_PO'!$N$8:$N$107,$AE80,'Orders_PO'!$Q$8:$Q$107,1)))</x:f>
      </x:c>
      <x:c r="AX80" s="42" t="str">
        <x:f>IF($A80="","",COUNTIFS('Quotations'!$L$8:$L$107,$AE80,'Quotations'!$O$8:$O$107,1,'Quotations'!$I$8:$I$107,"Yes"))</x:f>
      </x:c>
      <x:c r="AY80" s="42" t="str">
        <x:f>IF($A80="","",COUNTIFS('Orders_PO'!$N$8:$N$107,$AE80,'Orders_PO'!$Q$8:$Q$107,1))</x:f>
      </x:c>
      <x:c r="AZ80" s="42" t="str">
        <x:f>IF($A80="","",IF((IF($AE80="","ขาด Lead ID; ","")&amp;IF(AND($AE80&lt;&gt;"",COUNTIF('Leads'!$AE$8:$AE$107,$AE80)&gt;1),"Lead ID ซ้ำ; ","")&amp;IF(COUNTIF('Leads'!$A$8:$A$107,$A80)&gt;1,"Reference ซ้ำ; ","")&amp;IF(COUNTIF('Guide_Lists'!$AR$2:$AR$4,$A80)&gt;0,"Known TEST — ห้ามนับผล; ","")&amp;IF(OR($B80="",$D80=""),"ขาดชื่อ/งาน; ","")&amp;IF(AND($L80="",$M80="",$N80=""),"ขาดช่องทางติดต่อ; ","")&amp;IF(OR($Z80="",$AA80="",$F80="",$G80="",$AT80=""),"ขาดผู้ดูแล/ประเภท/สถานะ/Environment; ","")&amp;IF(NOT(ISNUMBER($AF80)),"ขาดเวลารับ Lead; ","")&amp;IF(AND($AA80="Duplicate",$AB80=""),"ขาด duplicate_of; ","")&amp;IF(AND($G80="Qualified",OR($R80="",$U80="")),"Qualified ขาดเหตุผล/วันที่; ","")&amp;IF(AND($G80="Unqualified",$R80=""),"Unqualified ขาดเหตุผล; ","")&amp;IF(AND($F80="Qualified",$G80&lt;&gt;"Qualified"),"สถานะ/ผลคัดกรองไม่ตรง; ","")&amp;IF(AND($F80="Unqualified",$G80&lt;&gt;"Unqualified"),"สถานะ/ผลคัดกรองไม่ตรง; ","")&amp;IF(AND($F80="Contacting",$S80=""),"ขาดเวลาพยายามติดต่อ; ","")&amp;IF(AND($O80="Contactable",$T80=""),"ขาดเวลาติดต่อสำเร็จ; ","")&amp;IF(AND($F80="Quotation Sent",$AV80=""),"ยังไม่มีใบราคาที่ตรวจผ่าน; ","")&amp;IF(AND($F80="Won",$AY80=0),"Won ยังไม่มี PO ที่ตรวจผ่าน; ","")&amp;IF(AND($AY80&gt;0,$F80&lt;&gt;"Won"),"มี PO แล้ว—ตรวจสถานะ; ","")&amp;IF(AND($F80="Lost",OR($W80="",$X80="")),"Lost ขาดวัน/เหตุผล; ","")&amp;IF(AND($AA80="Real",NOT(OR($F80="Won",$F80="Lost",$F80="Unqualified")),OR($H80="",$I80="")),"ขาดนัด/งานถัดไป; ","")&amp;IF(OR($AC80="",$AD80=""),"ขาดเวลา/ผู้บันทึก; ","")&amp;IF(AND(ISNUMBER($S80),ISNUMBER($AF80),$S80&lt;$AF80),"ตรวจเวลา attempt ก่อนรับ Lead; ",""))="","ครบ",IF($AE80="","ขาด Lead ID; ","")&amp;IF(AND($AE80&lt;&gt;"",COUNTIF('Leads'!$AE$8:$AE$107,$AE80)&gt;1),"Lead ID ซ้ำ; ","")&amp;IF(COUNTIF('Leads'!$A$8:$A$107,$A80)&gt;1,"Reference ซ้ำ; ","")&amp;IF(COUNTIF('Guide_Lists'!$AR$2:$AR$4,$A80)&gt;0,"Known TEST — ห้ามนับผล; ","")&amp;IF(OR($B80="",$D80=""),"ขาดชื่อ/งาน; ","")&amp;IF(AND($L80="",$M80="",$N80=""),"ขาดช่องทางติดต่อ; ","")&amp;IF(OR($Z80="",$AA80="",$F80="",$G80="",$AT80=""),"ขาดผู้ดูแล/ประเภท/สถานะ/Environment; ","")&amp;IF(NOT(ISNUMBER($AF80)),"ขาดเวลารับ Lead; ","")&amp;IF(AND($AA80="Duplicate",$AB80=""),"ขาด duplicate_of; ","")&amp;IF(AND($G80="Qualified",OR($R80="",$U80="")),"Qualified ขาดเหตุผล/วันที่; ","")&amp;IF(AND($G80="Unqualified",$R80=""),"Unqualified ขาดเหตุผล; ","")&amp;IF(AND($F80="Qualified",$G80&lt;&gt;"Qualified"),"สถานะ/ผลคัดกรองไม่ตรง; ","")&amp;IF(AND($F80="Unqualified",$G80&lt;&gt;"Unqualified"),"สถานะ/ผลคัดกรองไม่ตรง; ","")&amp;IF(AND($F80="Contacting",$S80=""),"ขาดเวลาพยายามติดต่อ; ","")&amp;IF(AND($O80="Contactable",$T80=""),"ขาดเวลาติดต่อสำเร็จ; ","")&amp;IF(AND($F80="Quotation Sent",$AV80=""),"ยังไม่มีใบราคาที่ตรวจผ่าน; ","")&amp;IF(AND($F80="Won",$AY80=0),"Won ยังไม่มี PO ที่ตรวจผ่าน; ","")&amp;IF(AND($AY80&gt;0,$F80&lt;&gt;"Won"),"มี PO แล้ว—ตรวจสถานะ; ","")&amp;IF(AND($F80="Lost",OR($W80="",$X80="")),"Lost ขาดวัน/เหตุผล; ","")&amp;IF(AND($AA80="Real",NOT(OR($F80="Won",$F80="Lost",$F80="Unqualified")),OR($H80="",$I80="")),"ขาดนัด/งานถัดไป; ","")&amp;IF(OR($AC80="",$AD80=""),"ขาดเวลา/ผู้บันทึก; ","")&amp;IF(AND(ISNUMBER($S80),ISNUMBER($AF80),$S80&lt;$AF80),"ตรวจเวลา attempt ก่อนรับ Lead; ","")))</x:f>
      </x:c>
      <x:c r="BA80" s="42" t="str">
        <x:f>IF($A80="","",IF(AND($AE80&lt;&gt;"",$AA80="Real",$AT80="production",COUNTIF('Leads'!$AE$8:$AE$107,$AE80)=1,COUNTIF('Leads'!$A$8:$A$107,$A80)=1,COUNTIF('Guide_Lists'!$AR$2:$AR$4,$A80)=0),1,0))</x:f>
      </x:c>
    </x:row>
    <x:row r="81" ht="30" customHeight="1">
      <x:c r="A81" s="94"/>
      <x:c r="B81" s="32"/>
      <x:c r="C81" s="32"/>
      <x:c r="D81" s="32"/>
      <x:c r="E81" s="92"/>
      <x:c r="F81" s="36"/>
      <x:c r="G81" s="36"/>
      <x:c r="H81" s="82"/>
      <x:c r="I81" s="36"/>
      <x:c r="J81" s="42" t="str">
        <x:f>IF($A81="","",IF(OR($AA81="Test",$AA81="Spam",$AA81="Duplicate",COUNTIF('Guide_Lists'!$AR$2:$AR$4,$A81)&gt;0),"ไม่นับผลธุรกิจ",IF($AA81&lt;&gt;"Real","ระบุประเภทข้อมูล",IF(OR($F81="Won",$F81="Lost",$F81="Unqualified"),"ปิดงานขาย",IF($H81="","ยังไม่นัด",IF(NOT(ISNUMBER($H81)),"ตรวจวันนัด",IF(INT($H81)&lt;'Guide_Lists'!$B$4,"เกินกำหนด",IF(INT($H81)='Guide_Lists'!$B$4,"ติดตามวันนี้","รอนัด"))))))))</x:f>
      </x:c>
      <x:c r="K81" s="32"/>
      <x:c r="L81" s="94"/>
      <x:c r="M81" s="94"/>
      <x:c r="N81" s="94"/>
      <x:c r="O81" s="36"/>
      <x:c r="P81" s="36"/>
      <x:c r="Q81" s="36"/>
      <x:c r="R81" s="36"/>
      <x:c r="S81" s="82"/>
      <x:c r="T81" s="82"/>
      <x:c r="U81" s="82"/>
      <x:c r="V81" s="82"/>
      <x:c r="W81" s="82"/>
      <x:c r="X81" s="36"/>
      <x:c r="Y81" s="36"/>
      <x:c r="Z81" s="36"/>
      <x:c r="AA81" s="36"/>
      <x:c r="AB81" s="96"/>
      <x:c r="AC81" s="82"/>
      <x:c r="AD81" s="36"/>
      <x:c r="AE81" s="94"/>
      <x:c r="AF81" s="86"/>
      <x:c r="AG81" s="32"/>
      <x:c r="AH81" s="32"/>
      <x:c r="AI81" s="32"/>
      <x:c r="AJ81" s="88"/>
      <x:c r="AK81" s="32"/>
      <x:c r="AL81" s="32"/>
      <x:c r="AM81" s="32"/>
      <x:c r="AN81" s="32"/>
      <x:c r="AO81" s="32"/>
      <x:c r="AP81" s="32"/>
      <x:c r="AQ81" s="94"/>
      <x:c r="AR81" s="32"/>
      <x:c r="AS81" s="32"/>
      <x:c r="AT81" s="32"/>
      <x:c r="AU81" s="86"/>
      <x:c r="AV81" s="90" t="str">
        <x:f>IF($A81="","",IF(COUNTIFS('Quotations'!$L$8:$L$107,$AE81,'Quotations'!$O$8:$O$107,1)=0,"",MINIFS('Quotations'!$E$8:$E$107,'Quotations'!$L$8:$L$107,$AE81,'Quotations'!$O$8:$O$107,1)))</x:f>
      </x:c>
      <x:c r="AW81" s="90" t="str">
        <x:f>IF($A81="","",IF(COUNTIFS('Orders_PO'!$N$8:$N$107,$AE81,'Orders_PO'!$Q$8:$Q$107,1)=0,"",MINIFS('Orders_PO'!$E$8:$E$107,'Orders_PO'!$N$8:$N$107,$AE81,'Orders_PO'!$Q$8:$Q$107,1)))</x:f>
      </x:c>
      <x:c r="AX81" s="42" t="str">
        <x:f>IF($A81="","",COUNTIFS('Quotations'!$L$8:$L$107,$AE81,'Quotations'!$O$8:$O$107,1,'Quotations'!$I$8:$I$107,"Yes"))</x:f>
      </x:c>
      <x:c r="AY81" s="42" t="str">
        <x:f>IF($A81="","",COUNTIFS('Orders_PO'!$N$8:$N$107,$AE81,'Orders_PO'!$Q$8:$Q$107,1))</x:f>
      </x:c>
      <x:c r="AZ81" s="42" t="str">
        <x:f>IF($A81="","",IF((IF($AE81="","ขาด Lead ID; ","")&amp;IF(AND($AE81&lt;&gt;"",COUNTIF('Leads'!$AE$8:$AE$107,$AE81)&gt;1),"Lead ID ซ้ำ; ","")&amp;IF(COUNTIF('Leads'!$A$8:$A$107,$A81)&gt;1,"Reference ซ้ำ; ","")&amp;IF(COUNTIF('Guide_Lists'!$AR$2:$AR$4,$A81)&gt;0,"Known TEST — ห้ามนับผล; ","")&amp;IF(OR($B81="",$D81=""),"ขาดชื่อ/งาน; ","")&amp;IF(AND($L81="",$M81="",$N81=""),"ขาดช่องทางติดต่อ; ","")&amp;IF(OR($Z81="",$AA81="",$F81="",$G81="",$AT81=""),"ขาดผู้ดูแล/ประเภท/สถานะ/Environment; ","")&amp;IF(NOT(ISNUMBER($AF81)),"ขาดเวลารับ Lead; ","")&amp;IF(AND($AA81="Duplicate",$AB81=""),"ขาด duplicate_of; ","")&amp;IF(AND($G81="Qualified",OR($R81="",$U81="")),"Qualified ขาดเหตุผล/วันที่; ","")&amp;IF(AND($G81="Unqualified",$R81=""),"Unqualified ขาดเหตุผล; ","")&amp;IF(AND($F81="Qualified",$G81&lt;&gt;"Qualified"),"สถานะ/ผลคัดกรองไม่ตรง; ","")&amp;IF(AND($F81="Unqualified",$G81&lt;&gt;"Unqualified"),"สถานะ/ผลคัดกรองไม่ตรง; ","")&amp;IF(AND($F81="Contacting",$S81=""),"ขาดเวลาพยายามติดต่อ; ","")&amp;IF(AND($O81="Contactable",$T81=""),"ขาดเวลาติดต่อสำเร็จ; ","")&amp;IF(AND($F81="Quotation Sent",$AV81=""),"ยังไม่มีใบราคาที่ตรวจผ่าน; ","")&amp;IF(AND($F81="Won",$AY81=0),"Won ยังไม่มี PO ที่ตรวจผ่าน; ","")&amp;IF(AND($AY81&gt;0,$F81&lt;&gt;"Won"),"มี PO แล้ว—ตรวจสถานะ; ","")&amp;IF(AND($F81="Lost",OR($W81="",$X81="")),"Lost ขาดวัน/เหตุผล; ","")&amp;IF(AND($AA81="Real",NOT(OR($F81="Won",$F81="Lost",$F81="Unqualified")),OR($H81="",$I81="")),"ขาดนัด/งานถัดไป; ","")&amp;IF(OR($AC81="",$AD81=""),"ขาดเวลา/ผู้บันทึก; ","")&amp;IF(AND(ISNUMBER($S81),ISNUMBER($AF81),$S81&lt;$AF81),"ตรวจเวลา attempt ก่อนรับ Lead; ",""))="","ครบ",IF($AE81="","ขาด Lead ID; ","")&amp;IF(AND($AE81&lt;&gt;"",COUNTIF('Leads'!$AE$8:$AE$107,$AE81)&gt;1),"Lead ID ซ้ำ; ","")&amp;IF(COUNTIF('Leads'!$A$8:$A$107,$A81)&gt;1,"Reference ซ้ำ; ","")&amp;IF(COUNTIF('Guide_Lists'!$AR$2:$AR$4,$A81)&gt;0,"Known TEST — ห้ามนับผล; ","")&amp;IF(OR($B81="",$D81=""),"ขาดชื่อ/งาน; ","")&amp;IF(AND($L81="",$M81="",$N81=""),"ขาดช่องทางติดต่อ; ","")&amp;IF(OR($Z81="",$AA81="",$F81="",$G81="",$AT81=""),"ขาดผู้ดูแล/ประเภท/สถานะ/Environment; ","")&amp;IF(NOT(ISNUMBER($AF81)),"ขาดเวลารับ Lead; ","")&amp;IF(AND($AA81="Duplicate",$AB81=""),"ขาด duplicate_of; ","")&amp;IF(AND($G81="Qualified",OR($R81="",$U81="")),"Qualified ขาดเหตุผล/วันที่; ","")&amp;IF(AND($G81="Unqualified",$R81=""),"Unqualified ขาดเหตุผล; ","")&amp;IF(AND($F81="Qualified",$G81&lt;&gt;"Qualified"),"สถานะ/ผลคัดกรองไม่ตรง; ","")&amp;IF(AND($F81="Unqualified",$G81&lt;&gt;"Unqualified"),"สถานะ/ผลคัดกรองไม่ตรง; ","")&amp;IF(AND($F81="Contacting",$S81=""),"ขาดเวลาพยายามติดต่อ; ","")&amp;IF(AND($O81="Contactable",$T81=""),"ขาดเวลาติดต่อสำเร็จ; ","")&amp;IF(AND($F81="Quotation Sent",$AV81=""),"ยังไม่มีใบราคาที่ตรวจผ่าน; ","")&amp;IF(AND($F81="Won",$AY81=0),"Won ยังไม่มี PO ที่ตรวจผ่าน; ","")&amp;IF(AND($AY81&gt;0,$F81&lt;&gt;"Won"),"มี PO แล้ว—ตรวจสถานะ; ","")&amp;IF(AND($F81="Lost",OR($W81="",$X81="")),"Lost ขาดวัน/เหตุผล; ","")&amp;IF(AND($AA81="Real",NOT(OR($F81="Won",$F81="Lost",$F81="Unqualified")),OR($H81="",$I81="")),"ขาดนัด/งานถัดไป; ","")&amp;IF(OR($AC81="",$AD81=""),"ขาดเวลา/ผู้บันทึก; ","")&amp;IF(AND(ISNUMBER($S81),ISNUMBER($AF81),$S81&lt;$AF81),"ตรวจเวลา attempt ก่อนรับ Lead; ","")))</x:f>
      </x:c>
      <x:c r="BA81" s="42" t="str">
        <x:f>IF($A81="","",IF(AND($AE81&lt;&gt;"",$AA81="Real",$AT81="production",COUNTIF('Leads'!$AE$8:$AE$107,$AE81)=1,COUNTIF('Leads'!$A$8:$A$107,$A81)=1,COUNTIF('Guide_Lists'!$AR$2:$AR$4,$A81)=0),1,0))</x:f>
      </x:c>
    </x:row>
    <x:row r="82" ht="30" customHeight="1">
      <x:c r="A82" s="94"/>
      <x:c r="B82" s="32"/>
      <x:c r="C82" s="32"/>
      <x:c r="D82" s="32"/>
      <x:c r="E82" s="92"/>
      <x:c r="F82" s="36"/>
      <x:c r="G82" s="36"/>
      <x:c r="H82" s="82"/>
      <x:c r="I82" s="36"/>
      <x:c r="J82" s="42" t="str">
        <x:f>IF($A82="","",IF(OR($AA82="Test",$AA82="Spam",$AA82="Duplicate",COUNTIF('Guide_Lists'!$AR$2:$AR$4,$A82)&gt;0),"ไม่นับผลธุรกิจ",IF($AA82&lt;&gt;"Real","ระบุประเภทข้อมูล",IF(OR($F82="Won",$F82="Lost",$F82="Unqualified"),"ปิดงานขาย",IF($H82="","ยังไม่นัด",IF(NOT(ISNUMBER($H82)),"ตรวจวันนัด",IF(INT($H82)&lt;'Guide_Lists'!$B$4,"เกินกำหนด",IF(INT($H82)='Guide_Lists'!$B$4,"ติดตามวันนี้","รอนัด"))))))))</x:f>
      </x:c>
      <x:c r="K82" s="32"/>
      <x:c r="L82" s="94"/>
      <x:c r="M82" s="94"/>
      <x:c r="N82" s="94"/>
      <x:c r="O82" s="36"/>
      <x:c r="P82" s="36"/>
      <x:c r="Q82" s="36"/>
      <x:c r="R82" s="36"/>
      <x:c r="S82" s="82"/>
      <x:c r="T82" s="82"/>
      <x:c r="U82" s="82"/>
      <x:c r="V82" s="82"/>
      <x:c r="W82" s="82"/>
      <x:c r="X82" s="36"/>
      <x:c r="Y82" s="36"/>
      <x:c r="Z82" s="36"/>
      <x:c r="AA82" s="36"/>
      <x:c r="AB82" s="96"/>
      <x:c r="AC82" s="82"/>
      <x:c r="AD82" s="36"/>
      <x:c r="AE82" s="94"/>
      <x:c r="AF82" s="86"/>
      <x:c r="AG82" s="32"/>
      <x:c r="AH82" s="32"/>
      <x:c r="AI82" s="32"/>
      <x:c r="AJ82" s="88"/>
      <x:c r="AK82" s="32"/>
      <x:c r="AL82" s="32"/>
      <x:c r="AM82" s="32"/>
      <x:c r="AN82" s="32"/>
      <x:c r="AO82" s="32"/>
      <x:c r="AP82" s="32"/>
      <x:c r="AQ82" s="94"/>
      <x:c r="AR82" s="32"/>
      <x:c r="AS82" s="32"/>
      <x:c r="AT82" s="32"/>
      <x:c r="AU82" s="86"/>
      <x:c r="AV82" s="90" t="str">
        <x:f>IF($A82="","",IF(COUNTIFS('Quotations'!$L$8:$L$107,$AE82,'Quotations'!$O$8:$O$107,1)=0,"",MINIFS('Quotations'!$E$8:$E$107,'Quotations'!$L$8:$L$107,$AE82,'Quotations'!$O$8:$O$107,1)))</x:f>
      </x:c>
      <x:c r="AW82" s="90" t="str">
        <x:f>IF($A82="","",IF(COUNTIFS('Orders_PO'!$N$8:$N$107,$AE82,'Orders_PO'!$Q$8:$Q$107,1)=0,"",MINIFS('Orders_PO'!$E$8:$E$107,'Orders_PO'!$N$8:$N$107,$AE82,'Orders_PO'!$Q$8:$Q$107,1)))</x:f>
      </x:c>
      <x:c r="AX82" s="42" t="str">
        <x:f>IF($A82="","",COUNTIFS('Quotations'!$L$8:$L$107,$AE82,'Quotations'!$O$8:$O$107,1,'Quotations'!$I$8:$I$107,"Yes"))</x:f>
      </x:c>
      <x:c r="AY82" s="42" t="str">
        <x:f>IF($A82="","",COUNTIFS('Orders_PO'!$N$8:$N$107,$AE82,'Orders_PO'!$Q$8:$Q$107,1))</x:f>
      </x:c>
      <x:c r="AZ82" s="42" t="str">
        <x:f>IF($A82="","",IF((IF($AE82="","ขาด Lead ID; ","")&amp;IF(AND($AE82&lt;&gt;"",COUNTIF('Leads'!$AE$8:$AE$107,$AE82)&gt;1),"Lead ID ซ้ำ; ","")&amp;IF(COUNTIF('Leads'!$A$8:$A$107,$A82)&gt;1,"Reference ซ้ำ; ","")&amp;IF(COUNTIF('Guide_Lists'!$AR$2:$AR$4,$A82)&gt;0,"Known TEST — ห้ามนับผล; ","")&amp;IF(OR($B82="",$D82=""),"ขาดชื่อ/งาน; ","")&amp;IF(AND($L82="",$M82="",$N82=""),"ขาดช่องทางติดต่อ; ","")&amp;IF(OR($Z82="",$AA82="",$F82="",$G82="",$AT82=""),"ขาดผู้ดูแล/ประเภท/สถานะ/Environment; ","")&amp;IF(NOT(ISNUMBER($AF82)),"ขาดเวลารับ Lead; ","")&amp;IF(AND($AA82="Duplicate",$AB82=""),"ขาด duplicate_of; ","")&amp;IF(AND($G82="Qualified",OR($R82="",$U82="")),"Qualified ขาดเหตุผล/วันที่; ","")&amp;IF(AND($G82="Unqualified",$R82=""),"Unqualified ขาดเหตุผล; ","")&amp;IF(AND($F82="Qualified",$G82&lt;&gt;"Qualified"),"สถานะ/ผลคัดกรองไม่ตรง; ","")&amp;IF(AND($F82="Unqualified",$G82&lt;&gt;"Unqualified"),"สถานะ/ผลคัดกรองไม่ตรง; ","")&amp;IF(AND($F82="Contacting",$S82=""),"ขาดเวลาพยายามติดต่อ; ","")&amp;IF(AND($O82="Contactable",$T82=""),"ขาดเวลาติดต่อสำเร็จ; ","")&amp;IF(AND($F82="Quotation Sent",$AV82=""),"ยังไม่มีใบราคาที่ตรวจผ่าน; ","")&amp;IF(AND($F82="Won",$AY82=0),"Won ยังไม่มี PO ที่ตรวจผ่าน; ","")&amp;IF(AND($AY82&gt;0,$F82&lt;&gt;"Won"),"มี PO แล้ว—ตรวจสถานะ; ","")&amp;IF(AND($F82="Lost",OR($W82="",$X82="")),"Lost ขาดวัน/เหตุผล; ","")&amp;IF(AND($AA82="Real",NOT(OR($F82="Won",$F82="Lost",$F82="Unqualified")),OR($H82="",$I82="")),"ขาดนัด/งานถัดไป; ","")&amp;IF(OR($AC82="",$AD82=""),"ขาดเวลา/ผู้บันทึก; ","")&amp;IF(AND(ISNUMBER($S82),ISNUMBER($AF82),$S82&lt;$AF82),"ตรวจเวลา attempt ก่อนรับ Lead; ",""))="","ครบ",IF($AE82="","ขาด Lead ID; ","")&amp;IF(AND($AE82&lt;&gt;"",COUNTIF('Leads'!$AE$8:$AE$107,$AE82)&gt;1),"Lead ID ซ้ำ; ","")&amp;IF(COUNTIF('Leads'!$A$8:$A$107,$A82)&gt;1,"Reference ซ้ำ; ","")&amp;IF(COUNTIF('Guide_Lists'!$AR$2:$AR$4,$A82)&gt;0,"Known TEST — ห้ามนับผล; ","")&amp;IF(OR($B82="",$D82=""),"ขาดชื่อ/งาน; ","")&amp;IF(AND($L82="",$M82="",$N82=""),"ขาดช่องทางติดต่อ; ","")&amp;IF(OR($Z82="",$AA82="",$F82="",$G82="",$AT82=""),"ขาดผู้ดูแล/ประเภท/สถานะ/Environment; ","")&amp;IF(NOT(ISNUMBER($AF82)),"ขาดเวลารับ Lead; ","")&amp;IF(AND($AA82="Duplicate",$AB82=""),"ขาด duplicate_of; ","")&amp;IF(AND($G82="Qualified",OR($R82="",$U82="")),"Qualified ขาดเหตุผล/วันที่; ","")&amp;IF(AND($G82="Unqualified",$R82=""),"Unqualified ขาดเหตุผล; ","")&amp;IF(AND($F82="Qualified",$G82&lt;&gt;"Qualified"),"สถานะ/ผลคัดกรองไม่ตรง; ","")&amp;IF(AND($F82="Unqualified",$G82&lt;&gt;"Unqualified"),"สถานะ/ผลคัดกรองไม่ตรง; ","")&amp;IF(AND($F82="Contacting",$S82=""),"ขาดเวลาพยายามติดต่อ; ","")&amp;IF(AND($O82="Contactable",$T82=""),"ขาดเวลาติดต่อสำเร็จ; ","")&amp;IF(AND($F82="Quotation Sent",$AV82=""),"ยังไม่มีใบราคาที่ตรวจผ่าน; ","")&amp;IF(AND($F82="Won",$AY82=0),"Won ยังไม่มี PO ที่ตรวจผ่าน; ","")&amp;IF(AND($AY82&gt;0,$F82&lt;&gt;"Won"),"มี PO แล้ว—ตรวจสถานะ; ","")&amp;IF(AND($F82="Lost",OR($W82="",$X82="")),"Lost ขาดวัน/เหตุผล; ","")&amp;IF(AND($AA82="Real",NOT(OR($F82="Won",$F82="Lost",$F82="Unqualified")),OR($H82="",$I82="")),"ขาดนัด/งานถัดไป; ","")&amp;IF(OR($AC82="",$AD82=""),"ขาดเวลา/ผู้บันทึก; ","")&amp;IF(AND(ISNUMBER($S82),ISNUMBER($AF82),$S82&lt;$AF82),"ตรวจเวลา attempt ก่อนรับ Lead; ","")))</x:f>
      </x:c>
      <x:c r="BA82" s="42" t="str">
        <x:f>IF($A82="","",IF(AND($AE82&lt;&gt;"",$AA82="Real",$AT82="production",COUNTIF('Leads'!$AE$8:$AE$107,$AE82)=1,COUNTIF('Leads'!$A$8:$A$107,$A82)=1,COUNTIF('Guide_Lists'!$AR$2:$AR$4,$A82)=0),1,0))</x:f>
      </x:c>
    </x:row>
    <x:row r="83" ht="30" customHeight="1">
      <x:c r="A83" s="94"/>
      <x:c r="B83" s="32"/>
      <x:c r="C83" s="32"/>
      <x:c r="D83" s="32"/>
      <x:c r="E83" s="92"/>
      <x:c r="F83" s="36"/>
      <x:c r="G83" s="36"/>
      <x:c r="H83" s="82"/>
      <x:c r="I83" s="36"/>
      <x:c r="J83" s="42" t="str">
        <x:f>IF($A83="","",IF(OR($AA83="Test",$AA83="Spam",$AA83="Duplicate",COUNTIF('Guide_Lists'!$AR$2:$AR$4,$A83)&gt;0),"ไม่นับผลธุรกิจ",IF($AA83&lt;&gt;"Real","ระบุประเภทข้อมูล",IF(OR($F83="Won",$F83="Lost",$F83="Unqualified"),"ปิดงานขาย",IF($H83="","ยังไม่นัด",IF(NOT(ISNUMBER($H83)),"ตรวจวันนัด",IF(INT($H83)&lt;'Guide_Lists'!$B$4,"เกินกำหนด",IF(INT($H83)='Guide_Lists'!$B$4,"ติดตามวันนี้","รอนัด"))))))))</x:f>
      </x:c>
      <x:c r="K83" s="32"/>
      <x:c r="L83" s="94"/>
      <x:c r="M83" s="94"/>
      <x:c r="N83" s="94"/>
      <x:c r="O83" s="36"/>
      <x:c r="P83" s="36"/>
      <x:c r="Q83" s="36"/>
      <x:c r="R83" s="36"/>
      <x:c r="S83" s="82"/>
      <x:c r="T83" s="82"/>
      <x:c r="U83" s="82"/>
      <x:c r="V83" s="82"/>
      <x:c r="W83" s="82"/>
      <x:c r="X83" s="36"/>
      <x:c r="Y83" s="36"/>
      <x:c r="Z83" s="36"/>
      <x:c r="AA83" s="36"/>
      <x:c r="AB83" s="96"/>
      <x:c r="AC83" s="82"/>
      <x:c r="AD83" s="36"/>
      <x:c r="AE83" s="94"/>
      <x:c r="AF83" s="86"/>
      <x:c r="AG83" s="32"/>
      <x:c r="AH83" s="32"/>
      <x:c r="AI83" s="32"/>
      <x:c r="AJ83" s="88"/>
      <x:c r="AK83" s="32"/>
      <x:c r="AL83" s="32"/>
      <x:c r="AM83" s="32"/>
      <x:c r="AN83" s="32"/>
      <x:c r="AO83" s="32"/>
      <x:c r="AP83" s="32"/>
      <x:c r="AQ83" s="94"/>
      <x:c r="AR83" s="32"/>
      <x:c r="AS83" s="32"/>
      <x:c r="AT83" s="32"/>
      <x:c r="AU83" s="86"/>
      <x:c r="AV83" s="90" t="str">
        <x:f>IF($A83="","",IF(COUNTIFS('Quotations'!$L$8:$L$107,$AE83,'Quotations'!$O$8:$O$107,1)=0,"",MINIFS('Quotations'!$E$8:$E$107,'Quotations'!$L$8:$L$107,$AE83,'Quotations'!$O$8:$O$107,1)))</x:f>
      </x:c>
      <x:c r="AW83" s="90" t="str">
        <x:f>IF($A83="","",IF(COUNTIFS('Orders_PO'!$N$8:$N$107,$AE83,'Orders_PO'!$Q$8:$Q$107,1)=0,"",MINIFS('Orders_PO'!$E$8:$E$107,'Orders_PO'!$N$8:$N$107,$AE83,'Orders_PO'!$Q$8:$Q$107,1)))</x:f>
      </x:c>
      <x:c r="AX83" s="42" t="str">
        <x:f>IF($A83="","",COUNTIFS('Quotations'!$L$8:$L$107,$AE83,'Quotations'!$O$8:$O$107,1,'Quotations'!$I$8:$I$107,"Yes"))</x:f>
      </x:c>
      <x:c r="AY83" s="42" t="str">
        <x:f>IF($A83="","",COUNTIFS('Orders_PO'!$N$8:$N$107,$AE83,'Orders_PO'!$Q$8:$Q$107,1))</x:f>
      </x:c>
      <x:c r="AZ83" s="42" t="str">
        <x:f>IF($A83="","",IF((IF($AE83="","ขาด Lead ID; ","")&amp;IF(AND($AE83&lt;&gt;"",COUNTIF('Leads'!$AE$8:$AE$107,$AE83)&gt;1),"Lead ID ซ้ำ; ","")&amp;IF(COUNTIF('Leads'!$A$8:$A$107,$A83)&gt;1,"Reference ซ้ำ; ","")&amp;IF(COUNTIF('Guide_Lists'!$AR$2:$AR$4,$A83)&gt;0,"Known TEST — ห้ามนับผล; ","")&amp;IF(OR($B83="",$D83=""),"ขาดชื่อ/งาน; ","")&amp;IF(AND($L83="",$M83="",$N83=""),"ขาดช่องทางติดต่อ; ","")&amp;IF(OR($Z83="",$AA83="",$F83="",$G83="",$AT83=""),"ขาดผู้ดูแล/ประเภท/สถานะ/Environment; ","")&amp;IF(NOT(ISNUMBER($AF83)),"ขาดเวลารับ Lead; ","")&amp;IF(AND($AA83="Duplicate",$AB83=""),"ขาด duplicate_of; ","")&amp;IF(AND($G83="Qualified",OR($R83="",$U83="")),"Qualified ขาดเหตุผล/วันที่; ","")&amp;IF(AND($G83="Unqualified",$R83=""),"Unqualified ขาดเหตุผล; ","")&amp;IF(AND($F83="Qualified",$G83&lt;&gt;"Qualified"),"สถานะ/ผลคัดกรองไม่ตรง; ","")&amp;IF(AND($F83="Unqualified",$G83&lt;&gt;"Unqualified"),"สถานะ/ผลคัดกรองไม่ตรง; ","")&amp;IF(AND($F83="Contacting",$S83=""),"ขาดเวลาพยายามติดต่อ; ","")&amp;IF(AND($O83="Contactable",$T83=""),"ขาดเวลาติดต่อสำเร็จ; ","")&amp;IF(AND($F83="Quotation Sent",$AV83=""),"ยังไม่มีใบราคาที่ตรวจผ่าน; ","")&amp;IF(AND($F83="Won",$AY83=0),"Won ยังไม่มี PO ที่ตรวจผ่าน; ","")&amp;IF(AND($AY83&gt;0,$F83&lt;&gt;"Won"),"มี PO แล้ว—ตรวจสถานะ; ","")&amp;IF(AND($F83="Lost",OR($W83="",$X83="")),"Lost ขาดวัน/เหตุผล; ","")&amp;IF(AND($AA83="Real",NOT(OR($F83="Won",$F83="Lost",$F83="Unqualified")),OR($H83="",$I83="")),"ขาดนัด/งานถัดไป; ","")&amp;IF(OR($AC83="",$AD83=""),"ขาดเวลา/ผู้บันทึก; ","")&amp;IF(AND(ISNUMBER($S83),ISNUMBER($AF83),$S83&lt;$AF83),"ตรวจเวลา attempt ก่อนรับ Lead; ",""))="","ครบ",IF($AE83="","ขาด Lead ID; ","")&amp;IF(AND($AE83&lt;&gt;"",COUNTIF('Leads'!$AE$8:$AE$107,$AE83)&gt;1),"Lead ID ซ้ำ; ","")&amp;IF(COUNTIF('Leads'!$A$8:$A$107,$A83)&gt;1,"Reference ซ้ำ; ","")&amp;IF(COUNTIF('Guide_Lists'!$AR$2:$AR$4,$A83)&gt;0,"Known TEST — ห้ามนับผล; ","")&amp;IF(OR($B83="",$D83=""),"ขาดชื่อ/งาน; ","")&amp;IF(AND($L83="",$M83="",$N83=""),"ขาดช่องทางติดต่อ; ","")&amp;IF(OR($Z83="",$AA83="",$F83="",$G83="",$AT83=""),"ขาดผู้ดูแล/ประเภท/สถานะ/Environment; ","")&amp;IF(NOT(ISNUMBER($AF83)),"ขาดเวลารับ Lead; ","")&amp;IF(AND($AA83="Duplicate",$AB83=""),"ขาด duplicate_of; ","")&amp;IF(AND($G83="Qualified",OR($R83="",$U83="")),"Qualified ขาดเหตุผล/วันที่; ","")&amp;IF(AND($G83="Unqualified",$R83=""),"Unqualified ขาดเหตุผล; ","")&amp;IF(AND($F83="Qualified",$G83&lt;&gt;"Qualified"),"สถานะ/ผลคัดกรองไม่ตรง; ","")&amp;IF(AND($F83="Unqualified",$G83&lt;&gt;"Unqualified"),"สถานะ/ผลคัดกรองไม่ตรง; ","")&amp;IF(AND($F83="Contacting",$S83=""),"ขาดเวลาพยายามติดต่อ; ","")&amp;IF(AND($O83="Contactable",$T83=""),"ขาดเวลาติดต่อสำเร็จ; ","")&amp;IF(AND($F83="Quotation Sent",$AV83=""),"ยังไม่มีใบราคาที่ตรวจผ่าน; ","")&amp;IF(AND($F83="Won",$AY83=0),"Won ยังไม่มี PO ที่ตรวจผ่าน; ","")&amp;IF(AND($AY83&gt;0,$F83&lt;&gt;"Won"),"มี PO แล้ว—ตรวจสถานะ; ","")&amp;IF(AND($F83="Lost",OR($W83="",$X83="")),"Lost ขาดวัน/เหตุผล; ","")&amp;IF(AND($AA83="Real",NOT(OR($F83="Won",$F83="Lost",$F83="Unqualified")),OR($H83="",$I83="")),"ขาดนัด/งานถัดไป; ","")&amp;IF(OR($AC83="",$AD83=""),"ขาดเวลา/ผู้บันทึก; ","")&amp;IF(AND(ISNUMBER($S83),ISNUMBER($AF83),$S83&lt;$AF83),"ตรวจเวลา attempt ก่อนรับ Lead; ","")))</x:f>
      </x:c>
      <x:c r="BA83" s="42" t="str">
        <x:f>IF($A83="","",IF(AND($AE83&lt;&gt;"",$AA83="Real",$AT83="production",COUNTIF('Leads'!$AE$8:$AE$107,$AE83)=1,COUNTIF('Leads'!$A$8:$A$107,$A83)=1,COUNTIF('Guide_Lists'!$AR$2:$AR$4,$A83)=0),1,0))</x:f>
      </x:c>
    </x:row>
    <x:row r="84" ht="30" customHeight="1">
      <x:c r="A84" s="94"/>
      <x:c r="B84" s="32"/>
      <x:c r="C84" s="32"/>
      <x:c r="D84" s="32"/>
      <x:c r="E84" s="92"/>
      <x:c r="F84" s="36"/>
      <x:c r="G84" s="36"/>
      <x:c r="H84" s="82"/>
      <x:c r="I84" s="36"/>
      <x:c r="J84" s="42" t="str">
        <x:f>IF($A84="","",IF(OR($AA84="Test",$AA84="Spam",$AA84="Duplicate",COUNTIF('Guide_Lists'!$AR$2:$AR$4,$A84)&gt;0),"ไม่นับผลธุรกิจ",IF($AA84&lt;&gt;"Real","ระบุประเภทข้อมูล",IF(OR($F84="Won",$F84="Lost",$F84="Unqualified"),"ปิดงานขาย",IF($H84="","ยังไม่นัด",IF(NOT(ISNUMBER($H84)),"ตรวจวันนัด",IF(INT($H84)&lt;'Guide_Lists'!$B$4,"เกินกำหนด",IF(INT($H84)='Guide_Lists'!$B$4,"ติดตามวันนี้","รอนัด"))))))))</x:f>
      </x:c>
      <x:c r="K84" s="32"/>
      <x:c r="L84" s="94"/>
      <x:c r="M84" s="94"/>
      <x:c r="N84" s="94"/>
      <x:c r="O84" s="36"/>
      <x:c r="P84" s="36"/>
      <x:c r="Q84" s="36"/>
      <x:c r="R84" s="36"/>
      <x:c r="S84" s="82"/>
      <x:c r="T84" s="82"/>
      <x:c r="U84" s="82"/>
      <x:c r="V84" s="82"/>
      <x:c r="W84" s="82"/>
      <x:c r="X84" s="36"/>
      <x:c r="Y84" s="36"/>
      <x:c r="Z84" s="36"/>
      <x:c r="AA84" s="36"/>
      <x:c r="AB84" s="96"/>
      <x:c r="AC84" s="82"/>
      <x:c r="AD84" s="36"/>
      <x:c r="AE84" s="94"/>
      <x:c r="AF84" s="86"/>
      <x:c r="AG84" s="32"/>
      <x:c r="AH84" s="32"/>
      <x:c r="AI84" s="32"/>
      <x:c r="AJ84" s="88"/>
      <x:c r="AK84" s="32"/>
      <x:c r="AL84" s="32"/>
      <x:c r="AM84" s="32"/>
      <x:c r="AN84" s="32"/>
      <x:c r="AO84" s="32"/>
      <x:c r="AP84" s="32"/>
      <x:c r="AQ84" s="94"/>
      <x:c r="AR84" s="32"/>
      <x:c r="AS84" s="32"/>
      <x:c r="AT84" s="32"/>
      <x:c r="AU84" s="86"/>
      <x:c r="AV84" s="90" t="str">
        <x:f>IF($A84="","",IF(COUNTIFS('Quotations'!$L$8:$L$107,$AE84,'Quotations'!$O$8:$O$107,1)=0,"",MINIFS('Quotations'!$E$8:$E$107,'Quotations'!$L$8:$L$107,$AE84,'Quotations'!$O$8:$O$107,1)))</x:f>
      </x:c>
      <x:c r="AW84" s="90" t="str">
        <x:f>IF($A84="","",IF(COUNTIFS('Orders_PO'!$N$8:$N$107,$AE84,'Orders_PO'!$Q$8:$Q$107,1)=0,"",MINIFS('Orders_PO'!$E$8:$E$107,'Orders_PO'!$N$8:$N$107,$AE84,'Orders_PO'!$Q$8:$Q$107,1)))</x:f>
      </x:c>
      <x:c r="AX84" s="42" t="str">
        <x:f>IF($A84="","",COUNTIFS('Quotations'!$L$8:$L$107,$AE84,'Quotations'!$O$8:$O$107,1,'Quotations'!$I$8:$I$107,"Yes"))</x:f>
      </x:c>
      <x:c r="AY84" s="42" t="str">
        <x:f>IF($A84="","",COUNTIFS('Orders_PO'!$N$8:$N$107,$AE84,'Orders_PO'!$Q$8:$Q$107,1))</x:f>
      </x:c>
      <x:c r="AZ84" s="42" t="str">
        <x:f>IF($A84="","",IF((IF($AE84="","ขาด Lead ID; ","")&amp;IF(AND($AE84&lt;&gt;"",COUNTIF('Leads'!$AE$8:$AE$107,$AE84)&gt;1),"Lead ID ซ้ำ; ","")&amp;IF(COUNTIF('Leads'!$A$8:$A$107,$A84)&gt;1,"Reference ซ้ำ; ","")&amp;IF(COUNTIF('Guide_Lists'!$AR$2:$AR$4,$A84)&gt;0,"Known TEST — ห้ามนับผล; ","")&amp;IF(OR($B84="",$D84=""),"ขาดชื่อ/งาน; ","")&amp;IF(AND($L84="",$M84="",$N84=""),"ขาดช่องทางติดต่อ; ","")&amp;IF(OR($Z84="",$AA84="",$F84="",$G84="",$AT84=""),"ขาดผู้ดูแล/ประเภท/สถานะ/Environment; ","")&amp;IF(NOT(ISNUMBER($AF84)),"ขาดเวลารับ Lead; ","")&amp;IF(AND($AA84="Duplicate",$AB84=""),"ขาด duplicate_of; ","")&amp;IF(AND($G84="Qualified",OR($R84="",$U84="")),"Qualified ขาดเหตุผล/วันที่; ","")&amp;IF(AND($G84="Unqualified",$R84=""),"Unqualified ขาดเหตุผล; ","")&amp;IF(AND($F84="Qualified",$G84&lt;&gt;"Qualified"),"สถานะ/ผลคัดกรองไม่ตรง; ","")&amp;IF(AND($F84="Unqualified",$G84&lt;&gt;"Unqualified"),"สถานะ/ผลคัดกรองไม่ตรง; ","")&amp;IF(AND($F84="Contacting",$S84=""),"ขาดเวลาพยายามติดต่อ; ","")&amp;IF(AND($O84="Contactable",$T84=""),"ขาดเวลาติดต่อสำเร็จ; ","")&amp;IF(AND($F84="Quotation Sent",$AV84=""),"ยังไม่มีใบราคาที่ตรวจผ่าน; ","")&amp;IF(AND($F84="Won",$AY84=0),"Won ยังไม่มี PO ที่ตรวจผ่าน; ","")&amp;IF(AND($AY84&gt;0,$F84&lt;&gt;"Won"),"มี PO แล้ว—ตรวจสถานะ; ","")&amp;IF(AND($F84="Lost",OR($W84="",$X84="")),"Lost ขาดวัน/เหตุผล; ","")&amp;IF(AND($AA84="Real",NOT(OR($F84="Won",$F84="Lost",$F84="Unqualified")),OR($H84="",$I84="")),"ขาดนัด/งานถัดไป; ","")&amp;IF(OR($AC84="",$AD84=""),"ขาดเวลา/ผู้บันทึก; ","")&amp;IF(AND(ISNUMBER($S84),ISNUMBER($AF84),$S84&lt;$AF84),"ตรวจเวลา attempt ก่อนรับ Lead; ",""))="","ครบ",IF($AE84="","ขาด Lead ID; ","")&amp;IF(AND($AE84&lt;&gt;"",COUNTIF('Leads'!$AE$8:$AE$107,$AE84)&gt;1),"Lead ID ซ้ำ; ","")&amp;IF(COUNTIF('Leads'!$A$8:$A$107,$A84)&gt;1,"Reference ซ้ำ; ","")&amp;IF(COUNTIF('Guide_Lists'!$AR$2:$AR$4,$A84)&gt;0,"Known TEST — ห้ามนับผล; ","")&amp;IF(OR($B84="",$D84=""),"ขาดชื่อ/งาน; ","")&amp;IF(AND($L84="",$M84="",$N84=""),"ขาดช่องทางติดต่อ; ","")&amp;IF(OR($Z84="",$AA84="",$F84="",$G84="",$AT84=""),"ขาดผู้ดูแล/ประเภท/สถานะ/Environment; ","")&amp;IF(NOT(ISNUMBER($AF84)),"ขาดเวลารับ Lead; ","")&amp;IF(AND($AA84="Duplicate",$AB84=""),"ขาด duplicate_of; ","")&amp;IF(AND($G84="Qualified",OR($R84="",$U84="")),"Qualified ขาดเหตุผล/วันที่; ","")&amp;IF(AND($G84="Unqualified",$R84=""),"Unqualified ขาดเหตุผล; ","")&amp;IF(AND($F84="Qualified",$G84&lt;&gt;"Qualified"),"สถานะ/ผลคัดกรองไม่ตรง; ","")&amp;IF(AND($F84="Unqualified",$G84&lt;&gt;"Unqualified"),"สถานะ/ผลคัดกรองไม่ตรง; ","")&amp;IF(AND($F84="Contacting",$S84=""),"ขาดเวลาพยายามติดต่อ; ","")&amp;IF(AND($O84="Contactable",$T84=""),"ขาดเวลาติดต่อสำเร็จ; ","")&amp;IF(AND($F84="Quotation Sent",$AV84=""),"ยังไม่มีใบราคาที่ตรวจผ่าน; ","")&amp;IF(AND($F84="Won",$AY84=0),"Won ยังไม่มี PO ที่ตรวจผ่าน; ","")&amp;IF(AND($AY84&gt;0,$F84&lt;&gt;"Won"),"มี PO แล้ว—ตรวจสถานะ; ","")&amp;IF(AND($F84="Lost",OR($W84="",$X84="")),"Lost ขาดวัน/เหตุผล; ","")&amp;IF(AND($AA84="Real",NOT(OR($F84="Won",$F84="Lost",$F84="Unqualified")),OR($H84="",$I84="")),"ขาดนัด/งานถัดไป; ","")&amp;IF(OR($AC84="",$AD84=""),"ขาดเวลา/ผู้บันทึก; ","")&amp;IF(AND(ISNUMBER($S84),ISNUMBER($AF84),$S84&lt;$AF84),"ตรวจเวลา attempt ก่อนรับ Lead; ","")))</x:f>
      </x:c>
      <x:c r="BA84" s="42" t="str">
        <x:f>IF($A84="","",IF(AND($AE84&lt;&gt;"",$AA84="Real",$AT84="production",COUNTIF('Leads'!$AE$8:$AE$107,$AE84)=1,COUNTIF('Leads'!$A$8:$A$107,$A84)=1,COUNTIF('Guide_Lists'!$AR$2:$AR$4,$A84)=0),1,0))</x:f>
      </x:c>
    </x:row>
    <x:row r="85" ht="30" customHeight="1">
      <x:c r="A85" s="94"/>
      <x:c r="B85" s="32"/>
      <x:c r="C85" s="32"/>
      <x:c r="D85" s="32"/>
      <x:c r="E85" s="92"/>
      <x:c r="F85" s="36"/>
      <x:c r="G85" s="36"/>
      <x:c r="H85" s="82"/>
      <x:c r="I85" s="36"/>
      <x:c r="J85" s="42" t="str">
        <x:f>IF($A85="","",IF(OR($AA85="Test",$AA85="Spam",$AA85="Duplicate",COUNTIF('Guide_Lists'!$AR$2:$AR$4,$A85)&gt;0),"ไม่นับผลธุรกิจ",IF($AA85&lt;&gt;"Real","ระบุประเภทข้อมูล",IF(OR($F85="Won",$F85="Lost",$F85="Unqualified"),"ปิดงานขาย",IF($H85="","ยังไม่นัด",IF(NOT(ISNUMBER($H85)),"ตรวจวันนัด",IF(INT($H85)&lt;'Guide_Lists'!$B$4,"เกินกำหนด",IF(INT($H85)='Guide_Lists'!$B$4,"ติดตามวันนี้","รอนัด"))))))))</x:f>
      </x:c>
      <x:c r="K85" s="32"/>
      <x:c r="L85" s="94"/>
      <x:c r="M85" s="94"/>
      <x:c r="N85" s="94"/>
      <x:c r="O85" s="36"/>
      <x:c r="P85" s="36"/>
      <x:c r="Q85" s="36"/>
      <x:c r="R85" s="36"/>
      <x:c r="S85" s="82"/>
      <x:c r="T85" s="82"/>
      <x:c r="U85" s="82"/>
      <x:c r="V85" s="82"/>
      <x:c r="W85" s="82"/>
      <x:c r="X85" s="36"/>
      <x:c r="Y85" s="36"/>
      <x:c r="Z85" s="36"/>
      <x:c r="AA85" s="36"/>
      <x:c r="AB85" s="96"/>
      <x:c r="AC85" s="82"/>
      <x:c r="AD85" s="36"/>
      <x:c r="AE85" s="94"/>
      <x:c r="AF85" s="86"/>
      <x:c r="AG85" s="32"/>
      <x:c r="AH85" s="32"/>
      <x:c r="AI85" s="32"/>
      <x:c r="AJ85" s="88"/>
      <x:c r="AK85" s="32"/>
      <x:c r="AL85" s="32"/>
      <x:c r="AM85" s="32"/>
      <x:c r="AN85" s="32"/>
      <x:c r="AO85" s="32"/>
      <x:c r="AP85" s="32"/>
      <x:c r="AQ85" s="94"/>
      <x:c r="AR85" s="32"/>
      <x:c r="AS85" s="32"/>
      <x:c r="AT85" s="32"/>
      <x:c r="AU85" s="86"/>
      <x:c r="AV85" s="90" t="str">
        <x:f>IF($A85="","",IF(COUNTIFS('Quotations'!$L$8:$L$107,$AE85,'Quotations'!$O$8:$O$107,1)=0,"",MINIFS('Quotations'!$E$8:$E$107,'Quotations'!$L$8:$L$107,$AE85,'Quotations'!$O$8:$O$107,1)))</x:f>
      </x:c>
      <x:c r="AW85" s="90" t="str">
        <x:f>IF($A85="","",IF(COUNTIFS('Orders_PO'!$N$8:$N$107,$AE85,'Orders_PO'!$Q$8:$Q$107,1)=0,"",MINIFS('Orders_PO'!$E$8:$E$107,'Orders_PO'!$N$8:$N$107,$AE85,'Orders_PO'!$Q$8:$Q$107,1)))</x:f>
      </x:c>
      <x:c r="AX85" s="42" t="str">
        <x:f>IF($A85="","",COUNTIFS('Quotations'!$L$8:$L$107,$AE85,'Quotations'!$O$8:$O$107,1,'Quotations'!$I$8:$I$107,"Yes"))</x:f>
      </x:c>
      <x:c r="AY85" s="42" t="str">
        <x:f>IF($A85="","",COUNTIFS('Orders_PO'!$N$8:$N$107,$AE85,'Orders_PO'!$Q$8:$Q$107,1))</x:f>
      </x:c>
      <x:c r="AZ85" s="42" t="str">
        <x:f>IF($A85="","",IF((IF($AE85="","ขาด Lead ID; ","")&amp;IF(AND($AE85&lt;&gt;"",COUNTIF('Leads'!$AE$8:$AE$107,$AE85)&gt;1),"Lead ID ซ้ำ; ","")&amp;IF(COUNTIF('Leads'!$A$8:$A$107,$A85)&gt;1,"Reference ซ้ำ; ","")&amp;IF(COUNTIF('Guide_Lists'!$AR$2:$AR$4,$A85)&gt;0,"Known TEST — ห้ามนับผล; ","")&amp;IF(OR($B85="",$D85=""),"ขาดชื่อ/งาน; ","")&amp;IF(AND($L85="",$M85="",$N85=""),"ขาดช่องทางติดต่อ; ","")&amp;IF(OR($Z85="",$AA85="",$F85="",$G85="",$AT85=""),"ขาดผู้ดูแล/ประเภท/สถานะ/Environment; ","")&amp;IF(NOT(ISNUMBER($AF85)),"ขาดเวลารับ Lead; ","")&amp;IF(AND($AA85="Duplicate",$AB85=""),"ขาด duplicate_of; ","")&amp;IF(AND($G85="Qualified",OR($R85="",$U85="")),"Qualified ขาดเหตุผล/วันที่; ","")&amp;IF(AND($G85="Unqualified",$R85=""),"Unqualified ขาดเหตุผล; ","")&amp;IF(AND($F85="Qualified",$G85&lt;&gt;"Qualified"),"สถานะ/ผลคัดกรองไม่ตรง; ","")&amp;IF(AND($F85="Unqualified",$G85&lt;&gt;"Unqualified"),"สถานะ/ผลคัดกรองไม่ตรง; ","")&amp;IF(AND($F85="Contacting",$S85=""),"ขาดเวลาพยายามติดต่อ; ","")&amp;IF(AND($O85="Contactable",$T85=""),"ขาดเวลาติดต่อสำเร็จ; ","")&amp;IF(AND($F85="Quotation Sent",$AV85=""),"ยังไม่มีใบราคาที่ตรวจผ่าน; ","")&amp;IF(AND($F85="Won",$AY85=0),"Won ยังไม่มี PO ที่ตรวจผ่าน; ","")&amp;IF(AND($AY85&gt;0,$F85&lt;&gt;"Won"),"มี PO แล้ว—ตรวจสถานะ; ","")&amp;IF(AND($F85="Lost",OR($W85="",$X85="")),"Lost ขาดวัน/เหตุผล; ","")&amp;IF(AND($AA85="Real",NOT(OR($F85="Won",$F85="Lost",$F85="Unqualified")),OR($H85="",$I85="")),"ขาดนัด/งานถัดไป; ","")&amp;IF(OR($AC85="",$AD85=""),"ขาดเวลา/ผู้บันทึก; ","")&amp;IF(AND(ISNUMBER($S85),ISNUMBER($AF85),$S85&lt;$AF85),"ตรวจเวลา attempt ก่อนรับ Lead; ",""))="","ครบ",IF($AE85="","ขาด Lead ID; ","")&amp;IF(AND($AE85&lt;&gt;"",COUNTIF('Leads'!$AE$8:$AE$107,$AE85)&gt;1),"Lead ID ซ้ำ; ","")&amp;IF(COUNTIF('Leads'!$A$8:$A$107,$A85)&gt;1,"Reference ซ้ำ; ","")&amp;IF(COUNTIF('Guide_Lists'!$AR$2:$AR$4,$A85)&gt;0,"Known TEST — ห้ามนับผล; ","")&amp;IF(OR($B85="",$D85=""),"ขาดชื่อ/งาน; ","")&amp;IF(AND($L85="",$M85="",$N85=""),"ขาดช่องทางติดต่อ; ","")&amp;IF(OR($Z85="",$AA85="",$F85="",$G85="",$AT85=""),"ขาดผู้ดูแล/ประเภท/สถานะ/Environment; ","")&amp;IF(NOT(ISNUMBER($AF85)),"ขาดเวลารับ Lead; ","")&amp;IF(AND($AA85="Duplicate",$AB85=""),"ขาด duplicate_of; ","")&amp;IF(AND($G85="Qualified",OR($R85="",$U85="")),"Qualified ขาดเหตุผล/วันที่; ","")&amp;IF(AND($G85="Unqualified",$R85=""),"Unqualified ขาดเหตุผล; ","")&amp;IF(AND($F85="Qualified",$G85&lt;&gt;"Qualified"),"สถานะ/ผลคัดกรองไม่ตรง; ","")&amp;IF(AND($F85="Unqualified",$G85&lt;&gt;"Unqualified"),"สถานะ/ผลคัดกรองไม่ตรง; ","")&amp;IF(AND($F85="Contacting",$S85=""),"ขาดเวลาพยายามติดต่อ; ","")&amp;IF(AND($O85="Contactable",$T85=""),"ขาดเวลาติดต่อสำเร็จ; ","")&amp;IF(AND($F85="Quotation Sent",$AV85=""),"ยังไม่มีใบราคาที่ตรวจผ่าน; ","")&amp;IF(AND($F85="Won",$AY85=0),"Won ยังไม่มี PO ที่ตรวจผ่าน; ","")&amp;IF(AND($AY85&gt;0,$F85&lt;&gt;"Won"),"มี PO แล้ว—ตรวจสถานะ; ","")&amp;IF(AND($F85="Lost",OR($W85="",$X85="")),"Lost ขาดวัน/เหตุผล; ","")&amp;IF(AND($AA85="Real",NOT(OR($F85="Won",$F85="Lost",$F85="Unqualified")),OR($H85="",$I85="")),"ขาดนัด/งานถัดไป; ","")&amp;IF(OR($AC85="",$AD85=""),"ขาดเวลา/ผู้บันทึก; ","")&amp;IF(AND(ISNUMBER($S85),ISNUMBER($AF85),$S85&lt;$AF85),"ตรวจเวลา attempt ก่อนรับ Lead; ","")))</x:f>
      </x:c>
      <x:c r="BA85" s="42" t="str">
        <x:f>IF($A85="","",IF(AND($AE85&lt;&gt;"",$AA85="Real",$AT85="production",COUNTIF('Leads'!$AE$8:$AE$107,$AE85)=1,COUNTIF('Leads'!$A$8:$A$107,$A85)=1,COUNTIF('Guide_Lists'!$AR$2:$AR$4,$A85)=0),1,0))</x:f>
      </x:c>
    </x:row>
    <x:row r="86" ht="30" customHeight="1">
      <x:c r="A86" s="94"/>
      <x:c r="B86" s="32"/>
      <x:c r="C86" s="32"/>
      <x:c r="D86" s="32"/>
      <x:c r="E86" s="92"/>
      <x:c r="F86" s="36"/>
      <x:c r="G86" s="36"/>
      <x:c r="H86" s="82"/>
      <x:c r="I86" s="36"/>
      <x:c r="J86" s="42" t="str">
        <x:f>IF($A86="","",IF(OR($AA86="Test",$AA86="Spam",$AA86="Duplicate",COUNTIF('Guide_Lists'!$AR$2:$AR$4,$A86)&gt;0),"ไม่นับผลธุรกิจ",IF($AA86&lt;&gt;"Real","ระบุประเภทข้อมูล",IF(OR($F86="Won",$F86="Lost",$F86="Unqualified"),"ปิดงานขาย",IF($H86="","ยังไม่นัด",IF(NOT(ISNUMBER($H86)),"ตรวจวันนัด",IF(INT($H86)&lt;'Guide_Lists'!$B$4,"เกินกำหนด",IF(INT($H86)='Guide_Lists'!$B$4,"ติดตามวันนี้","รอนัด"))))))))</x:f>
      </x:c>
      <x:c r="K86" s="32"/>
      <x:c r="L86" s="94"/>
      <x:c r="M86" s="94"/>
      <x:c r="N86" s="94"/>
      <x:c r="O86" s="36"/>
      <x:c r="P86" s="36"/>
      <x:c r="Q86" s="36"/>
      <x:c r="R86" s="36"/>
      <x:c r="S86" s="82"/>
      <x:c r="T86" s="82"/>
      <x:c r="U86" s="82"/>
      <x:c r="V86" s="82"/>
      <x:c r="W86" s="82"/>
      <x:c r="X86" s="36"/>
      <x:c r="Y86" s="36"/>
      <x:c r="Z86" s="36"/>
      <x:c r="AA86" s="36"/>
      <x:c r="AB86" s="96"/>
      <x:c r="AC86" s="82"/>
      <x:c r="AD86" s="36"/>
      <x:c r="AE86" s="94"/>
      <x:c r="AF86" s="86"/>
      <x:c r="AG86" s="32"/>
      <x:c r="AH86" s="32"/>
      <x:c r="AI86" s="32"/>
      <x:c r="AJ86" s="88"/>
      <x:c r="AK86" s="32"/>
      <x:c r="AL86" s="32"/>
      <x:c r="AM86" s="32"/>
      <x:c r="AN86" s="32"/>
      <x:c r="AO86" s="32"/>
      <x:c r="AP86" s="32"/>
      <x:c r="AQ86" s="94"/>
      <x:c r="AR86" s="32"/>
      <x:c r="AS86" s="32"/>
      <x:c r="AT86" s="32"/>
      <x:c r="AU86" s="86"/>
      <x:c r="AV86" s="90" t="str">
        <x:f>IF($A86="","",IF(COUNTIFS('Quotations'!$L$8:$L$107,$AE86,'Quotations'!$O$8:$O$107,1)=0,"",MINIFS('Quotations'!$E$8:$E$107,'Quotations'!$L$8:$L$107,$AE86,'Quotations'!$O$8:$O$107,1)))</x:f>
      </x:c>
      <x:c r="AW86" s="90" t="str">
        <x:f>IF($A86="","",IF(COUNTIFS('Orders_PO'!$N$8:$N$107,$AE86,'Orders_PO'!$Q$8:$Q$107,1)=0,"",MINIFS('Orders_PO'!$E$8:$E$107,'Orders_PO'!$N$8:$N$107,$AE86,'Orders_PO'!$Q$8:$Q$107,1)))</x:f>
      </x:c>
      <x:c r="AX86" s="42" t="str">
        <x:f>IF($A86="","",COUNTIFS('Quotations'!$L$8:$L$107,$AE86,'Quotations'!$O$8:$O$107,1,'Quotations'!$I$8:$I$107,"Yes"))</x:f>
      </x:c>
      <x:c r="AY86" s="42" t="str">
        <x:f>IF($A86="","",COUNTIFS('Orders_PO'!$N$8:$N$107,$AE86,'Orders_PO'!$Q$8:$Q$107,1))</x:f>
      </x:c>
      <x:c r="AZ86" s="42" t="str">
        <x:f>IF($A86="","",IF((IF($AE86="","ขาด Lead ID; ","")&amp;IF(AND($AE86&lt;&gt;"",COUNTIF('Leads'!$AE$8:$AE$107,$AE86)&gt;1),"Lead ID ซ้ำ; ","")&amp;IF(COUNTIF('Leads'!$A$8:$A$107,$A86)&gt;1,"Reference ซ้ำ; ","")&amp;IF(COUNTIF('Guide_Lists'!$AR$2:$AR$4,$A86)&gt;0,"Known TEST — ห้ามนับผล; ","")&amp;IF(OR($B86="",$D86=""),"ขาดชื่อ/งาน; ","")&amp;IF(AND($L86="",$M86="",$N86=""),"ขาดช่องทางติดต่อ; ","")&amp;IF(OR($Z86="",$AA86="",$F86="",$G86="",$AT86=""),"ขาดผู้ดูแล/ประเภท/สถานะ/Environment; ","")&amp;IF(NOT(ISNUMBER($AF86)),"ขาดเวลารับ Lead; ","")&amp;IF(AND($AA86="Duplicate",$AB86=""),"ขาด duplicate_of; ","")&amp;IF(AND($G86="Qualified",OR($R86="",$U86="")),"Qualified ขาดเหตุผล/วันที่; ","")&amp;IF(AND($G86="Unqualified",$R86=""),"Unqualified ขาดเหตุผล; ","")&amp;IF(AND($F86="Qualified",$G86&lt;&gt;"Qualified"),"สถานะ/ผลคัดกรองไม่ตรง; ","")&amp;IF(AND($F86="Unqualified",$G86&lt;&gt;"Unqualified"),"สถานะ/ผลคัดกรองไม่ตรง; ","")&amp;IF(AND($F86="Contacting",$S86=""),"ขาดเวลาพยายามติดต่อ; ","")&amp;IF(AND($O86="Contactable",$T86=""),"ขาดเวลาติดต่อสำเร็จ; ","")&amp;IF(AND($F86="Quotation Sent",$AV86=""),"ยังไม่มีใบราคาที่ตรวจผ่าน; ","")&amp;IF(AND($F86="Won",$AY86=0),"Won ยังไม่มี PO ที่ตรวจผ่าน; ","")&amp;IF(AND($AY86&gt;0,$F86&lt;&gt;"Won"),"มี PO แล้ว—ตรวจสถานะ; ","")&amp;IF(AND($F86="Lost",OR($W86="",$X86="")),"Lost ขาดวัน/เหตุผล; ","")&amp;IF(AND($AA86="Real",NOT(OR($F86="Won",$F86="Lost",$F86="Unqualified")),OR($H86="",$I86="")),"ขาดนัด/งานถัดไป; ","")&amp;IF(OR($AC86="",$AD86=""),"ขาดเวลา/ผู้บันทึก; ","")&amp;IF(AND(ISNUMBER($S86),ISNUMBER($AF86),$S86&lt;$AF86),"ตรวจเวลา attempt ก่อนรับ Lead; ",""))="","ครบ",IF($AE86="","ขาด Lead ID; ","")&amp;IF(AND($AE86&lt;&gt;"",COUNTIF('Leads'!$AE$8:$AE$107,$AE86)&gt;1),"Lead ID ซ้ำ; ","")&amp;IF(COUNTIF('Leads'!$A$8:$A$107,$A86)&gt;1,"Reference ซ้ำ; ","")&amp;IF(COUNTIF('Guide_Lists'!$AR$2:$AR$4,$A86)&gt;0,"Known TEST — ห้ามนับผล; ","")&amp;IF(OR($B86="",$D86=""),"ขาดชื่อ/งาน; ","")&amp;IF(AND($L86="",$M86="",$N86=""),"ขาดช่องทางติดต่อ; ","")&amp;IF(OR($Z86="",$AA86="",$F86="",$G86="",$AT86=""),"ขาดผู้ดูแล/ประเภท/สถานะ/Environment; ","")&amp;IF(NOT(ISNUMBER($AF86)),"ขาดเวลารับ Lead; ","")&amp;IF(AND($AA86="Duplicate",$AB86=""),"ขาด duplicate_of; ","")&amp;IF(AND($G86="Qualified",OR($R86="",$U86="")),"Qualified ขาดเหตุผล/วันที่; ","")&amp;IF(AND($G86="Unqualified",$R86=""),"Unqualified ขาดเหตุผล; ","")&amp;IF(AND($F86="Qualified",$G86&lt;&gt;"Qualified"),"สถานะ/ผลคัดกรองไม่ตรง; ","")&amp;IF(AND($F86="Unqualified",$G86&lt;&gt;"Unqualified"),"สถานะ/ผลคัดกรองไม่ตรง; ","")&amp;IF(AND($F86="Contacting",$S86=""),"ขาดเวลาพยายามติดต่อ; ","")&amp;IF(AND($O86="Contactable",$T86=""),"ขาดเวลาติดต่อสำเร็จ; ","")&amp;IF(AND($F86="Quotation Sent",$AV86=""),"ยังไม่มีใบราคาที่ตรวจผ่าน; ","")&amp;IF(AND($F86="Won",$AY86=0),"Won ยังไม่มี PO ที่ตรวจผ่าน; ","")&amp;IF(AND($AY86&gt;0,$F86&lt;&gt;"Won"),"มี PO แล้ว—ตรวจสถานะ; ","")&amp;IF(AND($F86="Lost",OR($W86="",$X86="")),"Lost ขาดวัน/เหตุผล; ","")&amp;IF(AND($AA86="Real",NOT(OR($F86="Won",$F86="Lost",$F86="Unqualified")),OR($H86="",$I86="")),"ขาดนัด/งานถัดไป; ","")&amp;IF(OR($AC86="",$AD86=""),"ขาดเวลา/ผู้บันทึก; ","")&amp;IF(AND(ISNUMBER($S86),ISNUMBER($AF86),$S86&lt;$AF86),"ตรวจเวลา attempt ก่อนรับ Lead; ","")))</x:f>
      </x:c>
      <x:c r="BA86" s="42" t="str">
        <x:f>IF($A86="","",IF(AND($AE86&lt;&gt;"",$AA86="Real",$AT86="production",COUNTIF('Leads'!$AE$8:$AE$107,$AE86)=1,COUNTIF('Leads'!$A$8:$A$107,$A86)=1,COUNTIF('Guide_Lists'!$AR$2:$AR$4,$A86)=0),1,0))</x:f>
      </x:c>
    </x:row>
    <x:row r="87" ht="30" customHeight="1">
      <x:c r="A87" s="94"/>
      <x:c r="B87" s="32"/>
      <x:c r="C87" s="32"/>
      <x:c r="D87" s="32"/>
      <x:c r="E87" s="92"/>
      <x:c r="F87" s="36"/>
      <x:c r="G87" s="36"/>
      <x:c r="H87" s="82"/>
      <x:c r="I87" s="36"/>
      <x:c r="J87" s="42" t="str">
        <x:f>IF($A87="","",IF(OR($AA87="Test",$AA87="Spam",$AA87="Duplicate",COUNTIF('Guide_Lists'!$AR$2:$AR$4,$A87)&gt;0),"ไม่นับผลธุรกิจ",IF($AA87&lt;&gt;"Real","ระบุประเภทข้อมูล",IF(OR($F87="Won",$F87="Lost",$F87="Unqualified"),"ปิดงานขาย",IF($H87="","ยังไม่นัด",IF(NOT(ISNUMBER($H87)),"ตรวจวันนัด",IF(INT($H87)&lt;'Guide_Lists'!$B$4,"เกินกำหนด",IF(INT($H87)='Guide_Lists'!$B$4,"ติดตามวันนี้","รอนัด"))))))))</x:f>
      </x:c>
      <x:c r="K87" s="32"/>
      <x:c r="L87" s="94"/>
      <x:c r="M87" s="94"/>
      <x:c r="N87" s="94"/>
      <x:c r="O87" s="36"/>
      <x:c r="P87" s="36"/>
      <x:c r="Q87" s="36"/>
      <x:c r="R87" s="36"/>
      <x:c r="S87" s="82"/>
      <x:c r="T87" s="82"/>
      <x:c r="U87" s="82"/>
      <x:c r="V87" s="82"/>
      <x:c r="W87" s="82"/>
      <x:c r="X87" s="36"/>
      <x:c r="Y87" s="36"/>
      <x:c r="Z87" s="36"/>
      <x:c r="AA87" s="36"/>
      <x:c r="AB87" s="96"/>
      <x:c r="AC87" s="82"/>
      <x:c r="AD87" s="36"/>
      <x:c r="AE87" s="94"/>
      <x:c r="AF87" s="86"/>
      <x:c r="AG87" s="32"/>
      <x:c r="AH87" s="32"/>
      <x:c r="AI87" s="32"/>
      <x:c r="AJ87" s="88"/>
      <x:c r="AK87" s="32"/>
      <x:c r="AL87" s="32"/>
      <x:c r="AM87" s="32"/>
      <x:c r="AN87" s="32"/>
      <x:c r="AO87" s="32"/>
      <x:c r="AP87" s="32"/>
      <x:c r="AQ87" s="94"/>
      <x:c r="AR87" s="32"/>
      <x:c r="AS87" s="32"/>
      <x:c r="AT87" s="32"/>
      <x:c r="AU87" s="86"/>
      <x:c r="AV87" s="90" t="str">
        <x:f>IF($A87="","",IF(COUNTIFS('Quotations'!$L$8:$L$107,$AE87,'Quotations'!$O$8:$O$107,1)=0,"",MINIFS('Quotations'!$E$8:$E$107,'Quotations'!$L$8:$L$107,$AE87,'Quotations'!$O$8:$O$107,1)))</x:f>
      </x:c>
      <x:c r="AW87" s="90" t="str">
        <x:f>IF($A87="","",IF(COUNTIFS('Orders_PO'!$N$8:$N$107,$AE87,'Orders_PO'!$Q$8:$Q$107,1)=0,"",MINIFS('Orders_PO'!$E$8:$E$107,'Orders_PO'!$N$8:$N$107,$AE87,'Orders_PO'!$Q$8:$Q$107,1)))</x:f>
      </x:c>
      <x:c r="AX87" s="42" t="str">
        <x:f>IF($A87="","",COUNTIFS('Quotations'!$L$8:$L$107,$AE87,'Quotations'!$O$8:$O$107,1,'Quotations'!$I$8:$I$107,"Yes"))</x:f>
      </x:c>
      <x:c r="AY87" s="42" t="str">
        <x:f>IF($A87="","",COUNTIFS('Orders_PO'!$N$8:$N$107,$AE87,'Orders_PO'!$Q$8:$Q$107,1))</x:f>
      </x:c>
      <x:c r="AZ87" s="42" t="str">
        <x:f>IF($A87="","",IF((IF($AE87="","ขาด Lead ID; ","")&amp;IF(AND($AE87&lt;&gt;"",COUNTIF('Leads'!$AE$8:$AE$107,$AE87)&gt;1),"Lead ID ซ้ำ; ","")&amp;IF(COUNTIF('Leads'!$A$8:$A$107,$A87)&gt;1,"Reference ซ้ำ; ","")&amp;IF(COUNTIF('Guide_Lists'!$AR$2:$AR$4,$A87)&gt;0,"Known TEST — ห้ามนับผล; ","")&amp;IF(OR($B87="",$D87=""),"ขาดชื่อ/งาน; ","")&amp;IF(AND($L87="",$M87="",$N87=""),"ขาดช่องทางติดต่อ; ","")&amp;IF(OR($Z87="",$AA87="",$F87="",$G87="",$AT87=""),"ขาดผู้ดูแล/ประเภท/สถานะ/Environment; ","")&amp;IF(NOT(ISNUMBER($AF87)),"ขาดเวลารับ Lead; ","")&amp;IF(AND($AA87="Duplicate",$AB87=""),"ขาด duplicate_of; ","")&amp;IF(AND($G87="Qualified",OR($R87="",$U87="")),"Qualified ขาดเหตุผล/วันที่; ","")&amp;IF(AND($G87="Unqualified",$R87=""),"Unqualified ขาดเหตุผล; ","")&amp;IF(AND($F87="Qualified",$G87&lt;&gt;"Qualified"),"สถานะ/ผลคัดกรองไม่ตรง; ","")&amp;IF(AND($F87="Unqualified",$G87&lt;&gt;"Unqualified"),"สถานะ/ผลคัดกรองไม่ตรง; ","")&amp;IF(AND($F87="Contacting",$S87=""),"ขาดเวลาพยายามติดต่อ; ","")&amp;IF(AND($O87="Contactable",$T87=""),"ขาดเวลาติดต่อสำเร็จ; ","")&amp;IF(AND($F87="Quotation Sent",$AV87=""),"ยังไม่มีใบราคาที่ตรวจผ่าน; ","")&amp;IF(AND($F87="Won",$AY87=0),"Won ยังไม่มี PO ที่ตรวจผ่าน; ","")&amp;IF(AND($AY87&gt;0,$F87&lt;&gt;"Won"),"มี PO แล้ว—ตรวจสถานะ; ","")&amp;IF(AND($F87="Lost",OR($W87="",$X87="")),"Lost ขาดวัน/เหตุผล; ","")&amp;IF(AND($AA87="Real",NOT(OR($F87="Won",$F87="Lost",$F87="Unqualified")),OR($H87="",$I87="")),"ขาดนัด/งานถัดไป; ","")&amp;IF(OR($AC87="",$AD87=""),"ขาดเวลา/ผู้บันทึก; ","")&amp;IF(AND(ISNUMBER($S87),ISNUMBER($AF87),$S87&lt;$AF87),"ตรวจเวลา attempt ก่อนรับ Lead; ",""))="","ครบ",IF($AE87="","ขาด Lead ID; ","")&amp;IF(AND($AE87&lt;&gt;"",COUNTIF('Leads'!$AE$8:$AE$107,$AE87)&gt;1),"Lead ID ซ้ำ; ","")&amp;IF(COUNTIF('Leads'!$A$8:$A$107,$A87)&gt;1,"Reference ซ้ำ; ","")&amp;IF(COUNTIF('Guide_Lists'!$AR$2:$AR$4,$A87)&gt;0,"Known TEST — ห้ามนับผล; ","")&amp;IF(OR($B87="",$D87=""),"ขาดชื่อ/งาน; ","")&amp;IF(AND($L87="",$M87="",$N87=""),"ขาดช่องทางติดต่อ; ","")&amp;IF(OR($Z87="",$AA87="",$F87="",$G87="",$AT87=""),"ขาดผู้ดูแล/ประเภท/สถานะ/Environment; ","")&amp;IF(NOT(ISNUMBER($AF87)),"ขาดเวลารับ Lead; ","")&amp;IF(AND($AA87="Duplicate",$AB87=""),"ขาด duplicate_of; ","")&amp;IF(AND($G87="Qualified",OR($R87="",$U87="")),"Qualified ขาดเหตุผล/วันที่; ","")&amp;IF(AND($G87="Unqualified",$R87=""),"Unqualified ขาดเหตุผล; ","")&amp;IF(AND($F87="Qualified",$G87&lt;&gt;"Qualified"),"สถานะ/ผลคัดกรองไม่ตรง; ","")&amp;IF(AND($F87="Unqualified",$G87&lt;&gt;"Unqualified"),"สถานะ/ผลคัดกรองไม่ตรง; ","")&amp;IF(AND($F87="Contacting",$S87=""),"ขาดเวลาพยายามติดต่อ; ","")&amp;IF(AND($O87="Contactable",$T87=""),"ขาดเวลาติดต่อสำเร็จ; ","")&amp;IF(AND($F87="Quotation Sent",$AV87=""),"ยังไม่มีใบราคาที่ตรวจผ่าน; ","")&amp;IF(AND($F87="Won",$AY87=0),"Won ยังไม่มี PO ที่ตรวจผ่าน; ","")&amp;IF(AND($AY87&gt;0,$F87&lt;&gt;"Won"),"มี PO แล้ว—ตรวจสถานะ; ","")&amp;IF(AND($F87="Lost",OR($W87="",$X87="")),"Lost ขาดวัน/เหตุผล; ","")&amp;IF(AND($AA87="Real",NOT(OR($F87="Won",$F87="Lost",$F87="Unqualified")),OR($H87="",$I87="")),"ขาดนัด/งานถัดไป; ","")&amp;IF(OR($AC87="",$AD87=""),"ขาดเวลา/ผู้บันทึก; ","")&amp;IF(AND(ISNUMBER($S87),ISNUMBER($AF87),$S87&lt;$AF87),"ตรวจเวลา attempt ก่อนรับ Lead; ","")))</x:f>
      </x:c>
      <x:c r="BA87" s="42" t="str">
        <x:f>IF($A87="","",IF(AND($AE87&lt;&gt;"",$AA87="Real",$AT87="production",COUNTIF('Leads'!$AE$8:$AE$107,$AE87)=1,COUNTIF('Leads'!$A$8:$A$107,$A87)=1,COUNTIF('Guide_Lists'!$AR$2:$AR$4,$A87)=0),1,0))</x:f>
      </x:c>
    </x:row>
    <x:row r="88" ht="30" customHeight="1">
      <x:c r="A88" s="94"/>
      <x:c r="B88" s="32"/>
      <x:c r="C88" s="32"/>
      <x:c r="D88" s="32"/>
      <x:c r="E88" s="92"/>
      <x:c r="F88" s="36"/>
      <x:c r="G88" s="36"/>
      <x:c r="H88" s="82"/>
      <x:c r="I88" s="36"/>
      <x:c r="J88" s="42" t="str">
        <x:f>IF($A88="","",IF(OR($AA88="Test",$AA88="Spam",$AA88="Duplicate",COUNTIF('Guide_Lists'!$AR$2:$AR$4,$A88)&gt;0),"ไม่นับผลธุรกิจ",IF($AA88&lt;&gt;"Real","ระบุประเภทข้อมูล",IF(OR($F88="Won",$F88="Lost",$F88="Unqualified"),"ปิดงานขาย",IF($H88="","ยังไม่นัด",IF(NOT(ISNUMBER($H88)),"ตรวจวันนัด",IF(INT($H88)&lt;'Guide_Lists'!$B$4,"เกินกำหนด",IF(INT($H88)='Guide_Lists'!$B$4,"ติดตามวันนี้","รอนัด"))))))))</x:f>
      </x:c>
      <x:c r="K88" s="32"/>
      <x:c r="L88" s="94"/>
      <x:c r="M88" s="94"/>
      <x:c r="N88" s="94"/>
      <x:c r="O88" s="36"/>
      <x:c r="P88" s="36"/>
      <x:c r="Q88" s="36"/>
      <x:c r="R88" s="36"/>
      <x:c r="S88" s="82"/>
      <x:c r="T88" s="82"/>
      <x:c r="U88" s="82"/>
      <x:c r="V88" s="82"/>
      <x:c r="W88" s="82"/>
      <x:c r="X88" s="36"/>
      <x:c r="Y88" s="36"/>
      <x:c r="Z88" s="36"/>
      <x:c r="AA88" s="36"/>
      <x:c r="AB88" s="96"/>
      <x:c r="AC88" s="82"/>
      <x:c r="AD88" s="36"/>
      <x:c r="AE88" s="94"/>
      <x:c r="AF88" s="86"/>
      <x:c r="AG88" s="32"/>
      <x:c r="AH88" s="32"/>
      <x:c r="AI88" s="32"/>
      <x:c r="AJ88" s="88"/>
      <x:c r="AK88" s="32"/>
      <x:c r="AL88" s="32"/>
      <x:c r="AM88" s="32"/>
      <x:c r="AN88" s="32"/>
      <x:c r="AO88" s="32"/>
      <x:c r="AP88" s="32"/>
      <x:c r="AQ88" s="94"/>
      <x:c r="AR88" s="32"/>
      <x:c r="AS88" s="32"/>
      <x:c r="AT88" s="32"/>
      <x:c r="AU88" s="86"/>
      <x:c r="AV88" s="90" t="str">
        <x:f>IF($A88="","",IF(COUNTIFS('Quotations'!$L$8:$L$107,$AE88,'Quotations'!$O$8:$O$107,1)=0,"",MINIFS('Quotations'!$E$8:$E$107,'Quotations'!$L$8:$L$107,$AE88,'Quotations'!$O$8:$O$107,1)))</x:f>
      </x:c>
      <x:c r="AW88" s="90" t="str">
        <x:f>IF($A88="","",IF(COUNTIFS('Orders_PO'!$N$8:$N$107,$AE88,'Orders_PO'!$Q$8:$Q$107,1)=0,"",MINIFS('Orders_PO'!$E$8:$E$107,'Orders_PO'!$N$8:$N$107,$AE88,'Orders_PO'!$Q$8:$Q$107,1)))</x:f>
      </x:c>
      <x:c r="AX88" s="42" t="str">
        <x:f>IF($A88="","",COUNTIFS('Quotations'!$L$8:$L$107,$AE88,'Quotations'!$O$8:$O$107,1,'Quotations'!$I$8:$I$107,"Yes"))</x:f>
      </x:c>
      <x:c r="AY88" s="42" t="str">
        <x:f>IF($A88="","",COUNTIFS('Orders_PO'!$N$8:$N$107,$AE88,'Orders_PO'!$Q$8:$Q$107,1))</x:f>
      </x:c>
      <x:c r="AZ88" s="42" t="str">
        <x:f>IF($A88="","",IF((IF($AE88="","ขาด Lead ID; ","")&amp;IF(AND($AE88&lt;&gt;"",COUNTIF('Leads'!$AE$8:$AE$107,$AE88)&gt;1),"Lead ID ซ้ำ; ","")&amp;IF(COUNTIF('Leads'!$A$8:$A$107,$A88)&gt;1,"Reference ซ้ำ; ","")&amp;IF(COUNTIF('Guide_Lists'!$AR$2:$AR$4,$A88)&gt;0,"Known TEST — ห้ามนับผล; ","")&amp;IF(OR($B88="",$D88=""),"ขาดชื่อ/งาน; ","")&amp;IF(AND($L88="",$M88="",$N88=""),"ขาดช่องทางติดต่อ; ","")&amp;IF(OR($Z88="",$AA88="",$F88="",$G88="",$AT88=""),"ขาดผู้ดูแล/ประเภท/สถานะ/Environment; ","")&amp;IF(NOT(ISNUMBER($AF88)),"ขาดเวลารับ Lead; ","")&amp;IF(AND($AA88="Duplicate",$AB88=""),"ขาด duplicate_of; ","")&amp;IF(AND($G88="Qualified",OR($R88="",$U88="")),"Qualified ขาดเหตุผล/วันที่; ","")&amp;IF(AND($G88="Unqualified",$R88=""),"Unqualified ขาดเหตุผล; ","")&amp;IF(AND($F88="Qualified",$G88&lt;&gt;"Qualified"),"สถานะ/ผลคัดกรองไม่ตรง; ","")&amp;IF(AND($F88="Unqualified",$G88&lt;&gt;"Unqualified"),"สถานะ/ผลคัดกรองไม่ตรง; ","")&amp;IF(AND($F88="Contacting",$S88=""),"ขาดเวลาพยายามติดต่อ; ","")&amp;IF(AND($O88="Contactable",$T88=""),"ขาดเวลาติดต่อสำเร็จ; ","")&amp;IF(AND($F88="Quotation Sent",$AV88=""),"ยังไม่มีใบราคาที่ตรวจผ่าน; ","")&amp;IF(AND($F88="Won",$AY88=0),"Won ยังไม่มี PO ที่ตรวจผ่าน; ","")&amp;IF(AND($AY88&gt;0,$F88&lt;&gt;"Won"),"มี PO แล้ว—ตรวจสถานะ; ","")&amp;IF(AND($F88="Lost",OR($W88="",$X88="")),"Lost ขาดวัน/เหตุผล; ","")&amp;IF(AND($AA88="Real",NOT(OR($F88="Won",$F88="Lost",$F88="Unqualified")),OR($H88="",$I88="")),"ขาดนัด/งานถัดไป; ","")&amp;IF(OR($AC88="",$AD88=""),"ขาดเวลา/ผู้บันทึก; ","")&amp;IF(AND(ISNUMBER($S88),ISNUMBER($AF88),$S88&lt;$AF88),"ตรวจเวลา attempt ก่อนรับ Lead; ",""))="","ครบ",IF($AE88="","ขาด Lead ID; ","")&amp;IF(AND($AE88&lt;&gt;"",COUNTIF('Leads'!$AE$8:$AE$107,$AE88)&gt;1),"Lead ID ซ้ำ; ","")&amp;IF(COUNTIF('Leads'!$A$8:$A$107,$A88)&gt;1,"Reference ซ้ำ; ","")&amp;IF(COUNTIF('Guide_Lists'!$AR$2:$AR$4,$A88)&gt;0,"Known TEST — ห้ามนับผล; ","")&amp;IF(OR($B88="",$D88=""),"ขาดชื่อ/งาน; ","")&amp;IF(AND($L88="",$M88="",$N88=""),"ขาดช่องทางติดต่อ; ","")&amp;IF(OR($Z88="",$AA88="",$F88="",$G88="",$AT88=""),"ขาดผู้ดูแล/ประเภท/สถานะ/Environment; ","")&amp;IF(NOT(ISNUMBER($AF88)),"ขาดเวลารับ Lead; ","")&amp;IF(AND($AA88="Duplicate",$AB88=""),"ขาด duplicate_of; ","")&amp;IF(AND($G88="Qualified",OR($R88="",$U88="")),"Qualified ขาดเหตุผล/วันที่; ","")&amp;IF(AND($G88="Unqualified",$R88=""),"Unqualified ขาดเหตุผล; ","")&amp;IF(AND($F88="Qualified",$G88&lt;&gt;"Qualified"),"สถานะ/ผลคัดกรองไม่ตรง; ","")&amp;IF(AND($F88="Unqualified",$G88&lt;&gt;"Unqualified"),"สถานะ/ผลคัดกรองไม่ตรง; ","")&amp;IF(AND($F88="Contacting",$S88=""),"ขาดเวลาพยายามติดต่อ; ","")&amp;IF(AND($O88="Contactable",$T88=""),"ขาดเวลาติดต่อสำเร็จ; ","")&amp;IF(AND($F88="Quotation Sent",$AV88=""),"ยังไม่มีใบราคาที่ตรวจผ่าน; ","")&amp;IF(AND($F88="Won",$AY88=0),"Won ยังไม่มี PO ที่ตรวจผ่าน; ","")&amp;IF(AND($AY88&gt;0,$F88&lt;&gt;"Won"),"มี PO แล้ว—ตรวจสถานะ; ","")&amp;IF(AND($F88="Lost",OR($W88="",$X88="")),"Lost ขาดวัน/เหตุผล; ","")&amp;IF(AND($AA88="Real",NOT(OR($F88="Won",$F88="Lost",$F88="Unqualified")),OR($H88="",$I88="")),"ขาดนัด/งานถัดไป; ","")&amp;IF(OR($AC88="",$AD88=""),"ขาดเวลา/ผู้บันทึก; ","")&amp;IF(AND(ISNUMBER($S88),ISNUMBER($AF88),$S88&lt;$AF88),"ตรวจเวลา attempt ก่อนรับ Lead; ","")))</x:f>
      </x:c>
      <x:c r="BA88" s="42" t="str">
        <x:f>IF($A88="","",IF(AND($AE88&lt;&gt;"",$AA88="Real",$AT88="production",COUNTIF('Leads'!$AE$8:$AE$107,$AE88)=1,COUNTIF('Leads'!$A$8:$A$107,$A88)=1,COUNTIF('Guide_Lists'!$AR$2:$AR$4,$A88)=0),1,0))</x:f>
      </x:c>
    </x:row>
    <x:row r="89" ht="30" customHeight="1">
      <x:c r="A89" s="94"/>
      <x:c r="B89" s="32"/>
      <x:c r="C89" s="32"/>
      <x:c r="D89" s="32"/>
      <x:c r="E89" s="92"/>
      <x:c r="F89" s="36"/>
      <x:c r="G89" s="36"/>
      <x:c r="H89" s="82"/>
      <x:c r="I89" s="36"/>
      <x:c r="J89" s="42" t="str">
        <x:f>IF($A89="","",IF(OR($AA89="Test",$AA89="Spam",$AA89="Duplicate",COUNTIF('Guide_Lists'!$AR$2:$AR$4,$A89)&gt;0),"ไม่นับผลธุรกิจ",IF($AA89&lt;&gt;"Real","ระบุประเภทข้อมูล",IF(OR($F89="Won",$F89="Lost",$F89="Unqualified"),"ปิดงานขาย",IF($H89="","ยังไม่นัด",IF(NOT(ISNUMBER($H89)),"ตรวจวันนัด",IF(INT($H89)&lt;'Guide_Lists'!$B$4,"เกินกำหนด",IF(INT($H89)='Guide_Lists'!$B$4,"ติดตามวันนี้","รอนัด"))))))))</x:f>
      </x:c>
      <x:c r="K89" s="32"/>
      <x:c r="L89" s="94"/>
      <x:c r="M89" s="94"/>
      <x:c r="N89" s="94"/>
      <x:c r="O89" s="36"/>
      <x:c r="P89" s="36"/>
      <x:c r="Q89" s="36"/>
      <x:c r="R89" s="36"/>
      <x:c r="S89" s="82"/>
      <x:c r="T89" s="82"/>
      <x:c r="U89" s="82"/>
      <x:c r="V89" s="82"/>
      <x:c r="W89" s="82"/>
      <x:c r="X89" s="36"/>
      <x:c r="Y89" s="36"/>
      <x:c r="Z89" s="36"/>
      <x:c r="AA89" s="36"/>
      <x:c r="AB89" s="96"/>
      <x:c r="AC89" s="82"/>
      <x:c r="AD89" s="36"/>
      <x:c r="AE89" s="94"/>
      <x:c r="AF89" s="86"/>
      <x:c r="AG89" s="32"/>
      <x:c r="AH89" s="32"/>
      <x:c r="AI89" s="32"/>
      <x:c r="AJ89" s="88"/>
      <x:c r="AK89" s="32"/>
      <x:c r="AL89" s="32"/>
      <x:c r="AM89" s="32"/>
      <x:c r="AN89" s="32"/>
      <x:c r="AO89" s="32"/>
      <x:c r="AP89" s="32"/>
      <x:c r="AQ89" s="94"/>
      <x:c r="AR89" s="32"/>
      <x:c r="AS89" s="32"/>
      <x:c r="AT89" s="32"/>
      <x:c r="AU89" s="86"/>
      <x:c r="AV89" s="90" t="str">
        <x:f>IF($A89="","",IF(COUNTIFS('Quotations'!$L$8:$L$107,$AE89,'Quotations'!$O$8:$O$107,1)=0,"",MINIFS('Quotations'!$E$8:$E$107,'Quotations'!$L$8:$L$107,$AE89,'Quotations'!$O$8:$O$107,1)))</x:f>
      </x:c>
      <x:c r="AW89" s="90" t="str">
        <x:f>IF($A89="","",IF(COUNTIFS('Orders_PO'!$N$8:$N$107,$AE89,'Orders_PO'!$Q$8:$Q$107,1)=0,"",MINIFS('Orders_PO'!$E$8:$E$107,'Orders_PO'!$N$8:$N$107,$AE89,'Orders_PO'!$Q$8:$Q$107,1)))</x:f>
      </x:c>
      <x:c r="AX89" s="42" t="str">
        <x:f>IF($A89="","",COUNTIFS('Quotations'!$L$8:$L$107,$AE89,'Quotations'!$O$8:$O$107,1,'Quotations'!$I$8:$I$107,"Yes"))</x:f>
      </x:c>
      <x:c r="AY89" s="42" t="str">
        <x:f>IF($A89="","",COUNTIFS('Orders_PO'!$N$8:$N$107,$AE89,'Orders_PO'!$Q$8:$Q$107,1))</x:f>
      </x:c>
      <x:c r="AZ89" s="42" t="str">
        <x:f>IF($A89="","",IF((IF($AE89="","ขาด Lead ID; ","")&amp;IF(AND($AE89&lt;&gt;"",COUNTIF('Leads'!$AE$8:$AE$107,$AE89)&gt;1),"Lead ID ซ้ำ; ","")&amp;IF(COUNTIF('Leads'!$A$8:$A$107,$A89)&gt;1,"Reference ซ้ำ; ","")&amp;IF(COUNTIF('Guide_Lists'!$AR$2:$AR$4,$A89)&gt;0,"Known TEST — ห้ามนับผล; ","")&amp;IF(OR($B89="",$D89=""),"ขาดชื่อ/งาน; ","")&amp;IF(AND($L89="",$M89="",$N89=""),"ขาดช่องทางติดต่อ; ","")&amp;IF(OR($Z89="",$AA89="",$F89="",$G89="",$AT89=""),"ขาดผู้ดูแล/ประเภท/สถานะ/Environment; ","")&amp;IF(NOT(ISNUMBER($AF89)),"ขาดเวลารับ Lead; ","")&amp;IF(AND($AA89="Duplicate",$AB89=""),"ขาด duplicate_of; ","")&amp;IF(AND($G89="Qualified",OR($R89="",$U89="")),"Qualified ขาดเหตุผล/วันที่; ","")&amp;IF(AND($G89="Unqualified",$R89=""),"Unqualified ขาดเหตุผล; ","")&amp;IF(AND($F89="Qualified",$G89&lt;&gt;"Qualified"),"สถานะ/ผลคัดกรองไม่ตรง; ","")&amp;IF(AND($F89="Unqualified",$G89&lt;&gt;"Unqualified"),"สถานะ/ผลคัดกรองไม่ตรง; ","")&amp;IF(AND($F89="Contacting",$S89=""),"ขาดเวลาพยายามติดต่อ; ","")&amp;IF(AND($O89="Contactable",$T89=""),"ขาดเวลาติดต่อสำเร็จ; ","")&amp;IF(AND($F89="Quotation Sent",$AV89=""),"ยังไม่มีใบราคาที่ตรวจผ่าน; ","")&amp;IF(AND($F89="Won",$AY89=0),"Won ยังไม่มี PO ที่ตรวจผ่าน; ","")&amp;IF(AND($AY89&gt;0,$F89&lt;&gt;"Won"),"มี PO แล้ว—ตรวจสถานะ; ","")&amp;IF(AND($F89="Lost",OR($W89="",$X89="")),"Lost ขาดวัน/เหตุผล; ","")&amp;IF(AND($AA89="Real",NOT(OR($F89="Won",$F89="Lost",$F89="Unqualified")),OR($H89="",$I89="")),"ขาดนัด/งานถัดไป; ","")&amp;IF(OR($AC89="",$AD89=""),"ขาดเวลา/ผู้บันทึก; ","")&amp;IF(AND(ISNUMBER($S89),ISNUMBER($AF89),$S89&lt;$AF89),"ตรวจเวลา attempt ก่อนรับ Lead; ",""))="","ครบ",IF($AE89="","ขาด Lead ID; ","")&amp;IF(AND($AE89&lt;&gt;"",COUNTIF('Leads'!$AE$8:$AE$107,$AE89)&gt;1),"Lead ID ซ้ำ; ","")&amp;IF(COUNTIF('Leads'!$A$8:$A$107,$A89)&gt;1,"Reference ซ้ำ; ","")&amp;IF(COUNTIF('Guide_Lists'!$AR$2:$AR$4,$A89)&gt;0,"Known TEST — ห้ามนับผล; ","")&amp;IF(OR($B89="",$D89=""),"ขาดชื่อ/งาน; ","")&amp;IF(AND($L89="",$M89="",$N89=""),"ขาดช่องทางติดต่อ; ","")&amp;IF(OR($Z89="",$AA89="",$F89="",$G89="",$AT89=""),"ขาดผู้ดูแล/ประเภท/สถานะ/Environment; ","")&amp;IF(NOT(ISNUMBER($AF89)),"ขาดเวลารับ Lead; ","")&amp;IF(AND($AA89="Duplicate",$AB89=""),"ขาด duplicate_of; ","")&amp;IF(AND($G89="Qualified",OR($R89="",$U89="")),"Qualified ขาดเหตุผล/วันที่; ","")&amp;IF(AND($G89="Unqualified",$R89=""),"Unqualified ขาดเหตุผล; ","")&amp;IF(AND($F89="Qualified",$G89&lt;&gt;"Qualified"),"สถานะ/ผลคัดกรองไม่ตรง; ","")&amp;IF(AND($F89="Unqualified",$G89&lt;&gt;"Unqualified"),"สถานะ/ผลคัดกรองไม่ตรง; ","")&amp;IF(AND($F89="Contacting",$S89=""),"ขาดเวลาพยายามติดต่อ; ","")&amp;IF(AND($O89="Contactable",$T89=""),"ขาดเวลาติดต่อสำเร็จ; ","")&amp;IF(AND($F89="Quotation Sent",$AV89=""),"ยังไม่มีใบราคาที่ตรวจผ่าน; ","")&amp;IF(AND($F89="Won",$AY89=0),"Won ยังไม่มี PO ที่ตรวจผ่าน; ","")&amp;IF(AND($AY89&gt;0,$F89&lt;&gt;"Won"),"มี PO แล้ว—ตรวจสถานะ; ","")&amp;IF(AND($F89="Lost",OR($W89="",$X89="")),"Lost ขาดวัน/เหตุผล; ","")&amp;IF(AND($AA89="Real",NOT(OR($F89="Won",$F89="Lost",$F89="Unqualified")),OR($H89="",$I89="")),"ขาดนัด/งานถัดไป; ","")&amp;IF(OR($AC89="",$AD89=""),"ขาดเวลา/ผู้บันทึก; ","")&amp;IF(AND(ISNUMBER($S89),ISNUMBER($AF89),$S89&lt;$AF89),"ตรวจเวลา attempt ก่อนรับ Lead; ","")))</x:f>
      </x:c>
      <x:c r="BA89" s="42" t="str">
        <x:f>IF($A89="","",IF(AND($AE89&lt;&gt;"",$AA89="Real",$AT89="production",COUNTIF('Leads'!$AE$8:$AE$107,$AE89)=1,COUNTIF('Leads'!$A$8:$A$107,$A89)=1,COUNTIF('Guide_Lists'!$AR$2:$AR$4,$A89)=0),1,0))</x:f>
      </x:c>
    </x:row>
    <x:row r="90" ht="30" customHeight="1">
      <x:c r="A90" s="94"/>
      <x:c r="B90" s="32"/>
      <x:c r="C90" s="32"/>
      <x:c r="D90" s="32"/>
      <x:c r="E90" s="92"/>
      <x:c r="F90" s="36"/>
      <x:c r="G90" s="36"/>
      <x:c r="H90" s="82"/>
      <x:c r="I90" s="36"/>
      <x:c r="J90" s="42" t="str">
        <x:f>IF($A90="","",IF(OR($AA90="Test",$AA90="Spam",$AA90="Duplicate",COUNTIF('Guide_Lists'!$AR$2:$AR$4,$A90)&gt;0),"ไม่นับผลธุรกิจ",IF($AA90&lt;&gt;"Real","ระบุประเภทข้อมูล",IF(OR($F90="Won",$F90="Lost",$F90="Unqualified"),"ปิดงานขาย",IF($H90="","ยังไม่นัด",IF(NOT(ISNUMBER($H90)),"ตรวจวันนัด",IF(INT($H90)&lt;'Guide_Lists'!$B$4,"เกินกำหนด",IF(INT($H90)='Guide_Lists'!$B$4,"ติดตามวันนี้","รอนัด"))))))))</x:f>
      </x:c>
      <x:c r="K90" s="32"/>
      <x:c r="L90" s="94"/>
      <x:c r="M90" s="94"/>
      <x:c r="N90" s="94"/>
      <x:c r="O90" s="36"/>
      <x:c r="P90" s="36"/>
      <x:c r="Q90" s="36"/>
      <x:c r="R90" s="36"/>
      <x:c r="S90" s="82"/>
      <x:c r="T90" s="82"/>
      <x:c r="U90" s="82"/>
      <x:c r="V90" s="82"/>
      <x:c r="W90" s="82"/>
      <x:c r="X90" s="36"/>
      <x:c r="Y90" s="36"/>
      <x:c r="Z90" s="36"/>
      <x:c r="AA90" s="36"/>
      <x:c r="AB90" s="96"/>
      <x:c r="AC90" s="82"/>
      <x:c r="AD90" s="36"/>
      <x:c r="AE90" s="94"/>
      <x:c r="AF90" s="86"/>
      <x:c r="AG90" s="32"/>
      <x:c r="AH90" s="32"/>
      <x:c r="AI90" s="32"/>
      <x:c r="AJ90" s="88"/>
      <x:c r="AK90" s="32"/>
      <x:c r="AL90" s="32"/>
      <x:c r="AM90" s="32"/>
      <x:c r="AN90" s="32"/>
      <x:c r="AO90" s="32"/>
      <x:c r="AP90" s="32"/>
      <x:c r="AQ90" s="94"/>
      <x:c r="AR90" s="32"/>
      <x:c r="AS90" s="32"/>
      <x:c r="AT90" s="32"/>
      <x:c r="AU90" s="86"/>
      <x:c r="AV90" s="90" t="str">
        <x:f>IF($A90="","",IF(COUNTIFS('Quotations'!$L$8:$L$107,$AE90,'Quotations'!$O$8:$O$107,1)=0,"",MINIFS('Quotations'!$E$8:$E$107,'Quotations'!$L$8:$L$107,$AE90,'Quotations'!$O$8:$O$107,1)))</x:f>
      </x:c>
      <x:c r="AW90" s="90" t="str">
        <x:f>IF($A90="","",IF(COUNTIFS('Orders_PO'!$N$8:$N$107,$AE90,'Orders_PO'!$Q$8:$Q$107,1)=0,"",MINIFS('Orders_PO'!$E$8:$E$107,'Orders_PO'!$N$8:$N$107,$AE90,'Orders_PO'!$Q$8:$Q$107,1)))</x:f>
      </x:c>
      <x:c r="AX90" s="42" t="str">
        <x:f>IF($A90="","",COUNTIFS('Quotations'!$L$8:$L$107,$AE90,'Quotations'!$O$8:$O$107,1,'Quotations'!$I$8:$I$107,"Yes"))</x:f>
      </x:c>
      <x:c r="AY90" s="42" t="str">
        <x:f>IF($A90="","",COUNTIFS('Orders_PO'!$N$8:$N$107,$AE90,'Orders_PO'!$Q$8:$Q$107,1))</x:f>
      </x:c>
      <x:c r="AZ90" s="42" t="str">
        <x:f>IF($A90="","",IF((IF($AE90="","ขาด Lead ID; ","")&amp;IF(AND($AE90&lt;&gt;"",COUNTIF('Leads'!$AE$8:$AE$107,$AE90)&gt;1),"Lead ID ซ้ำ; ","")&amp;IF(COUNTIF('Leads'!$A$8:$A$107,$A90)&gt;1,"Reference ซ้ำ; ","")&amp;IF(COUNTIF('Guide_Lists'!$AR$2:$AR$4,$A90)&gt;0,"Known TEST — ห้ามนับผล; ","")&amp;IF(OR($B90="",$D90=""),"ขาดชื่อ/งาน; ","")&amp;IF(AND($L90="",$M90="",$N90=""),"ขาดช่องทางติดต่อ; ","")&amp;IF(OR($Z90="",$AA90="",$F90="",$G90="",$AT90=""),"ขาดผู้ดูแล/ประเภท/สถานะ/Environment; ","")&amp;IF(NOT(ISNUMBER($AF90)),"ขาดเวลารับ Lead; ","")&amp;IF(AND($AA90="Duplicate",$AB90=""),"ขาด duplicate_of; ","")&amp;IF(AND($G90="Qualified",OR($R90="",$U90="")),"Qualified ขาดเหตุผล/วันที่; ","")&amp;IF(AND($G90="Unqualified",$R90=""),"Unqualified ขาดเหตุผล; ","")&amp;IF(AND($F90="Qualified",$G90&lt;&gt;"Qualified"),"สถานะ/ผลคัดกรองไม่ตรง; ","")&amp;IF(AND($F90="Unqualified",$G90&lt;&gt;"Unqualified"),"สถานะ/ผลคัดกรองไม่ตรง; ","")&amp;IF(AND($F90="Contacting",$S90=""),"ขาดเวลาพยายามติดต่อ; ","")&amp;IF(AND($O90="Contactable",$T90=""),"ขาดเวลาติดต่อสำเร็จ; ","")&amp;IF(AND($F90="Quotation Sent",$AV90=""),"ยังไม่มีใบราคาที่ตรวจผ่าน; ","")&amp;IF(AND($F90="Won",$AY90=0),"Won ยังไม่มี PO ที่ตรวจผ่าน; ","")&amp;IF(AND($AY90&gt;0,$F90&lt;&gt;"Won"),"มี PO แล้ว—ตรวจสถานะ; ","")&amp;IF(AND($F90="Lost",OR($W90="",$X90="")),"Lost ขาดวัน/เหตุผล; ","")&amp;IF(AND($AA90="Real",NOT(OR($F90="Won",$F90="Lost",$F90="Unqualified")),OR($H90="",$I90="")),"ขาดนัด/งานถัดไป; ","")&amp;IF(OR($AC90="",$AD90=""),"ขาดเวลา/ผู้บันทึก; ","")&amp;IF(AND(ISNUMBER($S90),ISNUMBER($AF90),$S90&lt;$AF90),"ตรวจเวลา attempt ก่อนรับ Lead; ",""))="","ครบ",IF($AE90="","ขาด Lead ID; ","")&amp;IF(AND($AE90&lt;&gt;"",COUNTIF('Leads'!$AE$8:$AE$107,$AE90)&gt;1),"Lead ID ซ้ำ; ","")&amp;IF(COUNTIF('Leads'!$A$8:$A$107,$A90)&gt;1,"Reference ซ้ำ; ","")&amp;IF(COUNTIF('Guide_Lists'!$AR$2:$AR$4,$A90)&gt;0,"Known TEST — ห้ามนับผล; ","")&amp;IF(OR($B90="",$D90=""),"ขาดชื่อ/งาน; ","")&amp;IF(AND($L90="",$M90="",$N90=""),"ขาดช่องทางติดต่อ; ","")&amp;IF(OR($Z90="",$AA90="",$F90="",$G90="",$AT90=""),"ขาดผู้ดูแล/ประเภท/สถานะ/Environment; ","")&amp;IF(NOT(ISNUMBER($AF90)),"ขาดเวลารับ Lead; ","")&amp;IF(AND($AA90="Duplicate",$AB90=""),"ขาด duplicate_of; ","")&amp;IF(AND($G90="Qualified",OR($R90="",$U90="")),"Qualified ขาดเหตุผล/วันที่; ","")&amp;IF(AND($G90="Unqualified",$R90=""),"Unqualified ขาดเหตุผล; ","")&amp;IF(AND($F90="Qualified",$G90&lt;&gt;"Qualified"),"สถานะ/ผลคัดกรองไม่ตรง; ","")&amp;IF(AND($F90="Unqualified",$G90&lt;&gt;"Unqualified"),"สถานะ/ผลคัดกรองไม่ตรง; ","")&amp;IF(AND($F90="Contacting",$S90=""),"ขาดเวลาพยายามติดต่อ; ","")&amp;IF(AND($O90="Contactable",$T90=""),"ขาดเวลาติดต่อสำเร็จ; ","")&amp;IF(AND($F90="Quotation Sent",$AV90=""),"ยังไม่มีใบราคาที่ตรวจผ่าน; ","")&amp;IF(AND($F90="Won",$AY90=0),"Won ยังไม่มี PO ที่ตรวจผ่าน; ","")&amp;IF(AND($AY90&gt;0,$F90&lt;&gt;"Won"),"มี PO แล้ว—ตรวจสถานะ; ","")&amp;IF(AND($F90="Lost",OR($W90="",$X90="")),"Lost ขาดวัน/เหตุผล; ","")&amp;IF(AND($AA90="Real",NOT(OR($F90="Won",$F90="Lost",$F90="Unqualified")),OR($H90="",$I90="")),"ขาดนัด/งานถัดไป; ","")&amp;IF(OR($AC90="",$AD90=""),"ขาดเวลา/ผู้บันทึก; ","")&amp;IF(AND(ISNUMBER($S90),ISNUMBER($AF90),$S90&lt;$AF90),"ตรวจเวลา attempt ก่อนรับ Lead; ","")))</x:f>
      </x:c>
      <x:c r="BA90" s="42" t="str">
        <x:f>IF($A90="","",IF(AND($AE90&lt;&gt;"",$AA90="Real",$AT90="production",COUNTIF('Leads'!$AE$8:$AE$107,$AE90)=1,COUNTIF('Leads'!$A$8:$A$107,$A90)=1,COUNTIF('Guide_Lists'!$AR$2:$AR$4,$A90)=0),1,0))</x:f>
      </x:c>
    </x:row>
    <x:row r="91" ht="30" customHeight="1">
      <x:c r="A91" s="94"/>
      <x:c r="B91" s="32"/>
      <x:c r="C91" s="32"/>
      <x:c r="D91" s="32"/>
      <x:c r="E91" s="92"/>
      <x:c r="F91" s="36"/>
      <x:c r="G91" s="36"/>
      <x:c r="H91" s="82"/>
      <x:c r="I91" s="36"/>
      <x:c r="J91" s="42" t="str">
        <x:f>IF($A91="","",IF(OR($AA91="Test",$AA91="Spam",$AA91="Duplicate",COUNTIF('Guide_Lists'!$AR$2:$AR$4,$A91)&gt;0),"ไม่นับผลธุรกิจ",IF($AA91&lt;&gt;"Real","ระบุประเภทข้อมูล",IF(OR($F91="Won",$F91="Lost",$F91="Unqualified"),"ปิดงานขาย",IF($H91="","ยังไม่นัด",IF(NOT(ISNUMBER($H91)),"ตรวจวันนัด",IF(INT($H91)&lt;'Guide_Lists'!$B$4,"เกินกำหนด",IF(INT($H91)='Guide_Lists'!$B$4,"ติดตามวันนี้","รอนัด"))))))))</x:f>
      </x:c>
      <x:c r="K91" s="32"/>
      <x:c r="L91" s="94"/>
      <x:c r="M91" s="94"/>
      <x:c r="N91" s="94"/>
      <x:c r="O91" s="36"/>
      <x:c r="P91" s="36"/>
      <x:c r="Q91" s="36"/>
      <x:c r="R91" s="36"/>
      <x:c r="S91" s="82"/>
      <x:c r="T91" s="82"/>
      <x:c r="U91" s="82"/>
      <x:c r="V91" s="82"/>
      <x:c r="W91" s="82"/>
      <x:c r="X91" s="36"/>
      <x:c r="Y91" s="36"/>
      <x:c r="Z91" s="36"/>
      <x:c r="AA91" s="36"/>
      <x:c r="AB91" s="96"/>
      <x:c r="AC91" s="82"/>
      <x:c r="AD91" s="36"/>
      <x:c r="AE91" s="94"/>
      <x:c r="AF91" s="86"/>
      <x:c r="AG91" s="32"/>
      <x:c r="AH91" s="32"/>
      <x:c r="AI91" s="32"/>
      <x:c r="AJ91" s="88"/>
      <x:c r="AK91" s="32"/>
      <x:c r="AL91" s="32"/>
      <x:c r="AM91" s="32"/>
      <x:c r="AN91" s="32"/>
      <x:c r="AO91" s="32"/>
      <x:c r="AP91" s="32"/>
      <x:c r="AQ91" s="94"/>
      <x:c r="AR91" s="32"/>
      <x:c r="AS91" s="32"/>
      <x:c r="AT91" s="32"/>
      <x:c r="AU91" s="86"/>
      <x:c r="AV91" s="90" t="str">
        <x:f>IF($A91="","",IF(COUNTIFS('Quotations'!$L$8:$L$107,$AE91,'Quotations'!$O$8:$O$107,1)=0,"",MINIFS('Quotations'!$E$8:$E$107,'Quotations'!$L$8:$L$107,$AE91,'Quotations'!$O$8:$O$107,1)))</x:f>
      </x:c>
      <x:c r="AW91" s="90" t="str">
        <x:f>IF($A91="","",IF(COUNTIFS('Orders_PO'!$N$8:$N$107,$AE91,'Orders_PO'!$Q$8:$Q$107,1)=0,"",MINIFS('Orders_PO'!$E$8:$E$107,'Orders_PO'!$N$8:$N$107,$AE91,'Orders_PO'!$Q$8:$Q$107,1)))</x:f>
      </x:c>
      <x:c r="AX91" s="42" t="str">
        <x:f>IF($A91="","",COUNTIFS('Quotations'!$L$8:$L$107,$AE91,'Quotations'!$O$8:$O$107,1,'Quotations'!$I$8:$I$107,"Yes"))</x:f>
      </x:c>
      <x:c r="AY91" s="42" t="str">
        <x:f>IF($A91="","",COUNTIFS('Orders_PO'!$N$8:$N$107,$AE91,'Orders_PO'!$Q$8:$Q$107,1))</x:f>
      </x:c>
      <x:c r="AZ91" s="42" t="str">
        <x:f>IF($A91="","",IF((IF($AE91="","ขาด Lead ID; ","")&amp;IF(AND($AE91&lt;&gt;"",COUNTIF('Leads'!$AE$8:$AE$107,$AE91)&gt;1),"Lead ID ซ้ำ; ","")&amp;IF(COUNTIF('Leads'!$A$8:$A$107,$A91)&gt;1,"Reference ซ้ำ; ","")&amp;IF(COUNTIF('Guide_Lists'!$AR$2:$AR$4,$A91)&gt;0,"Known TEST — ห้ามนับผล; ","")&amp;IF(OR($B91="",$D91=""),"ขาดชื่อ/งาน; ","")&amp;IF(AND($L91="",$M91="",$N91=""),"ขาดช่องทางติดต่อ; ","")&amp;IF(OR($Z91="",$AA91="",$F91="",$G91="",$AT91=""),"ขาดผู้ดูแล/ประเภท/สถานะ/Environment; ","")&amp;IF(NOT(ISNUMBER($AF91)),"ขาดเวลารับ Lead; ","")&amp;IF(AND($AA91="Duplicate",$AB91=""),"ขาด duplicate_of; ","")&amp;IF(AND($G91="Qualified",OR($R91="",$U91="")),"Qualified ขาดเหตุผล/วันที่; ","")&amp;IF(AND($G91="Unqualified",$R91=""),"Unqualified ขาดเหตุผล; ","")&amp;IF(AND($F91="Qualified",$G91&lt;&gt;"Qualified"),"สถานะ/ผลคัดกรองไม่ตรง; ","")&amp;IF(AND($F91="Unqualified",$G91&lt;&gt;"Unqualified"),"สถานะ/ผลคัดกรองไม่ตรง; ","")&amp;IF(AND($F91="Contacting",$S91=""),"ขาดเวลาพยายามติดต่อ; ","")&amp;IF(AND($O91="Contactable",$T91=""),"ขาดเวลาติดต่อสำเร็จ; ","")&amp;IF(AND($F91="Quotation Sent",$AV91=""),"ยังไม่มีใบราคาที่ตรวจผ่าน; ","")&amp;IF(AND($F91="Won",$AY91=0),"Won ยังไม่มี PO ที่ตรวจผ่าน; ","")&amp;IF(AND($AY91&gt;0,$F91&lt;&gt;"Won"),"มี PO แล้ว—ตรวจสถานะ; ","")&amp;IF(AND($F91="Lost",OR($W91="",$X91="")),"Lost ขาดวัน/เหตุผล; ","")&amp;IF(AND($AA91="Real",NOT(OR($F91="Won",$F91="Lost",$F91="Unqualified")),OR($H91="",$I91="")),"ขาดนัด/งานถัดไป; ","")&amp;IF(OR($AC91="",$AD91=""),"ขาดเวลา/ผู้บันทึก; ","")&amp;IF(AND(ISNUMBER($S91),ISNUMBER($AF91),$S91&lt;$AF91),"ตรวจเวลา attempt ก่อนรับ Lead; ",""))="","ครบ",IF($AE91="","ขาด Lead ID; ","")&amp;IF(AND($AE91&lt;&gt;"",COUNTIF('Leads'!$AE$8:$AE$107,$AE91)&gt;1),"Lead ID ซ้ำ; ","")&amp;IF(COUNTIF('Leads'!$A$8:$A$107,$A91)&gt;1,"Reference ซ้ำ; ","")&amp;IF(COUNTIF('Guide_Lists'!$AR$2:$AR$4,$A91)&gt;0,"Known TEST — ห้ามนับผล; ","")&amp;IF(OR($B91="",$D91=""),"ขาดชื่อ/งาน; ","")&amp;IF(AND($L91="",$M91="",$N91=""),"ขาดช่องทางติดต่อ; ","")&amp;IF(OR($Z91="",$AA91="",$F91="",$G91="",$AT91=""),"ขาดผู้ดูแล/ประเภท/สถานะ/Environment; ","")&amp;IF(NOT(ISNUMBER($AF91)),"ขาดเวลารับ Lead; ","")&amp;IF(AND($AA91="Duplicate",$AB91=""),"ขาด duplicate_of; ","")&amp;IF(AND($G91="Qualified",OR($R91="",$U91="")),"Qualified ขาดเหตุผล/วันที่; ","")&amp;IF(AND($G91="Unqualified",$R91=""),"Unqualified ขาดเหตุผล; ","")&amp;IF(AND($F91="Qualified",$G91&lt;&gt;"Qualified"),"สถานะ/ผลคัดกรองไม่ตรง; ","")&amp;IF(AND($F91="Unqualified",$G91&lt;&gt;"Unqualified"),"สถานะ/ผลคัดกรองไม่ตรง; ","")&amp;IF(AND($F91="Contacting",$S91=""),"ขาดเวลาพยายามติดต่อ; ","")&amp;IF(AND($O91="Contactable",$T91=""),"ขาดเวลาติดต่อสำเร็จ; ","")&amp;IF(AND($F91="Quotation Sent",$AV91=""),"ยังไม่มีใบราคาที่ตรวจผ่าน; ","")&amp;IF(AND($F91="Won",$AY91=0),"Won ยังไม่มี PO ที่ตรวจผ่าน; ","")&amp;IF(AND($AY91&gt;0,$F91&lt;&gt;"Won"),"มี PO แล้ว—ตรวจสถานะ; ","")&amp;IF(AND($F91="Lost",OR($W91="",$X91="")),"Lost ขาดวัน/เหตุผล; ","")&amp;IF(AND($AA91="Real",NOT(OR($F91="Won",$F91="Lost",$F91="Unqualified")),OR($H91="",$I91="")),"ขาดนัด/งานถัดไป; ","")&amp;IF(OR($AC91="",$AD91=""),"ขาดเวลา/ผู้บันทึก; ","")&amp;IF(AND(ISNUMBER($S91),ISNUMBER($AF91),$S91&lt;$AF91),"ตรวจเวลา attempt ก่อนรับ Lead; ","")))</x:f>
      </x:c>
      <x:c r="BA91" s="42" t="str">
        <x:f>IF($A91="","",IF(AND($AE91&lt;&gt;"",$AA91="Real",$AT91="production",COUNTIF('Leads'!$AE$8:$AE$107,$AE91)=1,COUNTIF('Leads'!$A$8:$A$107,$A91)=1,COUNTIF('Guide_Lists'!$AR$2:$AR$4,$A91)=0),1,0))</x:f>
      </x:c>
    </x:row>
    <x:row r="92" ht="30" customHeight="1">
      <x:c r="A92" s="94"/>
      <x:c r="B92" s="32"/>
      <x:c r="C92" s="32"/>
      <x:c r="D92" s="32"/>
      <x:c r="E92" s="92"/>
      <x:c r="F92" s="36"/>
      <x:c r="G92" s="36"/>
      <x:c r="H92" s="82"/>
      <x:c r="I92" s="36"/>
      <x:c r="J92" s="42" t="str">
        <x:f>IF($A92="","",IF(OR($AA92="Test",$AA92="Spam",$AA92="Duplicate",COUNTIF('Guide_Lists'!$AR$2:$AR$4,$A92)&gt;0),"ไม่นับผลธุรกิจ",IF($AA92&lt;&gt;"Real","ระบุประเภทข้อมูล",IF(OR($F92="Won",$F92="Lost",$F92="Unqualified"),"ปิดงานขาย",IF($H92="","ยังไม่นัด",IF(NOT(ISNUMBER($H92)),"ตรวจวันนัด",IF(INT($H92)&lt;'Guide_Lists'!$B$4,"เกินกำหนด",IF(INT($H92)='Guide_Lists'!$B$4,"ติดตามวันนี้","รอนัด"))))))))</x:f>
      </x:c>
      <x:c r="K92" s="32"/>
      <x:c r="L92" s="94"/>
      <x:c r="M92" s="94"/>
      <x:c r="N92" s="94"/>
      <x:c r="O92" s="36"/>
      <x:c r="P92" s="36"/>
      <x:c r="Q92" s="36"/>
      <x:c r="R92" s="36"/>
      <x:c r="S92" s="82"/>
      <x:c r="T92" s="82"/>
      <x:c r="U92" s="82"/>
      <x:c r="V92" s="82"/>
      <x:c r="W92" s="82"/>
      <x:c r="X92" s="36"/>
      <x:c r="Y92" s="36"/>
      <x:c r="Z92" s="36"/>
      <x:c r="AA92" s="36"/>
      <x:c r="AB92" s="96"/>
      <x:c r="AC92" s="82"/>
      <x:c r="AD92" s="36"/>
      <x:c r="AE92" s="94"/>
      <x:c r="AF92" s="86"/>
      <x:c r="AG92" s="32"/>
      <x:c r="AH92" s="32"/>
      <x:c r="AI92" s="32"/>
      <x:c r="AJ92" s="88"/>
      <x:c r="AK92" s="32"/>
      <x:c r="AL92" s="32"/>
      <x:c r="AM92" s="32"/>
      <x:c r="AN92" s="32"/>
      <x:c r="AO92" s="32"/>
      <x:c r="AP92" s="32"/>
      <x:c r="AQ92" s="94"/>
      <x:c r="AR92" s="32"/>
      <x:c r="AS92" s="32"/>
      <x:c r="AT92" s="32"/>
      <x:c r="AU92" s="86"/>
      <x:c r="AV92" s="90" t="str">
        <x:f>IF($A92="","",IF(COUNTIFS('Quotations'!$L$8:$L$107,$AE92,'Quotations'!$O$8:$O$107,1)=0,"",MINIFS('Quotations'!$E$8:$E$107,'Quotations'!$L$8:$L$107,$AE92,'Quotations'!$O$8:$O$107,1)))</x:f>
      </x:c>
      <x:c r="AW92" s="90" t="str">
        <x:f>IF($A92="","",IF(COUNTIFS('Orders_PO'!$N$8:$N$107,$AE92,'Orders_PO'!$Q$8:$Q$107,1)=0,"",MINIFS('Orders_PO'!$E$8:$E$107,'Orders_PO'!$N$8:$N$107,$AE92,'Orders_PO'!$Q$8:$Q$107,1)))</x:f>
      </x:c>
      <x:c r="AX92" s="42" t="str">
        <x:f>IF($A92="","",COUNTIFS('Quotations'!$L$8:$L$107,$AE92,'Quotations'!$O$8:$O$107,1,'Quotations'!$I$8:$I$107,"Yes"))</x:f>
      </x:c>
      <x:c r="AY92" s="42" t="str">
        <x:f>IF($A92="","",COUNTIFS('Orders_PO'!$N$8:$N$107,$AE92,'Orders_PO'!$Q$8:$Q$107,1))</x:f>
      </x:c>
      <x:c r="AZ92" s="42" t="str">
        <x:f>IF($A92="","",IF((IF($AE92="","ขาด Lead ID; ","")&amp;IF(AND($AE92&lt;&gt;"",COUNTIF('Leads'!$AE$8:$AE$107,$AE92)&gt;1),"Lead ID ซ้ำ; ","")&amp;IF(COUNTIF('Leads'!$A$8:$A$107,$A92)&gt;1,"Reference ซ้ำ; ","")&amp;IF(COUNTIF('Guide_Lists'!$AR$2:$AR$4,$A92)&gt;0,"Known TEST — ห้ามนับผล; ","")&amp;IF(OR($B92="",$D92=""),"ขาดชื่อ/งาน; ","")&amp;IF(AND($L92="",$M92="",$N92=""),"ขาดช่องทางติดต่อ; ","")&amp;IF(OR($Z92="",$AA92="",$F92="",$G92="",$AT92=""),"ขาดผู้ดูแล/ประเภท/สถานะ/Environment; ","")&amp;IF(NOT(ISNUMBER($AF92)),"ขาดเวลารับ Lead; ","")&amp;IF(AND($AA92="Duplicate",$AB92=""),"ขาด duplicate_of; ","")&amp;IF(AND($G92="Qualified",OR($R92="",$U92="")),"Qualified ขาดเหตุผล/วันที่; ","")&amp;IF(AND($G92="Unqualified",$R92=""),"Unqualified ขาดเหตุผล; ","")&amp;IF(AND($F92="Qualified",$G92&lt;&gt;"Qualified"),"สถานะ/ผลคัดกรองไม่ตรง; ","")&amp;IF(AND($F92="Unqualified",$G92&lt;&gt;"Unqualified"),"สถานะ/ผลคัดกรองไม่ตรง; ","")&amp;IF(AND($F92="Contacting",$S92=""),"ขาดเวลาพยายามติดต่อ; ","")&amp;IF(AND($O92="Contactable",$T92=""),"ขาดเวลาติดต่อสำเร็จ; ","")&amp;IF(AND($F92="Quotation Sent",$AV92=""),"ยังไม่มีใบราคาที่ตรวจผ่าน; ","")&amp;IF(AND($F92="Won",$AY92=0),"Won ยังไม่มี PO ที่ตรวจผ่าน; ","")&amp;IF(AND($AY92&gt;0,$F92&lt;&gt;"Won"),"มี PO แล้ว—ตรวจสถานะ; ","")&amp;IF(AND($F92="Lost",OR($W92="",$X92="")),"Lost ขาดวัน/เหตุผล; ","")&amp;IF(AND($AA92="Real",NOT(OR($F92="Won",$F92="Lost",$F92="Unqualified")),OR($H92="",$I92="")),"ขาดนัด/งานถัดไป; ","")&amp;IF(OR($AC92="",$AD92=""),"ขาดเวลา/ผู้บันทึก; ","")&amp;IF(AND(ISNUMBER($S92),ISNUMBER($AF92),$S92&lt;$AF92),"ตรวจเวลา attempt ก่อนรับ Lead; ",""))="","ครบ",IF($AE92="","ขาด Lead ID; ","")&amp;IF(AND($AE92&lt;&gt;"",COUNTIF('Leads'!$AE$8:$AE$107,$AE92)&gt;1),"Lead ID ซ้ำ; ","")&amp;IF(COUNTIF('Leads'!$A$8:$A$107,$A92)&gt;1,"Reference ซ้ำ; ","")&amp;IF(COUNTIF('Guide_Lists'!$AR$2:$AR$4,$A92)&gt;0,"Known TEST — ห้ามนับผล; ","")&amp;IF(OR($B92="",$D92=""),"ขาดชื่อ/งาน; ","")&amp;IF(AND($L92="",$M92="",$N92=""),"ขาดช่องทางติดต่อ; ","")&amp;IF(OR($Z92="",$AA92="",$F92="",$G92="",$AT92=""),"ขาดผู้ดูแล/ประเภท/สถานะ/Environment; ","")&amp;IF(NOT(ISNUMBER($AF92)),"ขาดเวลารับ Lead; ","")&amp;IF(AND($AA92="Duplicate",$AB92=""),"ขาด duplicate_of; ","")&amp;IF(AND($G92="Qualified",OR($R92="",$U92="")),"Qualified ขาดเหตุผล/วันที่; ","")&amp;IF(AND($G92="Unqualified",$R92=""),"Unqualified ขาดเหตุผล; ","")&amp;IF(AND($F92="Qualified",$G92&lt;&gt;"Qualified"),"สถานะ/ผลคัดกรองไม่ตรง; ","")&amp;IF(AND($F92="Unqualified",$G92&lt;&gt;"Unqualified"),"สถานะ/ผลคัดกรองไม่ตรง; ","")&amp;IF(AND($F92="Contacting",$S92=""),"ขาดเวลาพยายามติดต่อ; ","")&amp;IF(AND($O92="Contactable",$T92=""),"ขาดเวลาติดต่อสำเร็จ; ","")&amp;IF(AND($F92="Quotation Sent",$AV92=""),"ยังไม่มีใบราคาที่ตรวจผ่าน; ","")&amp;IF(AND($F92="Won",$AY92=0),"Won ยังไม่มี PO ที่ตรวจผ่าน; ","")&amp;IF(AND($AY92&gt;0,$F92&lt;&gt;"Won"),"มี PO แล้ว—ตรวจสถานะ; ","")&amp;IF(AND($F92="Lost",OR($W92="",$X92="")),"Lost ขาดวัน/เหตุผล; ","")&amp;IF(AND($AA92="Real",NOT(OR($F92="Won",$F92="Lost",$F92="Unqualified")),OR($H92="",$I92="")),"ขาดนัด/งานถัดไป; ","")&amp;IF(OR($AC92="",$AD92=""),"ขาดเวลา/ผู้บันทึก; ","")&amp;IF(AND(ISNUMBER($S92),ISNUMBER($AF92),$S92&lt;$AF92),"ตรวจเวลา attempt ก่อนรับ Lead; ","")))</x:f>
      </x:c>
      <x:c r="BA92" s="42" t="str">
        <x:f>IF($A92="","",IF(AND($AE92&lt;&gt;"",$AA92="Real",$AT92="production",COUNTIF('Leads'!$AE$8:$AE$107,$AE92)=1,COUNTIF('Leads'!$A$8:$A$107,$A92)=1,COUNTIF('Guide_Lists'!$AR$2:$AR$4,$A92)=0),1,0))</x:f>
      </x:c>
    </x:row>
    <x:row r="93" ht="30" customHeight="1">
      <x:c r="A93" s="94"/>
      <x:c r="B93" s="32"/>
      <x:c r="C93" s="32"/>
      <x:c r="D93" s="32"/>
      <x:c r="E93" s="92"/>
      <x:c r="F93" s="36"/>
      <x:c r="G93" s="36"/>
      <x:c r="H93" s="82"/>
      <x:c r="I93" s="36"/>
      <x:c r="J93" s="42" t="str">
        <x:f>IF($A93="","",IF(OR($AA93="Test",$AA93="Spam",$AA93="Duplicate",COUNTIF('Guide_Lists'!$AR$2:$AR$4,$A93)&gt;0),"ไม่นับผลธุรกิจ",IF($AA93&lt;&gt;"Real","ระบุประเภทข้อมูล",IF(OR($F93="Won",$F93="Lost",$F93="Unqualified"),"ปิดงานขาย",IF($H93="","ยังไม่นัด",IF(NOT(ISNUMBER($H93)),"ตรวจวันนัด",IF(INT($H93)&lt;'Guide_Lists'!$B$4,"เกินกำหนด",IF(INT($H93)='Guide_Lists'!$B$4,"ติดตามวันนี้","รอนัด"))))))))</x:f>
      </x:c>
      <x:c r="K93" s="32"/>
      <x:c r="L93" s="94"/>
      <x:c r="M93" s="94"/>
      <x:c r="N93" s="94"/>
      <x:c r="O93" s="36"/>
      <x:c r="P93" s="36"/>
      <x:c r="Q93" s="36"/>
      <x:c r="R93" s="36"/>
      <x:c r="S93" s="82"/>
      <x:c r="T93" s="82"/>
      <x:c r="U93" s="82"/>
      <x:c r="V93" s="82"/>
      <x:c r="W93" s="82"/>
      <x:c r="X93" s="36"/>
      <x:c r="Y93" s="36"/>
      <x:c r="Z93" s="36"/>
      <x:c r="AA93" s="36"/>
      <x:c r="AB93" s="96"/>
      <x:c r="AC93" s="82"/>
      <x:c r="AD93" s="36"/>
      <x:c r="AE93" s="94"/>
      <x:c r="AF93" s="86"/>
      <x:c r="AG93" s="32"/>
      <x:c r="AH93" s="32"/>
      <x:c r="AI93" s="32"/>
      <x:c r="AJ93" s="88"/>
      <x:c r="AK93" s="32"/>
      <x:c r="AL93" s="32"/>
      <x:c r="AM93" s="32"/>
      <x:c r="AN93" s="32"/>
      <x:c r="AO93" s="32"/>
      <x:c r="AP93" s="32"/>
      <x:c r="AQ93" s="94"/>
      <x:c r="AR93" s="32"/>
      <x:c r="AS93" s="32"/>
      <x:c r="AT93" s="32"/>
      <x:c r="AU93" s="86"/>
      <x:c r="AV93" s="90" t="str">
        <x:f>IF($A93="","",IF(COUNTIFS('Quotations'!$L$8:$L$107,$AE93,'Quotations'!$O$8:$O$107,1)=0,"",MINIFS('Quotations'!$E$8:$E$107,'Quotations'!$L$8:$L$107,$AE93,'Quotations'!$O$8:$O$107,1)))</x:f>
      </x:c>
      <x:c r="AW93" s="90" t="str">
        <x:f>IF($A93="","",IF(COUNTIFS('Orders_PO'!$N$8:$N$107,$AE93,'Orders_PO'!$Q$8:$Q$107,1)=0,"",MINIFS('Orders_PO'!$E$8:$E$107,'Orders_PO'!$N$8:$N$107,$AE93,'Orders_PO'!$Q$8:$Q$107,1)))</x:f>
      </x:c>
      <x:c r="AX93" s="42" t="str">
        <x:f>IF($A93="","",COUNTIFS('Quotations'!$L$8:$L$107,$AE93,'Quotations'!$O$8:$O$107,1,'Quotations'!$I$8:$I$107,"Yes"))</x:f>
      </x:c>
      <x:c r="AY93" s="42" t="str">
        <x:f>IF($A93="","",COUNTIFS('Orders_PO'!$N$8:$N$107,$AE93,'Orders_PO'!$Q$8:$Q$107,1))</x:f>
      </x:c>
      <x:c r="AZ93" s="42" t="str">
        <x:f>IF($A93="","",IF((IF($AE93="","ขาด Lead ID; ","")&amp;IF(AND($AE93&lt;&gt;"",COUNTIF('Leads'!$AE$8:$AE$107,$AE93)&gt;1),"Lead ID ซ้ำ; ","")&amp;IF(COUNTIF('Leads'!$A$8:$A$107,$A93)&gt;1,"Reference ซ้ำ; ","")&amp;IF(COUNTIF('Guide_Lists'!$AR$2:$AR$4,$A93)&gt;0,"Known TEST — ห้ามนับผล; ","")&amp;IF(OR($B93="",$D93=""),"ขาดชื่อ/งาน; ","")&amp;IF(AND($L93="",$M93="",$N93=""),"ขาดช่องทางติดต่อ; ","")&amp;IF(OR($Z93="",$AA93="",$F93="",$G93="",$AT93=""),"ขาดผู้ดูแล/ประเภท/สถานะ/Environment; ","")&amp;IF(NOT(ISNUMBER($AF93)),"ขาดเวลารับ Lead; ","")&amp;IF(AND($AA93="Duplicate",$AB93=""),"ขาด duplicate_of; ","")&amp;IF(AND($G93="Qualified",OR($R93="",$U93="")),"Qualified ขาดเหตุผล/วันที่; ","")&amp;IF(AND($G93="Unqualified",$R93=""),"Unqualified ขาดเหตุผล; ","")&amp;IF(AND($F93="Qualified",$G93&lt;&gt;"Qualified"),"สถานะ/ผลคัดกรองไม่ตรง; ","")&amp;IF(AND($F93="Unqualified",$G93&lt;&gt;"Unqualified"),"สถานะ/ผลคัดกรองไม่ตรง; ","")&amp;IF(AND($F93="Contacting",$S93=""),"ขาดเวลาพยายามติดต่อ; ","")&amp;IF(AND($O93="Contactable",$T93=""),"ขาดเวลาติดต่อสำเร็จ; ","")&amp;IF(AND($F93="Quotation Sent",$AV93=""),"ยังไม่มีใบราคาที่ตรวจผ่าน; ","")&amp;IF(AND($F93="Won",$AY93=0),"Won ยังไม่มี PO ที่ตรวจผ่าน; ","")&amp;IF(AND($AY93&gt;0,$F93&lt;&gt;"Won"),"มี PO แล้ว—ตรวจสถานะ; ","")&amp;IF(AND($F93="Lost",OR($W93="",$X93="")),"Lost ขาดวัน/เหตุผล; ","")&amp;IF(AND($AA93="Real",NOT(OR($F93="Won",$F93="Lost",$F93="Unqualified")),OR($H93="",$I93="")),"ขาดนัด/งานถัดไป; ","")&amp;IF(OR($AC93="",$AD93=""),"ขาดเวลา/ผู้บันทึก; ","")&amp;IF(AND(ISNUMBER($S93),ISNUMBER($AF93),$S93&lt;$AF93),"ตรวจเวลา attempt ก่อนรับ Lead; ",""))="","ครบ",IF($AE93="","ขาด Lead ID; ","")&amp;IF(AND($AE93&lt;&gt;"",COUNTIF('Leads'!$AE$8:$AE$107,$AE93)&gt;1),"Lead ID ซ้ำ; ","")&amp;IF(COUNTIF('Leads'!$A$8:$A$107,$A93)&gt;1,"Reference ซ้ำ; ","")&amp;IF(COUNTIF('Guide_Lists'!$AR$2:$AR$4,$A93)&gt;0,"Known TEST — ห้ามนับผล; ","")&amp;IF(OR($B93="",$D93=""),"ขาดชื่อ/งาน; ","")&amp;IF(AND($L93="",$M93="",$N93=""),"ขาดช่องทางติดต่อ; ","")&amp;IF(OR($Z93="",$AA93="",$F93="",$G93="",$AT93=""),"ขาดผู้ดูแล/ประเภท/สถานะ/Environment; ","")&amp;IF(NOT(ISNUMBER($AF93)),"ขาดเวลารับ Lead; ","")&amp;IF(AND($AA93="Duplicate",$AB93=""),"ขาด duplicate_of; ","")&amp;IF(AND($G93="Qualified",OR($R93="",$U93="")),"Qualified ขาดเหตุผล/วันที่; ","")&amp;IF(AND($G93="Unqualified",$R93=""),"Unqualified ขาดเหตุผล; ","")&amp;IF(AND($F93="Qualified",$G93&lt;&gt;"Qualified"),"สถานะ/ผลคัดกรองไม่ตรง; ","")&amp;IF(AND($F93="Unqualified",$G93&lt;&gt;"Unqualified"),"สถานะ/ผลคัดกรองไม่ตรง; ","")&amp;IF(AND($F93="Contacting",$S93=""),"ขาดเวลาพยายามติดต่อ; ","")&amp;IF(AND($O93="Contactable",$T93=""),"ขาดเวลาติดต่อสำเร็จ; ","")&amp;IF(AND($F93="Quotation Sent",$AV93=""),"ยังไม่มีใบราคาที่ตรวจผ่าน; ","")&amp;IF(AND($F93="Won",$AY93=0),"Won ยังไม่มี PO ที่ตรวจผ่าน; ","")&amp;IF(AND($AY93&gt;0,$F93&lt;&gt;"Won"),"มี PO แล้ว—ตรวจสถานะ; ","")&amp;IF(AND($F93="Lost",OR($W93="",$X93="")),"Lost ขาดวัน/เหตุผล; ","")&amp;IF(AND($AA93="Real",NOT(OR($F93="Won",$F93="Lost",$F93="Unqualified")),OR($H93="",$I93="")),"ขาดนัด/งานถัดไป; ","")&amp;IF(OR($AC93="",$AD93=""),"ขาดเวลา/ผู้บันทึก; ","")&amp;IF(AND(ISNUMBER($S93),ISNUMBER($AF93),$S93&lt;$AF93),"ตรวจเวลา attempt ก่อนรับ Lead; ","")))</x:f>
      </x:c>
      <x:c r="BA93" s="42" t="str">
        <x:f>IF($A93="","",IF(AND($AE93&lt;&gt;"",$AA93="Real",$AT93="production",COUNTIF('Leads'!$AE$8:$AE$107,$AE93)=1,COUNTIF('Leads'!$A$8:$A$107,$A93)=1,COUNTIF('Guide_Lists'!$AR$2:$AR$4,$A93)=0),1,0))</x:f>
      </x:c>
    </x:row>
    <x:row r="94" ht="30" customHeight="1">
      <x:c r="A94" s="94"/>
      <x:c r="B94" s="32"/>
      <x:c r="C94" s="32"/>
      <x:c r="D94" s="32"/>
      <x:c r="E94" s="92"/>
      <x:c r="F94" s="36"/>
      <x:c r="G94" s="36"/>
      <x:c r="H94" s="82"/>
      <x:c r="I94" s="36"/>
      <x:c r="J94" s="42" t="str">
        <x:f>IF($A94="","",IF(OR($AA94="Test",$AA94="Spam",$AA94="Duplicate",COUNTIF('Guide_Lists'!$AR$2:$AR$4,$A94)&gt;0),"ไม่นับผลธุรกิจ",IF($AA94&lt;&gt;"Real","ระบุประเภทข้อมูล",IF(OR($F94="Won",$F94="Lost",$F94="Unqualified"),"ปิดงานขาย",IF($H94="","ยังไม่นัด",IF(NOT(ISNUMBER($H94)),"ตรวจวันนัด",IF(INT($H94)&lt;'Guide_Lists'!$B$4,"เกินกำหนด",IF(INT($H94)='Guide_Lists'!$B$4,"ติดตามวันนี้","รอนัด"))))))))</x:f>
      </x:c>
      <x:c r="K94" s="32"/>
      <x:c r="L94" s="94"/>
      <x:c r="M94" s="94"/>
      <x:c r="N94" s="94"/>
      <x:c r="O94" s="36"/>
      <x:c r="P94" s="36"/>
      <x:c r="Q94" s="36"/>
      <x:c r="R94" s="36"/>
      <x:c r="S94" s="82"/>
      <x:c r="T94" s="82"/>
      <x:c r="U94" s="82"/>
      <x:c r="V94" s="82"/>
      <x:c r="W94" s="82"/>
      <x:c r="X94" s="36"/>
      <x:c r="Y94" s="36"/>
      <x:c r="Z94" s="36"/>
      <x:c r="AA94" s="36"/>
      <x:c r="AB94" s="96"/>
      <x:c r="AC94" s="82"/>
      <x:c r="AD94" s="36"/>
      <x:c r="AE94" s="94"/>
      <x:c r="AF94" s="86"/>
      <x:c r="AG94" s="32"/>
      <x:c r="AH94" s="32"/>
      <x:c r="AI94" s="32"/>
      <x:c r="AJ94" s="88"/>
      <x:c r="AK94" s="32"/>
      <x:c r="AL94" s="32"/>
      <x:c r="AM94" s="32"/>
      <x:c r="AN94" s="32"/>
      <x:c r="AO94" s="32"/>
      <x:c r="AP94" s="32"/>
      <x:c r="AQ94" s="94"/>
      <x:c r="AR94" s="32"/>
      <x:c r="AS94" s="32"/>
      <x:c r="AT94" s="32"/>
      <x:c r="AU94" s="86"/>
      <x:c r="AV94" s="90" t="str">
        <x:f>IF($A94="","",IF(COUNTIFS('Quotations'!$L$8:$L$107,$AE94,'Quotations'!$O$8:$O$107,1)=0,"",MINIFS('Quotations'!$E$8:$E$107,'Quotations'!$L$8:$L$107,$AE94,'Quotations'!$O$8:$O$107,1)))</x:f>
      </x:c>
      <x:c r="AW94" s="90" t="str">
        <x:f>IF($A94="","",IF(COUNTIFS('Orders_PO'!$N$8:$N$107,$AE94,'Orders_PO'!$Q$8:$Q$107,1)=0,"",MINIFS('Orders_PO'!$E$8:$E$107,'Orders_PO'!$N$8:$N$107,$AE94,'Orders_PO'!$Q$8:$Q$107,1)))</x:f>
      </x:c>
      <x:c r="AX94" s="42" t="str">
        <x:f>IF($A94="","",COUNTIFS('Quotations'!$L$8:$L$107,$AE94,'Quotations'!$O$8:$O$107,1,'Quotations'!$I$8:$I$107,"Yes"))</x:f>
      </x:c>
      <x:c r="AY94" s="42" t="str">
        <x:f>IF($A94="","",COUNTIFS('Orders_PO'!$N$8:$N$107,$AE94,'Orders_PO'!$Q$8:$Q$107,1))</x:f>
      </x:c>
      <x:c r="AZ94" s="42" t="str">
        <x:f>IF($A94="","",IF((IF($AE94="","ขาด Lead ID; ","")&amp;IF(AND($AE94&lt;&gt;"",COUNTIF('Leads'!$AE$8:$AE$107,$AE94)&gt;1),"Lead ID ซ้ำ; ","")&amp;IF(COUNTIF('Leads'!$A$8:$A$107,$A94)&gt;1,"Reference ซ้ำ; ","")&amp;IF(COUNTIF('Guide_Lists'!$AR$2:$AR$4,$A94)&gt;0,"Known TEST — ห้ามนับผล; ","")&amp;IF(OR($B94="",$D94=""),"ขาดชื่อ/งาน; ","")&amp;IF(AND($L94="",$M94="",$N94=""),"ขาดช่องทางติดต่อ; ","")&amp;IF(OR($Z94="",$AA94="",$F94="",$G94="",$AT94=""),"ขาดผู้ดูแล/ประเภท/สถานะ/Environment; ","")&amp;IF(NOT(ISNUMBER($AF94)),"ขาดเวลารับ Lead; ","")&amp;IF(AND($AA94="Duplicate",$AB94=""),"ขาด duplicate_of; ","")&amp;IF(AND($G94="Qualified",OR($R94="",$U94="")),"Qualified ขาดเหตุผล/วันที่; ","")&amp;IF(AND($G94="Unqualified",$R94=""),"Unqualified ขาดเหตุผล; ","")&amp;IF(AND($F94="Qualified",$G94&lt;&gt;"Qualified"),"สถานะ/ผลคัดกรองไม่ตรง; ","")&amp;IF(AND($F94="Unqualified",$G94&lt;&gt;"Unqualified"),"สถานะ/ผลคัดกรองไม่ตรง; ","")&amp;IF(AND($F94="Contacting",$S94=""),"ขาดเวลาพยายามติดต่อ; ","")&amp;IF(AND($O94="Contactable",$T94=""),"ขาดเวลาติดต่อสำเร็จ; ","")&amp;IF(AND($F94="Quotation Sent",$AV94=""),"ยังไม่มีใบราคาที่ตรวจผ่าน; ","")&amp;IF(AND($F94="Won",$AY94=0),"Won ยังไม่มี PO ที่ตรวจผ่าน; ","")&amp;IF(AND($AY94&gt;0,$F94&lt;&gt;"Won"),"มี PO แล้ว—ตรวจสถานะ; ","")&amp;IF(AND($F94="Lost",OR($W94="",$X94="")),"Lost ขาดวัน/เหตุผล; ","")&amp;IF(AND($AA94="Real",NOT(OR($F94="Won",$F94="Lost",$F94="Unqualified")),OR($H94="",$I94="")),"ขาดนัด/งานถัดไป; ","")&amp;IF(OR($AC94="",$AD94=""),"ขาดเวลา/ผู้บันทึก; ","")&amp;IF(AND(ISNUMBER($S94),ISNUMBER($AF94),$S94&lt;$AF94),"ตรวจเวลา attempt ก่อนรับ Lead; ",""))="","ครบ",IF($AE94="","ขาด Lead ID; ","")&amp;IF(AND($AE94&lt;&gt;"",COUNTIF('Leads'!$AE$8:$AE$107,$AE94)&gt;1),"Lead ID ซ้ำ; ","")&amp;IF(COUNTIF('Leads'!$A$8:$A$107,$A94)&gt;1,"Reference ซ้ำ; ","")&amp;IF(COUNTIF('Guide_Lists'!$AR$2:$AR$4,$A94)&gt;0,"Known TEST — ห้ามนับผล; ","")&amp;IF(OR($B94="",$D94=""),"ขาดชื่อ/งาน; ","")&amp;IF(AND($L94="",$M94="",$N94=""),"ขาดช่องทางติดต่อ; ","")&amp;IF(OR($Z94="",$AA94="",$F94="",$G94="",$AT94=""),"ขาดผู้ดูแล/ประเภท/สถานะ/Environment; ","")&amp;IF(NOT(ISNUMBER($AF94)),"ขาดเวลารับ Lead; ","")&amp;IF(AND($AA94="Duplicate",$AB94=""),"ขาด duplicate_of; ","")&amp;IF(AND($G94="Qualified",OR($R94="",$U94="")),"Qualified ขาดเหตุผล/วันที่; ","")&amp;IF(AND($G94="Unqualified",$R94=""),"Unqualified ขาดเหตุผล; ","")&amp;IF(AND($F94="Qualified",$G94&lt;&gt;"Qualified"),"สถานะ/ผลคัดกรองไม่ตรง; ","")&amp;IF(AND($F94="Unqualified",$G94&lt;&gt;"Unqualified"),"สถานะ/ผลคัดกรองไม่ตรง; ","")&amp;IF(AND($F94="Contacting",$S94=""),"ขาดเวลาพยายามติดต่อ; ","")&amp;IF(AND($O94="Contactable",$T94=""),"ขาดเวลาติดต่อสำเร็จ; ","")&amp;IF(AND($F94="Quotation Sent",$AV94=""),"ยังไม่มีใบราคาที่ตรวจผ่าน; ","")&amp;IF(AND($F94="Won",$AY94=0),"Won ยังไม่มี PO ที่ตรวจผ่าน; ","")&amp;IF(AND($AY94&gt;0,$F94&lt;&gt;"Won"),"มี PO แล้ว—ตรวจสถานะ; ","")&amp;IF(AND($F94="Lost",OR($W94="",$X94="")),"Lost ขาดวัน/เหตุผล; ","")&amp;IF(AND($AA94="Real",NOT(OR($F94="Won",$F94="Lost",$F94="Unqualified")),OR($H94="",$I94="")),"ขาดนัด/งานถัดไป; ","")&amp;IF(OR($AC94="",$AD94=""),"ขาดเวลา/ผู้บันทึก; ","")&amp;IF(AND(ISNUMBER($S94),ISNUMBER($AF94),$S94&lt;$AF94),"ตรวจเวลา attempt ก่อนรับ Lead; ","")))</x:f>
      </x:c>
      <x:c r="BA94" s="42" t="str">
        <x:f>IF($A94="","",IF(AND($AE94&lt;&gt;"",$AA94="Real",$AT94="production",COUNTIF('Leads'!$AE$8:$AE$107,$AE94)=1,COUNTIF('Leads'!$A$8:$A$107,$A94)=1,COUNTIF('Guide_Lists'!$AR$2:$AR$4,$A94)=0),1,0))</x:f>
      </x:c>
    </x:row>
    <x:row r="95" ht="30" customHeight="1">
      <x:c r="A95" s="94"/>
      <x:c r="B95" s="32"/>
      <x:c r="C95" s="32"/>
      <x:c r="D95" s="32"/>
      <x:c r="E95" s="92"/>
      <x:c r="F95" s="36"/>
      <x:c r="G95" s="36"/>
      <x:c r="H95" s="82"/>
      <x:c r="I95" s="36"/>
      <x:c r="J95" s="42" t="str">
        <x:f>IF($A95="","",IF(OR($AA95="Test",$AA95="Spam",$AA95="Duplicate",COUNTIF('Guide_Lists'!$AR$2:$AR$4,$A95)&gt;0),"ไม่นับผลธุรกิจ",IF($AA95&lt;&gt;"Real","ระบุประเภทข้อมูล",IF(OR($F95="Won",$F95="Lost",$F95="Unqualified"),"ปิดงานขาย",IF($H95="","ยังไม่นัด",IF(NOT(ISNUMBER($H95)),"ตรวจวันนัด",IF(INT($H95)&lt;'Guide_Lists'!$B$4,"เกินกำหนด",IF(INT($H95)='Guide_Lists'!$B$4,"ติดตามวันนี้","รอนัด"))))))))</x:f>
      </x:c>
      <x:c r="K95" s="32"/>
      <x:c r="L95" s="94"/>
      <x:c r="M95" s="94"/>
      <x:c r="N95" s="94"/>
      <x:c r="O95" s="36"/>
      <x:c r="P95" s="36"/>
      <x:c r="Q95" s="36"/>
      <x:c r="R95" s="36"/>
      <x:c r="S95" s="82"/>
      <x:c r="T95" s="82"/>
      <x:c r="U95" s="82"/>
      <x:c r="V95" s="82"/>
      <x:c r="W95" s="82"/>
      <x:c r="X95" s="36"/>
      <x:c r="Y95" s="36"/>
      <x:c r="Z95" s="36"/>
      <x:c r="AA95" s="36"/>
      <x:c r="AB95" s="96"/>
      <x:c r="AC95" s="82"/>
      <x:c r="AD95" s="36"/>
      <x:c r="AE95" s="94"/>
      <x:c r="AF95" s="86"/>
      <x:c r="AG95" s="32"/>
      <x:c r="AH95" s="32"/>
      <x:c r="AI95" s="32"/>
      <x:c r="AJ95" s="88"/>
      <x:c r="AK95" s="32"/>
      <x:c r="AL95" s="32"/>
      <x:c r="AM95" s="32"/>
      <x:c r="AN95" s="32"/>
      <x:c r="AO95" s="32"/>
      <x:c r="AP95" s="32"/>
      <x:c r="AQ95" s="94"/>
      <x:c r="AR95" s="32"/>
      <x:c r="AS95" s="32"/>
      <x:c r="AT95" s="32"/>
      <x:c r="AU95" s="86"/>
      <x:c r="AV95" s="90" t="str">
        <x:f>IF($A95="","",IF(COUNTIFS('Quotations'!$L$8:$L$107,$AE95,'Quotations'!$O$8:$O$107,1)=0,"",MINIFS('Quotations'!$E$8:$E$107,'Quotations'!$L$8:$L$107,$AE95,'Quotations'!$O$8:$O$107,1)))</x:f>
      </x:c>
      <x:c r="AW95" s="90" t="str">
        <x:f>IF($A95="","",IF(COUNTIFS('Orders_PO'!$N$8:$N$107,$AE95,'Orders_PO'!$Q$8:$Q$107,1)=0,"",MINIFS('Orders_PO'!$E$8:$E$107,'Orders_PO'!$N$8:$N$107,$AE95,'Orders_PO'!$Q$8:$Q$107,1)))</x:f>
      </x:c>
      <x:c r="AX95" s="42" t="str">
        <x:f>IF($A95="","",COUNTIFS('Quotations'!$L$8:$L$107,$AE95,'Quotations'!$O$8:$O$107,1,'Quotations'!$I$8:$I$107,"Yes"))</x:f>
      </x:c>
      <x:c r="AY95" s="42" t="str">
        <x:f>IF($A95="","",COUNTIFS('Orders_PO'!$N$8:$N$107,$AE95,'Orders_PO'!$Q$8:$Q$107,1))</x:f>
      </x:c>
      <x:c r="AZ95" s="42" t="str">
        <x:f>IF($A95="","",IF((IF($AE95="","ขาด Lead ID; ","")&amp;IF(AND($AE95&lt;&gt;"",COUNTIF('Leads'!$AE$8:$AE$107,$AE95)&gt;1),"Lead ID ซ้ำ; ","")&amp;IF(COUNTIF('Leads'!$A$8:$A$107,$A95)&gt;1,"Reference ซ้ำ; ","")&amp;IF(COUNTIF('Guide_Lists'!$AR$2:$AR$4,$A95)&gt;0,"Known TEST — ห้ามนับผล; ","")&amp;IF(OR($B95="",$D95=""),"ขาดชื่อ/งาน; ","")&amp;IF(AND($L95="",$M95="",$N95=""),"ขาดช่องทางติดต่อ; ","")&amp;IF(OR($Z95="",$AA95="",$F95="",$G95="",$AT95=""),"ขาดผู้ดูแล/ประเภท/สถานะ/Environment; ","")&amp;IF(NOT(ISNUMBER($AF95)),"ขาดเวลารับ Lead; ","")&amp;IF(AND($AA95="Duplicate",$AB95=""),"ขาด duplicate_of; ","")&amp;IF(AND($G95="Qualified",OR($R95="",$U95="")),"Qualified ขาดเหตุผล/วันที่; ","")&amp;IF(AND($G95="Unqualified",$R95=""),"Unqualified ขาดเหตุผล; ","")&amp;IF(AND($F95="Qualified",$G95&lt;&gt;"Qualified"),"สถานะ/ผลคัดกรองไม่ตรง; ","")&amp;IF(AND($F95="Unqualified",$G95&lt;&gt;"Unqualified"),"สถานะ/ผลคัดกรองไม่ตรง; ","")&amp;IF(AND($F95="Contacting",$S95=""),"ขาดเวลาพยายามติดต่อ; ","")&amp;IF(AND($O95="Contactable",$T95=""),"ขาดเวลาติดต่อสำเร็จ; ","")&amp;IF(AND($F95="Quotation Sent",$AV95=""),"ยังไม่มีใบราคาที่ตรวจผ่าน; ","")&amp;IF(AND($F95="Won",$AY95=0),"Won ยังไม่มี PO ที่ตรวจผ่าน; ","")&amp;IF(AND($AY95&gt;0,$F95&lt;&gt;"Won"),"มี PO แล้ว—ตรวจสถานะ; ","")&amp;IF(AND($F95="Lost",OR($W95="",$X95="")),"Lost ขาดวัน/เหตุผล; ","")&amp;IF(AND($AA95="Real",NOT(OR($F95="Won",$F95="Lost",$F95="Unqualified")),OR($H95="",$I95="")),"ขาดนัด/งานถัดไป; ","")&amp;IF(OR($AC95="",$AD95=""),"ขาดเวลา/ผู้บันทึก; ","")&amp;IF(AND(ISNUMBER($S95),ISNUMBER($AF95),$S95&lt;$AF95),"ตรวจเวลา attempt ก่อนรับ Lead; ",""))="","ครบ",IF($AE95="","ขาด Lead ID; ","")&amp;IF(AND($AE95&lt;&gt;"",COUNTIF('Leads'!$AE$8:$AE$107,$AE95)&gt;1),"Lead ID ซ้ำ; ","")&amp;IF(COUNTIF('Leads'!$A$8:$A$107,$A95)&gt;1,"Reference ซ้ำ; ","")&amp;IF(COUNTIF('Guide_Lists'!$AR$2:$AR$4,$A95)&gt;0,"Known TEST — ห้ามนับผล; ","")&amp;IF(OR($B95="",$D95=""),"ขาดชื่อ/งาน; ","")&amp;IF(AND($L95="",$M95="",$N95=""),"ขาดช่องทางติดต่อ; ","")&amp;IF(OR($Z95="",$AA95="",$F95="",$G95="",$AT95=""),"ขาดผู้ดูแล/ประเภท/สถานะ/Environment; ","")&amp;IF(NOT(ISNUMBER($AF95)),"ขาดเวลารับ Lead; ","")&amp;IF(AND($AA95="Duplicate",$AB95=""),"ขาด duplicate_of; ","")&amp;IF(AND($G95="Qualified",OR($R95="",$U95="")),"Qualified ขาดเหตุผล/วันที่; ","")&amp;IF(AND($G95="Unqualified",$R95=""),"Unqualified ขาดเหตุผล; ","")&amp;IF(AND($F95="Qualified",$G95&lt;&gt;"Qualified"),"สถานะ/ผลคัดกรองไม่ตรง; ","")&amp;IF(AND($F95="Unqualified",$G95&lt;&gt;"Unqualified"),"สถานะ/ผลคัดกรองไม่ตรง; ","")&amp;IF(AND($F95="Contacting",$S95=""),"ขาดเวลาพยายามติดต่อ; ","")&amp;IF(AND($O95="Contactable",$T95=""),"ขาดเวลาติดต่อสำเร็จ; ","")&amp;IF(AND($F95="Quotation Sent",$AV95=""),"ยังไม่มีใบราคาที่ตรวจผ่าน; ","")&amp;IF(AND($F95="Won",$AY95=0),"Won ยังไม่มี PO ที่ตรวจผ่าน; ","")&amp;IF(AND($AY95&gt;0,$F95&lt;&gt;"Won"),"มี PO แล้ว—ตรวจสถานะ; ","")&amp;IF(AND($F95="Lost",OR($W95="",$X95="")),"Lost ขาดวัน/เหตุผล; ","")&amp;IF(AND($AA95="Real",NOT(OR($F95="Won",$F95="Lost",$F95="Unqualified")),OR($H95="",$I95="")),"ขาดนัด/งานถัดไป; ","")&amp;IF(OR($AC95="",$AD95=""),"ขาดเวลา/ผู้บันทึก; ","")&amp;IF(AND(ISNUMBER($S95),ISNUMBER($AF95),$S95&lt;$AF95),"ตรวจเวลา attempt ก่อนรับ Lead; ","")))</x:f>
      </x:c>
      <x:c r="BA95" s="42" t="str">
        <x:f>IF($A95="","",IF(AND($AE95&lt;&gt;"",$AA95="Real",$AT95="production",COUNTIF('Leads'!$AE$8:$AE$107,$AE95)=1,COUNTIF('Leads'!$A$8:$A$107,$A95)=1,COUNTIF('Guide_Lists'!$AR$2:$AR$4,$A95)=0),1,0))</x:f>
      </x:c>
    </x:row>
    <x:row r="96" ht="30" customHeight="1">
      <x:c r="A96" s="94"/>
      <x:c r="B96" s="32"/>
      <x:c r="C96" s="32"/>
      <x:c r="D96" s="32"/>
      <x:c r="E96" s="92"/>
      <x:c r="F96" s="36"/>
      <x:c r="G96" s="36"/>
      <x:c r="H96" s="82"/>
      <x:c r="I96" s="36"/>
      <x:c r="J96" s="42" t="str">
        <x:f>IF($A96="","",IF(OR($AA96="Test",$AA96="Spam",$AA96="Duplicate",COUNTIF('Guide_Lists'!$AR$2:$AR$4,$A96)&gt;0),"ไม่นับผลธุรกิจ",IF($AA96&lt;&gt;"Real","ระบุประเภทข้อมูล",IF(OR($F96="Won",$F96="Lost",$F96="Unqualified"),"ปิดงานขาย",IF($H96="","ยังไม่นัด",IF(NOT(ISNUMBER($H96)),"ตรวจวันนัด",IF(INT($H96)&lt;'Guide_Lists'!$B$4,"เกินกำหนด",IF(INT($H96)='Guide_Lists'!$B$4,"ติดตามวันนี้","รอนัด"))))))))</x:f>
      </x:c>
      <x:c r="K96" s="32"/>
      <x:c r="L96" s="94"/>
      <x:c r="M96" s="94"/>
      <x:c r="N96" s="94"/>
      <x:c r="O96" s="36"/>
      <x:c r="P96" s="36"/>
      <x:c r="Q96" s="36"/>
      <x:c r="R96" s="36"/>
      <x:c r="S96" s="82"/>
      <x:c r="T96" s="82"/>
      <x:c r="U96" s="82"/>
      <x:c r="V96" s="82"/>
      <x:c r="W96" s="82"/>
      <x:c r="X96" s="36"/>
      <x:c r="Y96" s="36"/>
      <x:c r="Z96" s="36"/>
      <x:c r="AA96" s="36"/>
      <x:c r="AB96" s="96"/>
      <x:c r="AC96" s="82"/>
      <x:c r="AD96" s="36"/>
      <x:c r="AE96" s="94"/>
      <x:c r="AF96" s="86"/>
      <x:c r="AG96" s="32"/>
      <x:c r="AH96" s="32"/>
      <x:c r="AI96" s="32"/>
      <x:c r="AJ96" s="88"/>
      <x:c r="AK96" s="32"/>
      <x:c r="AL96" s="32"/>
      <x:c r="AM96" s="32"/>
      <x:c r="AN96" s="32"/>
      <x:c r="AO96" s="32"/>
      <x:c r="AP96" s="32"/>
      <x:c r="AQ96" s="94"/>
      <x:c r="AR96" s="32"/>
      <x:c r="AS96" s="32"/>
      <x:c r="AT96" s="32"/>
      <x:c r="AU96" s="86"/>
      <x:c r="AV96" s="90" t="str">
        <x:f>IF($A96="","",IF(COUNTIFS('Quotations'!$L$8:$L$107,$AE96,'Quotations'!$O$8:$O$107,1)=0,"",MINIFS('Quotations'!$E$8:$E$107,'Quotations'!$L$8:$L$107,$AE96,'Quotations'!$O$8:$O$107,1)))</x:f>
      </x:c>
      <x:c r="AW96" s="90" t="str">
        <x:f>IF($A96="","",IF(COUNTIFS('Orders_PO'!$N$8:$N$107,$AE96,'Orders_PO'!$Q$8:$Q$107,1)=0,"",MINIFS('Orders_PO'!$E$8:$E$107,'Orders_PO'!$N$8:$N$107,$AE96,'Orders_PO'!$Q$8:$Q$107,1)))</x:f>
      </x:c>
      <x:c r="AX96" s="42" t="str">
        <x:f>IF($A96="","",COUNTIFS('Quotations'!$L$8:$L$107,$AE96,'Quotations'!$O$8:$O$107,1,'Quotations'!$I$8:$I$107,"Yes"))</x:f>
      </x:c>
      <x:c r="AY96" s="42" t="str">
        <x:f>IF($A96="","",COUNTIFS('Orders_PO'!$N$8:$N$107,$AE96,'Orders_PO'!$Q$8:$Q$107,1))</x:f>
      </x:c>
      <x:c r="AZ96" s="42" t="str">
        <x:f>IF($A96="","",IF((IF($AE96="","ขาด Lead ID; ","")&amp;IF(AND($AE96&lt;&gt;"",COUNTIF('Leads'!$AE$8:$AE$107,$AE96)&gt;1),"Lead ID ซ้ำ; ","")&amp;IF(COUNTIF('Leads'!$A$8:$A$107,$A96)&gt;1,"Reference ซ้ำ; ","")&amp;IF(COUNTIF('Guide_Lists'!$AR$2:$AR$4,$A96)&gt;0,"Known TEST — ห้ามนับผล; ","")&amp;IF(OR($B96="",$D96=""),"ขาดชื่อ/งาน; ","")&amp;IF(AND($L96="",$M96="",$N96=""),"ขาดช่องทางติดต่อ; ","")&amp;IF(OR($Z96="",$AA96="",$F96="",$G96="",$AT96=""),"ขาดผู้ดูแล/ประเภท/สถานะ/Environment; ","")&amp;IF(NOT(ISNUMBER($AF96)),"ขาดเวลารับ Lead; ","")&amp;IF(AND($AA96="Duplicate",$AB96=""),"ขาด duplicate_of; ","")&amp;IF(AND($G96="Qualified",OR($R96="",$U96="")),"Qualified ขาดเหตุผล/วันที่; ","")&amp;IF(AND($G96="Unqualified",$R96=""),"Unqualified ขาดเหตุผล; ","")&amp;IF(AND($F96="Qualified",$G96&lt;&gt;"Qualified"),"สถานะ/ผลคัดกรองไม่ตรง; ","")&amp;IF(AND($F96="Unqualified",$G96&lt;&gt;"Unqualified"),"สถานะ/ผลคัดกรองไม่ตรง; ","")&amp;IF(AND($F96="Contacting",$S96=""),"ขาดเวลาพยายามติดต่อ; ","")&amp;IF(AND($O96="Contactable",$T96=""),"ขาดเวลาติดต่อสำเร็จ; ","")&amp;IF(AND($F96="Quotation Sent",$AV96=""),"ยังไม่มีใบราคาที่ตรวจผ่าน; ","")&amp;IF(AND($F96="Won",$AY96=0),"Won ยังไม่มี PO ที่ตรวจผ่าน; ","")&amp;IF(AND($AY96&gt;0,$F96&lt;&gt;"Won"),"มี PO แล้ว—ตรวจสถานะ; ","")&amp;IF(AND($F96="Lost",OR($W96="",$X96="")),"Lost ขาดวัน/เหตุผล; ","")&amp;IF(AND($AA96="Real",NOT(OR($F96="Won",$F96="Lost",$F96="Unqualified")),OR($H96="",$I96="")),"ขาดนัด/งานถัดไป; ","")&amp;IF(OR($AC96="",$AD96=""),"ขาดเวลา/ผู้บันทึก; ","")&amp;IF(AND(ISNUMBER($S96),ISNUMBER($AF96),$S96&lt;$AF96),"ตรวจเวลา attempt ก่อนรับ Lead; ",""))="","ครบ",IF($AE96="","ขาด Lead ID; ","")&amp;IF(AND($AE96&lt;&gt;"",COUNTIF('Leads'!$AE$8:$AE$107,$AE96)&gt;1),"Lead ID ซ้ำ; ","")&amp;IF(COUNTIF('Leads'!$A$8:$A$107,$A96)&gt;1,"Reference ซ้ำ; ","")&amp;IF(COUNTIF('Guide_Lists'!$AR$2:$AR$4,$A96)&gt;0,"Known TEST — ห้ามนับผล; ","")&amp;IF(OR($B96="",$D96=""),"ขาดชื่อ/งาน; ","")&amp;IF(AND($L96="",$M96="",$N96=""),"ขาดช่องทางติดต่อ; ","")&amp;IF(OR($Z96="",$AA96="",$F96="",$G96="",$AT96=""),"ขาดผู้ดูแล/ประเภท/สถานะ/Environment; ","")&amp;IF(NOT(ISNUMBER($AF96)),"ขาดเวลารับ Lead; ","")&amp;IF(AND($AA96="Duplicate",$AB96=""),"ขาด duplicate_of; ","")&amp;IF(AND($G96="Qualified",OR($R96="",$U96="")),"Qualified ขาดเหตุผล/วันที่; ","")&amp;IF(AND($G96="Unqualified",$R96=""),"Unqualified ขาดเหตุผล; ","")&amp;IF(AND($F96="Qualified",$G96&lt;&gt;"Qualified"),"สถานะ/ผลคัดกรองไม่ตรง; ","")&amp;IF(AND($F96="Unqualified",$G96&lt;&gt;"Unqualified"),"สถานะ/ผลคัดกรองไม่ตรง; ","")&amp;IF(AND($F96="Contacting",$S96=""),"ขาดเวลาพยายามติดต่อ; ","")&amp;IF(AND($O96="Contactable",$T96=""),"ขาดเวลาติดต่อสำเร็จ; ","")&amp;IF(AND($F96="Quotation Sent",$AV96=""),"ยังไม่มีใบราคาที่ตรวจผ่าน; ","")&amp;IF(AND($F96="Won",$AY96=0),"Won ยังไม่มี PO ที่ตรวจผ่าน; ","")&amp;IF(AND($AY96&gt;0,$F96&lt;&gt;"Won"),"มี PO แล้ว—ตรวจสถานะ; ","")&amp;IF(AND($F96="Lost",OR($W96="",$X96="")),"Lost ขาดวัน/เหตุผล; ","")&amp;IF(AND($AA96="Real",NOT(OR($F96="Won",$F96="Lost",$F96="Unqualified")),OR($H96="",$I96="")),"ขาดนัด/งานถัดไป; ","")&amp;IF(OR($AC96="",$AD96=""),"ขาดเวลา/ผู้บันทึก; ","")&amp;IF(AND(ISNUMBER($S96),ISNUMBER($AF96),$S96&lt;$AF96),"ตรวจเวลา attempt ก่อนรับ Lead; ","")))</x:f>
      </x:c>
      <x:c r="BA96" s="42" t="str">
        <x:f>IF($A96="","",IF(AND($AE96&lt;&gt;"",$AA96="Real",$AT96="production",COUNTIF('Leads'!$AE$8:$AE$107,$AE96)=1,COUNTIF('Leads'!$A$8:$A$107,$A96)=1,COUNTIF('Guide_Lists'!$AR$2:$AR$4,$A96)=0),1,0))</x:f>
      </x:c>
    </x:row>
    <x:row r="97" ht="30" customHeight="1">
      <x:c r="A97" s="94"/>
      <x:c r="B97" s="32"/>
      <x:c r="C97" s="32"/>
      <x:c r="D97" s="32"/>
      <x:c r="E97" s="92"/>
      <x:c r="F97" s="36"/>
      <x:c r="G97" s="36"/>
      <x:c r="H97" s="82"/>
      <x:c r="I97" s="36"/>
      <x:c r="J97" s="42" t="str">
        <x:f>IF($A97="","",IF(OR($AA97="Test",$AA97="Spam",$AA97="Duplicate",COUNTIF('Guide_Lists'!$AR$2:$AR$4,$A97)&gt;0),"ไม่นับผลธุรกิจ",IF($AA97&lt;&gt;"Real","ระบุประเภทข้อมูล",IF(OR($F97="Won",$F97="Lost",$F97="Unqualified"),"ปิดงานขาย",IF($H97="","ยังไม่นัด",IF(NOT(ISNUMBER($H97)),"ตรวจวันนัด",IF(INT($H97)&lt;'Guide_Lists'!$B$4,"เกินกำหนด",IF(INT($H97)='Guide_Lists'!$B$4,"ติดตามวันนี้","รอนัด"))))))))</x:f>
      </x:c>
      <x:c r="K97" s="32"/>
      <x:c r="L97" s="94"/>
      <x:c r="M97" s="94"/>
      <x:c r="N97" s="94"/>
      <x:c r="O97" s="36"/>
      <x:c r="P97" s="36"/>
      <x:c r="Q97" s="36"/>
      <x:c r="R97" s="36"/>
      <x:c r="S97" s="82"/>
      <x:c r="T97" s="82"/>
      <x:c r="U97" s="82"/>
      <x:c r="V97" s="82"/>
      <x:c r="W97" s="82"/>
      <x:c r="X97" s="36"/>
      <x:c r="Y97" s="36"/>
      <x:c r="Z97" s="36"/>
      <x:c r="AA97" s="36"/>
      <x:c r="AB97" s="96"/>
      <x:c r="AC97" s="82"/>
      <x:c r="AD97" s="36"/>
      <x:c r="AE97" s="94"/>
      <x:c r="AF97" s="86"/>
      <x:c r="AG97" s="32"/>
      <x:c r="AH97" s="32"/>
      <x:c r="AI97" s="32"/>
      <x:c r="AJ97" s="88"/>
      <x:c r="AK97" s="32"/>
      <x:c r="AL97" s="32"/>
      <x:c r="AM97" s="32"/>
      <x:c r="AN97" s="32"/>
      <x:c r="AO97" s="32"/>
      <x:c r="AP97" s="32"/>
      <x:c r="AQ97" s="94"/>
      <x:c r="AR97" s="32"/>
      <x:c r="AS97" s="32"/>
      <x:c r="AT97" s="32"/>
      <x:c r="AU97" s="86"/>
      <x:c r="AV97" s="90" t="str">
        <x:f>IF($A97="","",IF(COUNTIFS('Quotations'!$L$8:$L$107,$AE97,'Quotations'!$O$8:$O$107,1)=0,"",MINIFS('Quotations'!$E$8:$E$107,'Quotations'!$L$8:$L$107,$AE97,'Quotations'!$O$8:$O$107,1)))</x:f>
      </x:c>
      <x:c r="AW97" s="90" t="str">
        <x:f>IF($A97="","",IF(COUNTIFS('Orders_PO'!$N$8:$N$107,$AE97,'Orders_PO'!$Q$8:$Q$107,1)=0,"",MINIFS('Orders_PO'!$E$8:$E$107,'Orders_PO'!$N$8:$N$107,$AE97,'Orders_PO'!$Q$8:$Q$107,1)))</x:f>
      </x:c>
      <x:c r="AX97" s="42" t="str">
        <x:f>IF($A97="","",COUNTIFS('Quotations'!$L$8:$L$107,$AE97,'Quotations'!$O$8:$O$107,1,'Quotations'!$I$8:$I$107,"Yes"))</x:f>
      </x:c>
      <x:c r="AY97" s="42" t="str">
        <x:f>IF($A97="","",COUNTIFS('Orders_PO'!$N$8:$N$107,$AE97,'Orders_PO'!$Q$8:$Q$107,1))</x:f>
      </x:c>
      <x:c r="AZ97" s="42" t="str">
        <x:f>IF($A97="","",IF((IF($AE97="","ขาด Lead ID; ","")&amp;IF(AND($AE97&lt;&gt;"",COUNTIF('Leads'!$AE$8:$AE$107,$AE97)&gt;1),"Lead ID ซ้ำ; ","")&amp;IF(COUNTIF('Leads'!$A$8:$A$107,$A97)&gt;1,"Reference ซ้ำ; ","")&amp;IF(COUNTIF('Guide_Lists'!$AR$2:$AR$4,$A97)&gt;0,"Known TEST — ห้ามนับผล; ","")&amp;IF(OR($B97="",$D97=""),"ขาดชื่อ/งาน; ","")&amp;IF(AND($L97="",$M97="",$N97=""),"ขาดช่องทางติดต่อ; ","")&amp;IF(OR($Z97="",$AA97="",$F97="",$G97="",$AT97=""),"ขาดผู้ดูแล/ประเภท/สถานะ/Environment; ","")&amp;IF(NOT(ISNUMBER($AF97)),"ขาดเวลารับ Lead; ","")&amp;IF(AND($AA97="Duplicate",$AB97=""),"ขาด duplicate_of; ","")&amp;IF(AND($G97="Qualified",OR($R97="",$U97="")),"Qualified ขาดเหตุผล/วันที่; ","")&amp;IF(AND($G97="Unqualified",$R97=""),"Unqualified ขาดเหตุผล; ","")&amp;IF(AND($F97="Qualified",$G97&lt;&gt;"Qualified"),"สถานะ/ผลคัดกรองไม่ตรง; ","")&amp;IF(AND($F97="Unqualified",$G97&lt;&gt;"Unqualified"),"สถานะ/ผลคัดกรองไม่ตรง; ","")&amp;IF(AND($F97="Contacting",$S97=""),"ขาดเวลาพยายามติดต่อ; ","")&amp;IF(AND($O97="Contactable",$T97=""),"ขาดเวลาติดต่อสำเร็จ; ","")&amp;IF(AND($F97="Quotation Sent",$AV97=""),"ยังไม่มีใบราคาที่ตรวจผ่าน; ","")&amp;IF(AND($F97="Won",$AY97=0),"Won ยังไม่มี PO ที่ตรวจผ่าน; ","")&amp;IF(AND($AY97&gt;0,$F97&lt;&gt;"Won"),"มี PO แล้ว—ตรวจสถานะ; ","")&amp;IF(AND($F97="Lost",OR($W97="",$X97="")),"Lost ขาดวัน/เหตุผล; ","")&amp;IF(AND($AA97="Real",NOT(OR($F97="Won",$F97="Lost",$F97="Unqualified")),OR($H97="",$I97="")),"ขาดนัด/งานถัดไป; ","")&amp;IF(OR($AC97="",$AD97=""),"ขาดเวลา/ผู้บันทึก; ","")&amp;IF(AND(ISNUMBER($S97),ISNUMBER($AF97),$S97&lt;$AF97),"ตรวจเวลา attempt ก่อนรับ Lead; ",""))="","ครบ",IF($AE97="","ขาด Lead ID; ","")&amp;IF(AND($AE97&lt;&gt;"",COUNTIF('Leads'!$AE$8:$AE$107,$AE97)&gt;1),"Lead ID ซ้ำ; ","")&amp;IF(COUNTIF('Leads'!$A$8:$A$107,$A97)&gt;1,"Reference ซ้ำ; ","")&amp;IF(COUNTIF('Guide_Lists'!$AR$2:$AR$4,$A97)&gt;0,"Known TEST — ห้ามนับผล; ","")&amp;IF(OR($B97="",$D97=""),"ขาดชื่อ/งาน; ","")&amp;IF(AND($L97="",$M97="",$N97=""),"ขาดช่องทางติดต่อ; ","")&amp;IF(OR($Z97="",$AA97="",$F97="",$G97="",$AT97=""),"ขาดผู้ดูแล/ประเภท/สถานะ/Environment; ","")&amp;IF(NOT(ISNUMBER($AF97)),"ขาดเวลารับ Lead; ","")&amp;IF(AND($AA97="Duplicate",$AB97=""),"ขาด duplicate_of; ","")&amp;IF(AND($G97="Qualified",OR($R97="",$U97="")),"Qualified ขาดเหตุผล/วันที่; ","")&amp;IF(AND($G97="Unqualified",$R97=""),"Unqualified ขาดเหตุผล; ","")&amp;IF(AND($F97="Qualified",$G97&lt;&gt;"Qualified"),"สถานะ/ผลคัดกรองไม่ตรง; ","")&amp;IF(AND($F97="Unqualified",$G97&lt;&gt;"Unqualified"),"สถานะ/ผลคัดกรองไม่ตรง; ","")&amp;IF(AND($F97="Contacting",$S97=""),"ขาดเวลาพยายามติดต่อ; ","")&amp;IF(AND($O97="Contactable",$T97=""),"ขาดเวลาติดต่อสำเร็จ; ","")&amp;IF(AND($F97="Quotation Sent",$AV97=""),"ยังไม่มีใบราคาที่ตรวจผ่าน; ","")&amp;IF(AND($F97="Won",$AY97=0),"Won ยังไม่มี PO ที่ตรวจผ่าน; ","")&amp;IF(AND($AY97&gt;0,$F97&lt;&gt;"Won"),"มี PO แล้ว—ตรวจสถานะ; ","")&amp;IF(AND($F97="Lost",OR($W97="",$X97="")),"Lost ขาดวัน/เหตุผล; ","")&amp;IF(AND($AA97="Real",NOT(OR($F97="Won",$F97="Lost",$F97="Unqualified")),OR($H97="",$I97="")),"ขาดนัด/งานถัดไป; ","")&amp;IF(OR($AC97="",$AD97=""),"ขาดเวลา/ผู้บันทึก; ","")&amp;IF(AND(ISNUMBER($S97),ISNUMBER($AF97),$S97&lt;$AF97),"ตรวจเวลา attempt ก่อนรับ Lead; ","")))</x:f>
      </x:c>
      <x:c r="BA97" s="42" t="str">
        <x:f>IF($A97="","",IF(AND($AE97&lt;&gt;"",$AA97="Real",$AT97="production",COUNTIF('Leads'!$AE$8:$AE$107,$AE97)=1,COUNTIF('Leads'!$A$8:$A$107,$A97)=1,COUNTIF('Guide_Lists'!$AR$2:$AR$4,$A97)=0),1,0))</x:f>
      </x:c>
    </x:row>
    <x:row r="98" ht="30" customHeight="1">
      <x:c r="A98" s="94"/>
      <x:c r="B98" s="32"/>
      <x:c r="C98" s="32"/>
      <x:c r="D98" s="32"/>
      <x:c r="E98" s="92"/>
      <x:c r="F98" s="36"/>
      <x:c r="G98" s="36"/>
      <x:c r="H98" s="82"/>
      <x:c r="I98" s="36"/>
      <x:c r="J98" s="42" t="str">
        <x:f>IF($A98="","",IF(OR($AA98="Test",$AA98="Spam",$AA98="Duplicate",COUNTIF('Guide_Lists'!$AR$2:$AR$4,$A98)&gt;0),"ไม่นับผลธุรกิจ",IF($AA98&lt;&gt;"Real","ระบุประเภทข้อมูล",IF(OR($F98="Won",$F98="Lost",$F98="Unqualified"),"ปิดงานขาย",IF($H98="","ยังไม่นัด",IF(NOT(ISNUMBER($H98)),"ตรวจวันนัด",IF(INT($H98)&lt;'Guide_Lists'!$B$4,"เกินกำหนด",IF(INT($H98)='Guide_Lists'!$B$4,"ติดตามวันนี้","รอนัด"))))))))</x:f>
      </x:c>
      <x:c r="K98" s="32"/>
      <x:c r="L98" s="94"/>
      <x:c r="M98" s="94"/>
      <x:c r="N98" s="94"/>
      <x:c r="O98" s="36"/>
      <x:c r="P98" s="36"/>
      <x:c r="Q98" s="36"/>
      <x:c r="R98" s="36"/>
      <x:c r="S98" s="82"/>
      <x:c r="T98" s="82"/>
      <x:c r="U98" s="82"/>
      <x:c r="V98" s="82"/>
      <x:c r="W98" s="82"/>
      <x:c r="X98" s="36"/>
      <x:c r="Y98" s="36"/>
      <x:c r="Z98" s="36"/>
      <x:c r="AA98" s="36"/>
      <x:c r="AB98" s="96"/>
      <x:c r="AC98" s="82"/>
      <x:c r="AD98" s="36"/>
      <x:c r="AE98" s="94"/>
      <x:c r="AF98" s="86"/>
      <x:c r="AG98" s="32"/>
      <x:c r="AH98" s="32"/>
      <x:c r="AI98" s="32"/>
      <x:c r="AJ98" s="88"/>
      <x:c r="AK98" s="32"/>
      <x:c r="AL98" s="32"/>
      <x:c r="AM98" s="32"/>
      <x:c r="AN98" s="32"/>
      <x:c r="AO98" s="32"/>
      <x:c r="AP98" s="32"/>
      <x:c r="AQ98" s="94"/>
      <x:c r="AR98" s="32"/>
      <x:c r="AS98" s="32"/>
      <x:c r="AT98" s="32"/>
      <x:c r="AU98" s="86"/>
      <x:c r="AV98" s="90" t="str">
        <x:f>IF($A98="","",IF(COUNTIFS('Quotations'!$L$8:$L$107,$AE98,'Quotations'!$O$8:$O$107,1)=0,"",MINIFS('Quotations'!$E$8:$E$107,'Quotations'!$L$8:$L$107,$AE98,'Quotations'!$O$8:$O$107,1)))</x:f>
      </x:c>
      <x:c r="AW98" s="90" t="str">
        <x:f>IF($A98="","",IF(COUNTIFS('Orders_PO'!$N$8:$N$107,$AE98,'Orders_PO'!$Q$8:$Q$107,1)=0,"",MINIFS('Orders_PO'!$E$8:$E$107,'Orders_PO'!$N$8:$N$107,$AE98,'Orders_PO'!$Q$8:$Q$107,1)))</x:f>
      </x:c>
      <x:c r="AX98" s="42" t="str">
        <x:f>IF($A98="","",COUNTIFS('Quotations'!$L$8:$L$107,$AE98,'Quotations'!$O$8:$O$107,1,'Quotations'!$I$8:$I$107,"Yes"))</x:f>
      </x:c>
      <x:c r="AY98" s="42" t="str">
        <x:f>IF($A98="","",COUNTIFS('Orders_PO'!$N$8:$N$107,$AE98,'Orders_PO'!$Q$8:$Q$107,1))</x:f>
      </x:c>
      <x:c r="AZ98" s="42" t="str">
        <x:f>IF($A98="","",IF((IF($AE98="","ขาด Lead ID; ","")&amp;IF(AND($AE98&lt;&gt;"",COUNTIF('Leads'!$AE$8:$AE$107,$AE98)&gt;1),"Lead ID ซ้ำ; ","")&amp;IF(COUNTIF('Leads'!$A$8:$A$107,$A98)&gt;1,"Reference ซ้ำ; ","")&amp;IF(COUNTIF('Guide_Lists'!$AR$2:$AR$4,$A98)&gt;0,"Known TEST — ห้ามนับผล; ","")&amp;IF(OR($B98="",$D98=""),"ขาดชื่อ/งาน; ","")&amp;IF(AND($L98="",$M98="",$N98=""),"ขาดช่องทางติดต่อ; ","")&amp;IF(OR($Z98="",$AA98="",$F98="",$G98="",$AT98=""),"ขาดผู้ดูแล/ประเภท/สถานะ/Environment; ","")&amp;IF(NOT(ISNUMBER($AF98)),"ขาดเวลารับ Lead; ","")&amp;IF(AND($AA98="Duplicate",$AB98=""),"ขาด duplicate_of; ","")&amp;IF(AND($G98="Qualified",OR($R98="",$U98="")),"Qualified ขาดเหตุผล/วันที่; ","")&amp;IF(AND($G98="Unqualified",$R98=""),"Unqualified ขาดเหตุผล; ","")&amp;IF(AND($F98="Qualified",$G98&lt;&gt;"Qualified"),"สถานะ/ผลคัดกรองไม่ตรง; ","")&amp;IF(AND($F98="Unqualified",$G98&lt;&gt;"Unqualified"),"สถานะ/ผลคัดกรองไม่ตรง; ","")&amp;IF(AND($F98="Contacting",$S98=""),"ขาดเวลาพยายามติดต่อ; ","")&amp;IF(AND($O98="Contactable",$T98=""),"ขาดเวลาติดต่อสำเร็จ; ","")&amp;IF(AND($F98="Quotation Sent",$AV98=""),"ยังไม่มีใบราคาที่ตรวจผ่าน; ","")&amp;IF(AND($F98="Won",$AY98=0),"Won ยังไม่มี PO ที่ตรวจผ่าน; ","")&amp;IF(AND($AY98&gt;0,$F98&lt;&gt;"Won"),"มี PO แล้ว—ตรวจสถานะ; ","")&amp;IF(AND($F98="Lost",OR($W98="",$X98="")),"Lost ขาดวัน/เหตุผล; ","")&amp;IF(AND($AA98="Real",NOT(OR($F98="Won",$F98="Lost",$F98="Unqualified")),OR($H98="",$I98="")),"ขาดนัด/งานถัดไป; ","")&amp;IF(OR($AC98="",$AD98=""),"ขาดเวลา/ผู้บันทึก; ","")&amp;IF(AND(ISNUMBER($S98),ISNUMBER($AF98),$S98&lt;$AF98),"ตรวจเวลา attempt ก่อนรับ Lead; ",""))="","ครบ",IF($AE98="","ขาด Lead ID; ","")&amp;IF(AND($AE98&lt;&gt;"",COUNTIF('Leads'!$AE$8:$AE$107,$AE98)&gt;1),"Lead ID ซ้ำ; ","")&amp;IF(COUNTIF('Leads'!$A$8:$A$107,$A98)&gt;1,"Reference ซ้ำ; ","")&amp;IF(COUNTIF('Guide_Lists'!$AR$2:$AR$4,$A98)&gt;0,"Known TEST — ห้ามนับผล; ","")&amp;IF(OR($B98="",$D98=""),"ขาดชื่อ/งาน; ","")&amp;IF(AND($L98="",$M98="",$N98=""),"ขาดช่องทางติดต่อ; ","")&amp;IF(OR($Z98="",$AA98="",$F98="",$G98="",$AT98=""),"ขาดผู้ดูแล/ประเภท/สถานะ/Environment; ","")&amp;IF(NOT(ISNUMBER($AF98)),"ขาดเวลารับ Lead; ","")&amp;IF(AND($AA98="Duplicate",$AB98=""),"ขาด duplicate_of; ","")&amp;IF(AND($G98="Qualified",OR($R98="",$U98="")),"Qualified ขาดเหตุผล/วันที่; ","")&amp;IF(AND($G98="Unqualified",$R98=""),"Unqualified ขาดเหตุผล; ","")&amp;IF(AND($F98="Qualified",$G98&lt;&gt;"Qualified"),"สถานะ/ผลคัดกรองไม่ตรง; ","")&amp;IF(AND($F98="Unqualified",$G98&lt;&gt;"Unqualified"),"สถานะ/ผลคัดกรองไม่ตรง; ","")&amp;IF(AND($F98="Contacting",$S98=""),"ขาดเวลาพยายามติดต่อ; ","")&amp;IF(AND($O98="Contactable",$T98=""),"ขาดเวลาติดต่อสำเร็จ; ","")&amp;IF(AND($F98="Quotation Sent",$AV98=""),"ยังไม่มีใบราคาที่ตรวจผ่าน; ","")&amp;IF(AND($F98="Won",$AY98=0),"Won ยังไม่มี PO ที่ตรวจผ่าน; ","")&amp;IF(AND($AY98&gt;0,$F98&lt;&gt;"Won"),"มี PO แล้ว—ตรวจสถานะ; ","")&amp;IF(AND($F98="Lost",OR($W98="",$X98="")),"Lost ขาดวัน/เหตุผล; ","")&amp;IF(AND($AA98="Real",NOT(OR($F98="Won",$F98="Lost",$F98="Unqualified")),OR($H98="",$I98="")),"ขาดนัด/งานถัดไป; ","")&amp;IF(OR($AC98="",$AD98=""),"ขาดเวลา/ผู้บันทึก; ","")&amp;IF(AND(ISNUMBER($S98),ISNUMBER($AF98),$S98&lt;$AF98),"ตรวจเวลา attempt ก่อนรับ Lead; ","")))</x:f>
      </x:c>
      <x:c r="BA98" s="42" t="str">
        <x:f>IF($A98="","",IF(AND($AE98&lt;&gt;"",$AA98="Real",$AT98="production",COUNTIF('Leads'!$AE$8:$AE$107,$AE98)=1,COUNTIF('Leads'!$A$8:$A$107,$A98)=1,COUNTIF('Guide_Lists'!$AR$2:$AR$4,$A98)=0),1,0))</x:f>
      </x:c>
    </x:row>
    <x:row r="99" ht="30" customHeight="1">
      <x:c r="A99" s="94"/>
      <x:c r="B99" s="32"/>
      <x:c r="C99" s="32"/>
      <x:c r="D99" s="32"/>
      <x:c r="E99" s="92"/>
      <x:c r="F99" s="36"/>
      <x:c r="G99" s="36"/>
      <x:c r="H99" s="82"/>
      <x:c r="I99" s="36"/>
      <x:c r="J99" s="42" t="str">
        <x:f>IF($A99="","",IF(OR($AA99="Test",$AA99="Spam",$AA99="Duplicate",COUNTIF('Guide_Lists'!$AR$2:$AR$4,$A99)&gt;0),"ไม่นับผลธุรกิจ",IF($AA99&lt;&gt;"Real","ระบุประเภทข้อมูล",IF(OR($F99="Won",$F99="Lost",$F99="Unqualified"),"ปิดงานขาย",IF($H99="","ยังไม่นัด",IF(NOT(ISNUMBER($H99)),"ตรวจวันนัด",IF(INT($H99)&lt;'Guide_Lists'!$B$4,"เกินกำหนด",IF(INT($H99)='Guide_Lists'!$B$4,"ติดตามวันนี้","รอนัด"))))))))</x:f>
      </x:c>
      <x:c r="K99" s="32"/>
      <x:c r="L99" s="94"/>
      <x:c r="M99" s="94"/>
      <x:c r="N99" s="94"/>
      <x:c r="O99" s="36"/>
      <x:c r="P99" s="36"/>
      <x:c r="Q99" s="36"/>
      <x:c r="R99" s="36"/>
      <x:c r="S99" s="82"/>
      <x:c r="T99" s="82"/>
      <x:c r="U99" s="82"/>
      <x:c r="V99" s="82"/>
      <x:c r="W99" s="82"/>
      <x:c r="X99" s="36"/>
      <x:c r="Y99" s="36"/>
      <x:c r="Z99" s="36"/>
      <x:c r="AA99" s="36"/>
      <x:c r="AB99" s="96"/>
      <x:c r="AC99" s="82"/>
      <x:c r="AD99" s="36"/>
      <x:c r="AE99" s="94"/>
      <x:c r="AF99" s="86"/>
      <x:c r="AG99" s="32"/>
      <x:c r="AH99" s="32"/>
      <x:c r="AI99" s="32"/>
      <x:c r="AJ99" s="88"/>
      <x:c r="AK99" s="32"/>
      <x:c r="AL99" s="32"/>
      <x:c r="AM99" s="32"/>
      <x:c r="AN99" s="32"/>
      <x:c r="AO99" s="32"/>
      <x:c r="AP99" s="32"/>
      <x:c r="AQ99" s="94"/>
      <x:c r="AR99" s="32"/>
      <x:c r="AS99" s="32"/>
      <x:c r="AT99" s="32"/>
      <x:c r="AU99" s="86"/>
      <x:c r="AV99" s="90" t="str">
        <x:f>IF($A99="","",IF(COUNTIFS('Quotations'!$L$8:$L$107,$AE99,'Quotations'!$O$8:$O$107,1)=0,"",MINIFS('Quotations'!$E$8:$E$107,'Quotations'!$L$8:$L$107,$AE99,'Quotations'!$O$8:$O$107,1)))</x:f>
      </x:c>
      <x:c r="AW99" s="90" t="str">
        <x:f>IF($A99="","",IF(COUNTIFS('Orders_PO'!$N$8:$N$107,$AE99,'Orders_PO'!$Q$8:$Q$107,1)=0,"",MINIFS('Orders_PO'!$E$8:$E$107,'Orders_PO'!$N$8:$N$107,$AE99,'Orders_PO'!$Q$8:$Q$107,1)))</x:f>
      </x:c>
      <x:c r="AX99" s="42" t="str">
        <x:f>IF($A99="","",COUNTIFS('Quotations'!$L$8:$L$107,$AE99,'Quotations'!$O$8:$O$107,1,'Quotations'!$I$8:$I$107,"Yes"))</x:f>
      </x:c>
      <x:c r="AY99" s="42" t="str">
        <x:f>IF($A99="","",COUNTIFS('Orders_PO'!$N$8:$N$107,$AE99,'Orders_PO'!$Q$8:$Q$107,1))</x:f>
      </x:c>
      <x:c r="AZ99" s="42" t="str">
        <x:f>IF($A99="","",IF((IF($AE99="","ขาด Lead ID; ","")&amp;IF(AND($AE99&lt;&gt;"",COUNTIF('Leads'!$AE$8:$AE$107,$AE99)&gt;1),"Lead ID ซ้ำ; ","")&amp;IF(COUNTIF('Leads'!$A$8:$A$107,$A99)&gt;1,"Reference ซ้ำ; ","")&amp;IF(COUNTIF('Guide_Lists'!$AR$2:$AR$4,$A99)&gt;0,"Known TEST — ห้ามนับผล; ","")&amp;IF(OR($B99="",$D99=""),"ขาดชื่อ/งาน; ","")&amp;IF(AND($L99="",$M99="",$N99=""),"ขาดช่องทางติดต่อ; ","")&amp;IF(OR($Z99="",$AA99="",$F99="",$G99="",$AT99=""),"ขาดผู้ดูแล/ประเภท/สถานะ/Environment; ","")&amp;IF(NOT(ISNUMBER($AF99)),"ขาดเวลารับ Lead; ","")&amp;IF(AND($AA99="Duplicate",$AB99=""),"ขาด duplicate_of; ","")&amp;IF(AND($G99="Qualified",OR($R99="",$U99="")),"Qualified ขาดเหตุผล/วันที่; ","")&amp;IF(AND($G99="Unqualified",$R99=""),"Unqualified ขาดเหตุผล; ","")&amp;IF(AND($F99="Qualified",$G99&lt;&gt;"Qualified"),"สถานะ/ผลคัดกรองไม่ตรง; ","")&amp;IF(AND($F99="Unqualified",$G99&lt;&gt;"Unqualified"),"สถานะ/ผลคัดกรองไม่ตรง; ","")&amp;IF(AND($F99="Contacting",$S99=""),"ขาดเวลาพยายามติดต่อ; ","")&amp;IF(AND($O99="Contactable",$T99=""),"ขาดเวลาติดต่อสำเร็จ; ","")&amp;IF(AND($F99="Quotation Sent",$AV99=""),"ยังไม่มีใบราคาที่ตรวจผ่าน; ","")&amp;IF(AND($F99="Won",$AY99=0),"Won ยังไม่มี PO ที่ตรวจผ่าน; ","")&amp;IF(AND($AY99&gt;0,$F99&lt;&gt;"Won"),"มี PO แล้ว—ตรวจสถานะ; ","")&amp;IF(AND($F99="Lost",OR($W99="",$X99="")),"Lost ขาดวัน/เหตุผล; ","")&amp;IF(AND($AA99="Real",NOT(OR($F99="Won",$F99="Lost",$F99="Unqualified")),OR($H99="",$I99="")),"ขาดนัด/งานถัดไป; ","")&amp;IF(OR($AC99="",$AD99=""),"ขาดเวลา/ผู้บันทึก; ","")&amp;IF(AND(ISNUMBER($S99),ISNUMBER($AF99),$S99&lt;$AF99),"ตรวจเวลา attempt ก่อนรับ Lead; ",""))="","ครบ",IF($AE99="","ขาด Lead ID; ","")&amp;IF(AND($AE99&lt;&gt;"",COUNTIF('Leads'!$AE$8:$AE$107,$AE99)&gt;1),"Lead ID ซ้ำ; ","")&amp;IF(COUNTIF('Leads'!$A$8:$A$107,$A99)&gt;1,"Reference ซ้ำ; ","")&amp;IF(COUNTIF('Guide_Lists'!$AR$2:$AR$4,$A99)&gt;0,"Known TEST — ห้ามนับผล; ","")&amp;IF(OR($B99="",$D99=""),"ขาดชื่อ/งาน; ","")&amp;IF(AND($L99="",$M99="",$N99=""),"ขาดช่องทางติดต่อ; ","")&amp;IF(OR($Z99="",$AA99="",$F99="",$G99="",$AT99=""),"ขาดผู้ดูแล/ประเภท/สถานะ/Environment; ","")&amp;IF(NOT(ISNUMBER($AF99)),"ขาดเวลารับ Lead; ","")&amp;IF(AND($AA99="Duplicate",$AB99=""),"ขาด duplicate_of; ","")&amp;IF(AND($G99="Qualified",OR($R99="",$U99="")),"Qualified ขาดเหตุผล/วันที่; ","")&amp;IF(AND($G99="Unqualified",$R99=""),"Unqualified ขาดเหตุผล; ","")&amp;IF(AND($F99="Qualified",$G99&lt;&gt;"Qualified"),"สถานะ/ผลคัดกรองไม่ตรง; ","")&amp;IF(AND($F99="Unqualified",$G99&lt;&gt;"Unqualified"),"สถานะ/ผลคัดกรองไม่ตรง; ","")&amp;IF(AND($F99="Contacting",$S99=""),"ขาดเวลาพยายามติดต่อ; ","")&amp;IF(AND($O99="Contactable",$T99=""),"ขาดเวลาติดต่อสำเร็จ; ","")&amp;IF(AND($F99="Quotation Sent",$AV99=""),"ยังไม่มีใบราคาที่ตรวจผ่าน; ","")&amp;IF(AND($F99="Won",$AY99=0),"Won ยังไม่มี PO ที่ตรวจผ่าน; ","")&amp;IF(AND($AY99&gt;0,$F99&lt;&gt;"Won"),"มี PO แล้ว—ตรวจสถานะ; ","")&amp;IF(AND($F99="Lost",OR($W99="",$X99="")),"Lost ขาดวัน/เหตุผล; ","")&amp;IF(AND($AA99="Real",NOT(OR($F99="Won",$F99="Lost",$F99="Unqualified")),OR($H99="",$I99="")),"ขาดนัด/งานถัดไป; ","")&amp;IF(OR($AC99="",$AD99=""),"ขาดเวลา/ผู้บันทึก; ","")&amp;IF(AND(ISNUMBER($S99),ISNUMBER($AF99),$S99&lt;$AF99),"ตรวจเวลา attempt ก่อนรับ Lead; ","")))</x:f>
      </x:c>
      <x:c r="BA99" s="42" t="str">
        <x:f>IF($A99="","",IF(AND($AE99&lt;&gt;"",$AA99="Real",$AT99="production",COUNTIF('Leads'!$AE$8:$AE$107,$AE99)=1,COUNTIF('Leads'!$A$8:$A$107,$A99)=1,COUNTIF('Guide_Lists'!$AR$2:$AR$4,$A99)=0),1,0))</x:f>
      </x:c>
    </x:row>
    <x:row r="100" ht="30" customHeight="1">
      <x:c r="A100" s="94"/>
      <x:c r="B100" s="32"/>
      <x:c r="C100" s="32"/>
      <x:c r="D100" s="32"/>
      <x:c r="E100" s="92"/>
      <x:c r="F100" s="36"/>
      <x:c r="G100" s="36"/>
      <x:c r="H100" s="82"/>
      <x:c r="I100" s="36"/>
      <x:c r="J100" s="42" t="str">
        <x:f>IF($A100="","",IF(OR($AA100="Test",$AA100="Spam",$AA100="Duplicate",COUNTIF('Guide_Lists'!$AR$2:$AR$4,$A100)&gt;0),"ไม่นับผลธุรกิจ",IF($AA100&lt;&gt;"Real","ระบุประเภทข้อมูล",IF(OR($F100="Won",$F100="Lost",$F100="Unqualified"),"ปิดงานขาย",IF($H100="","ยังไม่นัด",IF(NOT(ISNUMBER($H100)),"ตรวจวันนัด",IF(INT($H100)&lt;'Guide_Lists'!$B$4,"เกินกำหนด",IF(INT($H100)='Guide_Lists'!$B$4,"ติดตามวันนี้","รอนัด"))))))))</x:f>
      </x:c>
      <x:c r="K100" s="32"/>
      <x:c r="L100" s="94"/>
      <x:c r="M100" s="94"/>
      <x:c r="N100" s="94"/>
      <x:c r="O100" s="36"/>
      <x:c r="P100" s="36"/>
      <x:c r="Q100" s="36"/>
      <x:c r="R100" s="36"/>
      <x:c r="S100" s="82"/>
      <x:c r="T100" s="82"/>
      <x:c r="U100" s="82"/>
      <x:c r="V100" s="82"/>
      <x:c r="W100" s="82"/>
      <x:c r="X100" s="36"/>
      <x:c r="Y100" s="36"/>
      <x:c r="Z100" s="36"/>
      <x:c r="AA100" s="36"/>
      <x:c r="AB100" s="96"/>
      <x:c r="AC100" s="82"/>
      <x:c r="AD100" s="36"/>
      <x:c r="AE100" s="94"/>
      <x:c r="AF100" s="86"/>
      <x:c r="AG100" s="32"/>
      <x:c r="AH100" s="32"/>
      <x:c r="AI100" s="32"/>
      <x:c r="AJ100" s="88"/>
      <x:c r="AK100" s="32"/>
      <x:c r="AL100" s="32"/>
      <x:c r="AM100" s="32"/>
      <x:c r="AN100" s="32"/>
      <x:c r="AO100" s="32"/>
      <x:c r="AP100" s="32"/>
      <x:c r="AQ100" s="94"/>
      <x:c r="AR100" s="32"/>
      <x:c r="AS100" s="32"/>
      <x:c r="AT100" s="32"/>
      <x:c r="AU100" s="86"/>
      <x:c r="AV100" s="90" t="str">
        <x:f>IF($A100="","",IF(COUNTIFS('Quotations'!$L$8:$L$107,$AE100,'Quotations'!$O$8:$O$107,1)=0,"",MINIFS('Quotations'!$E$8:$E$107,'Quotations'!$L$8:$L$107,$AE100,'Quotations'!$O$8:$O$107,1)))</x:f>
      </x:c>
      <x:c r="AW100" s="90" t="str">
        <x:f>IF($A100="","",IF(COUNTIFS('Orders_PO'!$N$8:$N$107,$AE100,'Orders_PO'!$Q$8:$Q$107,1)=0,"",MINIFS('Orders_PO'!$E$8:$E$107,'Orders_PO'!$N$8:$N$107,$AE100,'Orders_PO'!$Q$8:$Q$107,1)))</x:f>
      </x:c>
      <x:c r="AX100" s="42" t="str">
        <x:f>IF($A100="","",COUNTIFS('Quotations'!$L$8:$L$107,$AE100,'Quotations'!$O$8:$O$107,1,'Quotations'!$I$8:$I$107,"Yes"))</x:f>
      </x:c>
      <x:c r="AY100" s="42" t="str">
        <x:f>IF($A100="","",COUNTIFS('Orders_PO'!$N$8:$N$107,$AE100,'Orders_PO'!$Q$8:$Q$107,1))</x:f>
      </x:c>
      <x:c r="AZ100" s="42" t="str">
        <x:f>IF($A100="","",IF((IF($AE100="","ขาด Lead ID; ","")&amp;IF(AND($AE100&lt;&gt;"",COUNTIF('Leads'!$AE$8:$AE$107,$AE100)&gt;1),"Lead ID ซ้ำ; ","")&amp;IF(COUNTIF('Leads'!$A$8:$A$107,$A100)&gt;1,"Reference ซ้ำ; ","")&amp;IF(COUNTIF('Guide_Lists'!$AR$2:$AR$4,$A100)&gt;0,"Known TEST — ห้ามนับผล; ","")&amp;IF(OR($B100="",$D100=""),"ขาดชื่อ/งาน; ","")&amp;IF(AND($L100="",$M100="",$N100=""),"ขาดช่องทางติดต่อ; ","")&amp;IF(OR($Z100="",$AA100="",$F100="",$G100="",$AT100=""),"ขาดผู้ดูแล/ประเภท/สถานะ/Environment; ","")&amp;IF(NOT(ISNUMBER($AF100)),"ขาดเวลารับ Lead; ","")&amp;IF(AND($AA100="Duplicate",$AB100=""),"ขาด duplicate_of; ","")&amp;IF(AND($G100="Qualified",OR($R100="",$U100="")),"Qualified ขาดเหตุผล/วันที่; ","")&amp;IF(AND($G100="Unqualified",$R100=""),"Unqualified ขาดเหตุผล; ","")&amp;IF(AND($F100="Qualified",$G100&lt;&gt;"Qualified"),"สถานะ/ผลคัดกรองไม่ตรง; ","")&amp;IF(AND($F100="Unqualified",$G100&lt;&gt;"Unqualified"),"สถานะ/ผลคัดกรองไม่ตรง; ","")&amp;IF(AND($F100="Contacting",$S100=""),"ขาดเวลาพยายามติดต่อ; ","")&amp;IF(AND($O100="Contactable",$T100=""),"ขาดเวลาติดต่อสำเร็จ; ","")&amp;IF(AND($F100="Quotation Sent",$AV100=""),"ยังไม่มีใบราคาที่ตรวจผ่าน; ","")&amp;IF(AND($F100="Won",$AY100=0),"Won ยังไม่มี PO ที่ตรวจผ่าน; ","")&amp;IF(AND($AY100&gt;0,$F100&lt;&gt;"Won"),"มี PO แล้ว—ตรวจสถานะ; ","")&amp;IF(AND($F100="Lost",OR($W100="",$X100="")),"Lost ขาดวัน/เหตุผล; ","")&amp;IF(AND($AA100="Real",NOT(OR($F100="Won",$F100="Lost",$F100="Unqualified")),OR($H100="",$I100="")),"ขาดนัด/งานถัดไป; ","")&amp;IF(OR($AC100="",$AD100=""),"ขาดเวลา/ผู้บันทึก; ","")&amp;IF(AND(ISNUMBER($S100),ISNUMBER($AF100),$S100&lt;$AF100),"ตรวจเวลา attempt ก่อนรับ Lead; ",""))="","ครบ",IF($AE100="","ขาด Lead ID; ","")&amp;IF(AND($AE100&lt;&gt;"",COUNTIF('Leads'!$AE$8:$AE$107,$AE100)&gt;1),"Lead ID ซ้ำ; ","")&amp;IF(COUNTIF('Leads'!$A$8:$A$107,$A100)&gt;1,"Reference ซ้ำ; ","")&amp;IF(COUNTIF('Guide_Lists'!$AR$2:$AR$4,$A100)&gt;0,"Known TEST — ห้ามนับผล; ","")&amp;IF(OR($B100="",$D100=""),"ขาดชื่อ/งาน; ","")&amp;IF(AND($L100="",$M100="",$N100=""),"ขาดช่องทางติดต่อ; ","")&amp;IF(OR($Z100="",$AA100="",$F100="",$G100="",$AT100=""),"ขาดผู้ดูแล/ประเภท/สถานะ/Environment; ","")&amp;IF(NOT(ISNUMBER($AF100)),"ขาดเวลารับ Lead; ","")&amp;IF(AND($AA100="Duplicate",$AB100=""),"ขาด duplicate_of; ","")&amp;IF(AND($G100="Qualified",OR($R100="",$U100="")),"Qualified ขาดเหตุผล/วันที่; ","")&amp;IF(AND($G100="Unqualified",$R100=""),"Unqualified ขาดเหตุผล; ","")&amp;IF(AND($F100="Qualified",$G100&lt;&gt;"Qualified"),"สถานะ/ผลคัดกรองไม่ตรง; ","")&amp;IF(AND($F100="Unqualified",$G100&lt;&gt;"Unqualified"),"สถานะ/ผลคัดกรองไม่ตรง; ","")&amp;IF(AND($F100="Contacting",$S100=""),"ขาดเวลาพยายามติดต่อ; ","")&amp;IF(AND($O100="Contactable",$T100=""),"ขาดเวลาติดต่อสำเร็จ; ","")&amp;IF(AND($F100="Quotation Sent",$AV100=""),"ยังไม่มีใบราคาที่ตรวจผ่าน; ","")&amp;IF(AND($F100="Won",$AY100=0),"Won ยังไม่มี PO ที่ตรวจผ่าน; ","")&amp;IF(AND($AY100&gt;0,$F100&lt;&gt;"Won"),"มี PO แล้ว—ตรวจสถานะ; ","")&amp;IF(AND($F100="Lost",OR($W100="",$X100="")),"Lost ขาดวัน/เหตุผล; ","")&amp;IF(AND($AA100="Real",NOT(OR($F100="Won",$F100="Lost",$F100="Unqualified")),OR($H100="",$I100="")),"ขาดนัด/งานถัดไป; ","")&amp;IF(OR($AC100="",$AD100=""),"ขาดเวลา/ผู้บันทึก; ","")&amp;IF(AND(ISNUMBER($S100),ISNUMBER($AF100),$S100&lt;$AF100),"ตรวจเวลา attempt ก่อนรับ Lead; ","")))</x:f>
      </x:c>
      <x:c r="BA100" s="42" t="str">
        <x:f>IF($A100="","",IF(AND($AE100&lt;&gt;"",$AA100="Real",$AT100="production",COUNTIF('Leads'!$AE$8:$AE$107,$AE100)=1,COUNTIF('Leads'!$A$8:$A$107,$A100)=1,COUNTIF('Guide_Lists'!$AR$2:$AR$4,$A100)=0),1,0))</x:f>
      </x:c>
    </x:row>
    <x:row r="101" ht="30" customHeight="1">
      <x:c r="A101" s="94"/>
      <x:c r="B101" s="32"/>
      <x:c r="C101" s="32"/>
      <x:c r="D101" s="32"/>
      <x:c r="E101" s="92"/>
      <x:c r="F101" s="36"/>
      <x:c r="G101" s="36"/>
      <x:c r="H101" s="82"/>
      <x:c r="I101" s="36"/>
      <x:c r="J101" s="42" t="str">
        <x:f>IF($A101="","",IF(OR($AA101="Test",$AA101="Spam",$AA101="Duplicate",COUNTIF('Guide_Lists'!$AR$2:$AR$4,$A101)&gt;0),"ไม่นับผลธุรกิจ",IF($AA101&lt;&gt;"Real","ระบุประเภทข้อมูล",IF(OR($F101="Won",$F101="Lost",$F101="Unqualified"),"ปิดงานขาย",IF($H101="","ยังไม่นัด",IF(NOT(ISNUMBER($H101)),"ตรวจวันนัด",IF(INT($H101)&lt;'Guide_Lists'!$B$4,"เกินกำหนด",IF(INT($H101)='Guide_Lists'!$B$4,"ติดตามวันนี้","รอนัด"))))))))</x:f>
      </x:c>
      <x:c r="K101" s="32"/>
      <x:c r="L101" s="94"/>
      <x:c r="M101" s="94"/>
      <x:c r="N101" s="94"/>
      <x:c r="O101" s="36"/>
      <x:c r="P101" s="36"/>
      <x:c r="Q101" s="36"/>
      <x:c r="R101" s="36"/>
      <x:c r="S101" s="82"/>
      <x:c r="T101" s="82"/>
      <x:c r="U101" s="82"/>
      <x:c r="V101" s="82"/>
      <x:c r="W101" s="82"/>
      <x:c r="X101" s="36"/>
      <x:c r="Y101" s="36"/>
      <x:c r="Z101" s="36"/>
      <x:c r="AA101" s="36"/>
      <x:c r="AB101" s="96"/>
      <x:c r="AC101" s="82"/>
      <x:c r="AD101" s="36"/>
      <x:c r="AE101" s="94"/>
      <x:c r="AF101" s="86"/>
      <x:c r="AG101" s="32"/>
      <x:c r="AH101" s="32"/>
      <x:c r="AI101" s="32"/>
      <x:c r="AJ101" s="88"/>
      <x:c r="AK101" s="32"/>
      <x:c r="AL101" s="32"/>
      <x:c r="AM101" s="32"/>
      <x:c r="AN101" s="32"/>
      <x:c r="AO101" s="32"/>
      <x:c r="AP101" s="32"/>
      <x:c r="AQ101" s="94"/>
      <x:c r="AR101" s="32"/>
      <x:c r="AS101" s="32"/>
      <x:c r="AT101" s="32"/>
      <x:c r="AU101" s="86"/>
      <x:c r="AV101" s="90" t="str">
        <x:f>IF($A101="","",IF(COUNTIFS('Quotations'!$L$8:$L$107,$AE101,'Quotations'!$O$8:$O$107,1)=0,"",MINIFS('Quotations'!$E$8:$E$107,'Quotations'!$L$8:$L$107,$AE101,'Quotations'!$O$8:$O$107,1)))</x:f>
      </x:c>
      <x:c r="AW101" s="90" t="str">
        <x:f>IF($A101="","",IF(COUNTIFS('Orders_PO'!$N$8:$N$107,$AE101,'Orders_PO'!$Q$8:$Q$107,1)=0,"",MINIFS('Orders_PO'!$E$8:$E$107,'Orders_PO'!$N$8:$N$107,$AE101,'Orders_PO'!$Q$8:$Q$107,1)))</x:f>
      </x:c>
      <x:c r="AX101" s="42" t="str">
        <x:f>IF($A101="","",COUNTIFS('Quotations'!$L$8:$L$107,$AE101,'Quotations'!$O$8:$O$107,1,'Quotations'!$I$8:$I$107,"Yes"))</x:f>
      </x:c>
      <x:c r="AY101" s="42" t="str">
        <x:f>IF($A101="","",COUNTIFS('Orders_PO'!$N$8:$N$107,$AE101,'Orders_PO'!$Q$8:$Q$107,1))</x:f>
      </x:c>
      <x:c r="AZ101" s="42" t="str">
        <x:f>IF($A101="","",IF((IF($AE101="","ขาด Lead ID; ","")&amp;IF(AND($AE101&lt;&gt;"",COUNTIF('Leads'!$AE$8:$AE$107,$AE101)&gt;1),"Lead ID ซ้ำ; ","")&amp;IF(COUNTIF('Leads'!$A$8:$A$107,$A101)&gt;1,"Reference ซ้ำ; ","")&amp;IF(COUNTIF('Guide_Lists'!$AR$2:$AR$4,$A101)&gt;0,"Known TEST — ห้ามนับผล; ","")&amp;IF(OR($B101="",$D101=""),"ขาดชื่อ/งาน; ","")&amp;IF(AND($L101="",$M101="",$N101=""),"ขาดช่องทางติดต่อ; ","")&amp;IF(OR($Z101="",$AA101="",$F101="",$G101="",$AT101=""),"ขาดผู้ดูแล/ประเภท/สถานะ/Environment; ","")&amp;IF(NOT(ISNUMBER($AF101)),"ขาดเวลารับ Lead; ","")&amp;IF(AND($AA101="Duplicate",$AB101=""),"ขาด duplicate_of; ","")&amp;IF(AND($G101="Qualified",OR($R101="",$U101="")),"Qualified ขาดเหตุผล/วันที่; ","")&amp;IF(AND($G101="Unqualified",$R101=""),"Unqualified ขาดเหตุผล; ","")&amp;IF(AND($F101="Qualified",$G101&lt;&gt;"Qualified"),"สถานะ/ผลคัดกรองไม่ตรง; ","")&amp;IF(AND($F101="Unqualified",$G101&lt;&gt;"Unqualified"),"สถานะ/ผลคัดกรองไม่ตรง; ","")&amp;IF(AND($F101="Contacting",$S101=""),"ขาดเวลาพยายามติดต่อ; ","")&amp;IF(AND($O101="Contactable",$T101=""),"ขาดเวลาติดต่อสำเร็จ; ","")&amp;IF(AND($F101="Quotation Sent",$AV101=""),"ยังไม่มีใบราคาที่ตรวจผ่าน; ","")&amp;IF(AND($F101="Won",$AY101=0),"Won ยังไม่มี PO ที่ตรวจผ่าน; ","")&amp;IF(AND($AY101&gt;0,$F101&lt;&gt;"Won"),"มี PO แล้ว—ตรวจสถานะ; ","")&amp;IF(AND($F101="Lost",OR($W101="",$X101="")),"Lost ขาดวัน/เหตุผล; ","")&amp;IF(AND($AA101="Real",NOT(OR($F101="Won",$F101="Lost",$F101="Unqualified")),OR($H101="",$I101="")),"ขาดนัด/งานถัดไป; ","")&amp;IF(OR($AC101="",$AD101=""),"ขาดเวลา/ผู้บันทึก; ","")&amp;IF(AND(ISNUMBER($S101),ISNUMBER($AF101),$S101&lt;$AF101),"ตรวจเวลา attempt ก่อนรับ Lead; ",""))="","ครบ",IF($AE101="","ขาด Lead ID; ","")&amp;IF(AND($AE101&lt;&gt;"",COUNTIF('Leads'!$AE$8:$AE$107,$AE101)&gt;1),"Lead ID ซ้ำ; ","")&amp;IF(COUNTIF('Leads'!$A$8:$A$107,$A101)&gt;1,"Reference ซ้ำ; ","")&amp;IF(COUNTIF('Guide_Lists'!$AR$2:$AR$4,$A101)&gt;0,"Known TEST — ห้ามนับผล; ","")&amp;IF(OR($B101="",$D101=""),"ขาดชื่อ/งาน; ","")&amp;IF(AND($L101="",$M101="",$N101=""),"ขาดช่องทางติดต่อ; ","")&amp;IF(OR($Z101="",$AA101="",$F101="",$G101="",$AT101=""),"ขาดผู้ดูแล/ประเภท/สถานะ/Environment; ","")&amp;IF(NOT(ISNUMBER($AF101)),"ขาดเวลารับ Lead; ","")&amp;IF(AND($AA101="Duplicate",$AB101=""),"ขาด duplicate_of; ","")&amp;IF(AND($G101="Qualified",OR($R101="",$U101="")),"Qualified ขาดเหตุผล/วันที่; ","")&amp;IF(AND($G101="Unqualified",$R101=""),"Unqualified ขาดเหตุผล; ","")&amp;IF(AND($F101="Qualified",$G101&lt;&gt;"Qualified"),"สถานะ/ผลคัดกรองไม่ตรง; ","")&amp;IF(AND($F101="Unqualified",$G101&lt;&gt;"Unqualified"),"สถานะ/ผลคัดกรองไม่ตรง; ","")&amp;IF(AND($F101="Contacting",$S101=""),"ขาดเวลาพยายามติดต่อ; ","")&amp;IF(AND($O101="Contactable",$T101=""),"ขาดเวลาติดต่อสำเร็จ; ","")&amp;IF(AND($F101="Quotation Sent",$AV101=""),"ยังไม่มีใบราคาที่ตรวจผ่าน; ","")&amp;IF(AND($F101="Won",$AY101=0),"Won ยังไม่มี PO ที่ตรวจผ่าน; ","")&amp;IF(AND($AY101&gt;0,$F101&lt;&gt;"Won"),"มี PO แล้ว—ตรวจสถานะ; ","")&amp;IF(AND($F101="Lost",OR($W101="",$X101="")),"Lost ขาดวัน/เหตุผล; ","")&amp;IF(AND($AA101="Real",NOT(OR($F101="Won",$F101="Lost",$F101="Unqualified")),OR($H101="",$I101="")),"ขาดนัด/งานถัดไป; ","")&amp;IF(OR($AC101="",$AD101=""),"ขาดเวลา/ผู้บันทึก; ","")&amp;IF(AND(ISNUMBER($S101),ISNUMBER($AF101),$S101&lt;$AF101),"ตรวจเวลา attempt ก่อนรับ Lead; ","")))</x:f>
      </x:c>
      <x:c r="BA101" s="42" t="str">
        <x:f>IF($A101="","",IF(AND($AE101&lt;&gt;"",$AA101="Real",$AT101="production",COUNTIF('Leads'!$AE$8:$AE$107,$AE101)=1,COUNTIF('Leads'!$A$8:$A$107,$A101)=1,COUNTIF('Guide_Lists'!$AR$2:$AR$4,$A101)=0),1,0))</x:f>
      </x:c>
    </x:row>
    <x:row r="102" ht="30" customHeight="1">
      <x:c r="A102" s="94"/>
      <x:c r="B102" s="32"/>
      <x:c r="C102" s="32"/>
      <x:c r="D102" s="32"/>
      <x:c r="E102" s="92"/>
      <x:c r="F102" s="36"/>
      <x:c r="G102" s="36"/>
      <x:c r="H102" s="82"/>
      <x:c r="I102" s="36"/>
      <x:c r="J102" s="42" t="str">
        <x:f>IF($A102="","",IF(OR($AA102="Test",$AA102="Spam",$AA102="Duplicate",COUNTIF('Guide_Lists'!$AR$2:$AR$4,$A102)&gt;0),"ไม่นับผลธุรกิจ",IF($AA102&lt;&gt;"Real","ระบุประเภทข้อมูล",IF(OR($F102="Won",$F102="Lost",$F102="Unqualified"),"ปิดงานขาย",IF($H102="","ยังไม่นัด",IF(NOT(ISNUMBER($H102)),"ตรวจวันนัด",IF(INT($H102)&lt;'Guide_Lists'!$B$4,"เกินกำหนด",IF(INT($H102)='Guide_Lists'!$B$4,"ติดตามวันนี้","รอนัด"))))))))</x:f>
      </x:c>
      <x:c r="K102" s="32"/>
      <x:c r="L102" s="94"/>
      <x:c r="M102" s="94"/>
      <x:c r="N102" s="94"/>
      <x:c r="O102" s="36"/>
      <x:c r="P102" s="36"/>
      <x:c r="Q102" s="36"/>
      <x:c r="R102" s="36"/>
      <x:c r="S102" s="82"/>
      <x:c r="T102" s="82"/>
      <x:c r="U102" s="82"/>
      <x:c r="V102" s="82"/>
      <x:c r="W102" s="82"/>
      <x:c r="X102" s="36"/>
      <x:c r="Y102" s="36"/>
      <x:c r="Z102" s="36"/>
      <x:c r="AA102" s="36"/>
      <x:c r="AB102" s="96"/>
      <x:c r="AC102" s="82"/>
      <x:c r="AD102" s="36"/>
      <x:c r="AE102" s="94"/>
      <x:c r="AF102" s="86"/>
      <x:c r="AG102" s="32"/>
      <x:c r="AH102" s="32"/>
      <x:c r="AI102" s="32"/>
      <x:c r="AJ102" s="88"/>
      <x:c r="AK102" s="32"/>
      <x:c r="AL102" s="32"/>
      <x:c r="AM102" s="32"/>
      <x:c r="AN102" s="32"/>
      <x:c r="AO102" s="32"/>
      <x:c r="AP102" s="32"/>
      <x:c r="AQ102" s="94"/>
      <x:c r="AR102" s="32"/>
      <x:c r="AS102" s="32"/>
      <x:c r="AT102" s="32"/>
      <x:c r="AU102" s="86"/>
      <x:c r="AV102" s="90" t="str">
        <x:f>IF($A102="","",IF(COUNTIFS('Quotations'!$L$8:$L$107,$AE102,'Quotations'!$O$8:$O$107,1)=0,"",MINIFS('Quotations'!$E$8:$E$107,'Quotations'!$L$8:$L$107,$AE102,'Quotations'!$O$8:$O$107,1)))</x:f>
      </x:c>
      <x:c r="AW102" s="90" t="str">
        <x:f>IF($A102="","",IF(COUNTIFS('Orders_PO'!$N$8:$N$107,$AE102,'Orders_PO'!$Q$8:$Q$107,1)=0,"",MINIFS('Orders_PO'!$E$8:$E$107,'Orders_PO'!$N$8:$N$107,$AE102,'Orders_PO'!$Q$8:$Q$107,1)))</x:f>
      </x:c>
      <x:c r="AX102" s="42" t="str">
        <x:f>IF($A102="","",COUNTIFS('Quotations'!$L$8:$L$107,$AE102,'Quotations'!$O$8:$O$107,1,'Quotations'!$I$8:$I$107,"Yes"))</x:f>
      </x:c>
      <x:c r="AY102" s="42" t="str">
        <x:f>IF($A102="","",COUNTIFS('Orders_PO'!$N$8:$N$107,$AE102,'Orders_PO'!$Q$8:$Q$107,1))</x:f>
      </x:c>
      <x:c r="AZ102" s="42" t="str">
        <x:f>IF($A102="","",IF((IF($AE102="","ขาด Lead ID; ","")&amp;IF(AND($AE102&lt;&gt;"",COUNTIF('Leads'!$AE$8:$AE$107,$AE102)&gt;1),"Lead ID ซ้ำ; ","")&amp;IF(COUNTIF('Leads'!$A$8:$A$107,$A102)&gt;1,"Reference ซ้ำ; ","")&amp;IF(COUNTIF('Guide_Lists'!$AR$2:$AR$4,$A102)&gt;0,"Known TEST — ห้ามนับผล; ","")&amp;IF(OR($B102="",$D102=""),"ขาดชื่อ/งาน; ","")&amp;IF(AND($L102="",$M102="",$N102=""),"ขาดช่องทางติดต่อ; ","")&amp;IF(OR($Z102="",$AA102="",$F102="",$G102="",$AT102=""),"ขาดผู้ดูแล/ประเภท/สถานะ/Environment; ","")&amp;IF(NOT(ISNUMBER($AF102)),"ขาดเวลารับ Lead; ","")&amp;IF(AND($AA102="Duplicate",$AB102=""),"ขาด duplicate_of; ","")&amp;IF(AND($G102="Qualified",OR($R102="",$U102="")),"Qualified ขาดเหตุผล/วันที่; ","")&amp;IF(AND($G102="Unqualified",$R102=""),"Unqualified ขาดเหตุผล; ","")&amp;IF(AND($F102="Qualified",$G102&lt;&gt;"Qualified"),"สถานะ/ผลคัดกรองไม่ตรง; ","")&amp;IF(AND($F102="Unqualified",$G102&lt;&gt;"Unqualified"),"สถานะ/ผลคัดกรองไม่ตรง; ","")&amp;IF(AND($F102="Contacting",$S102=""),"ขาดเวลาพยายามติดต่อ; ","")&amp;IF(AND($O102="Contactable",$T102=""),"ขาดเวลาติดต่อสำเร็จ; ","")&amp;IF(AND($F102="Quotation Sent",$AV102=""),"ยังไม่มีใบราคาที่ตรวจผ่าน; ","")&amp;IF(AND($F102="Won",$AY102=0),"Won ยังไม่มี PO ที่ตรวจผ่าน; ","")&amp;IF(AND($AY102&gt;0,$F102&lt;&gt;"Won"),"มี PO แล้ว—ตรวจสถานะ; ","")&amp;IF(AND($F102="Lost",OR($W102="",$X102="")),"Lost ขาดวัน/เหตุผล; ","")&amp;IF(AND($AA102="Real",NOT(OR($F102="Won",$F102="Lost",$F102="Unqualified")),OR($H102="",$I102="")),"ขาดนัด/งานถัดไป; ","")&amp;IF(OR($AC102="",$AD102=""),"ขาดเวลา/ผู้บันทึก; ","")&amp;IF(AND(ISNUMBER($S102),ISNUMBER($AF102),$S102&lt;$AF102),"ตรวจเวลา attempt ก่อนรับ Lead; ",""))="","ครบ",IF($AE102="","ขาด Lead ID; ","")&amp;IF(AND($AE102&lt;&gt;"",COUNTIF('Leads'!$AE$8:$AE$107,$AE102)&gt;1),"Lead ID ซ้ำ; ","")&amp;IF(COUNTIF('Leads'!$A$8:$A$107,$A102)&gt;1,"Reference ซ้ำ; ","")&amp;IF(COUNTIF('Guide_Lists'!$AR$2:$AR$4,$A102)&gt;0,"Known TEST — ห้ามนับผล; ","")&amp;IF(OR($B102="",$D102=""),"ขาดชื่อ/งาน; ","")&amp;IF(AND($L102="",$M102="",$N102=""),"ขาดช่องทางติดต่อ; ","")&amp;IF(OR($Z102="",$AA102="",$F102="",$G102="",$AT102=""),"ขาดผู้ดูแล/ประเภท/สถานะ/Environment; ","")&amp;IF(NOT(ISNUMBER($AF102)),"ขาดเวลารับ Lead; ","")&amp;IF(AND($AA102="Duplicate",$AB102=""),"ขาด duplicate_of; ","")&amp;IF(AND($G102="Qualified",OR($R102="",$U102="")),"Qualified ขาดเหตุผล/วันที่; ","")&amp;IF(AND($G102="Unqualified",$R102=""),"Unqualified ขาดเหตุผล; ","")&amp;IF(AND($F102="Qualified",$G102&lt;&gt;"Qualified"),"สถานะ/ผลคัดกรองไม่ตรง; ","")&amp;IF(AND($F102="Unqualified",$G102&lt;&gt;"Unqualified"),"สถานะ/ผลคัดกรองไม่ตรง; ","")&amp;IF(AND($F102="Contacting",$S102=""),"ขาดเวลาพยายามติดต่อ; ","")&amp;IF(AND($O102="Contactable",$T102=""),"ขาดเวลาติดต่อสำเร็จ; ","")&amp;IF(AND($F102="Quotation Sent",$AV102=""),"ยังไม่มีใบราคาที่ตรวจผ่าน; ","")&amp;IF(AND($F102="Won",$AY102=0),"Won ยังไม่มี PO ที่ตรวจผ่าน; ","")&amp;IF(AND($AY102&gt;0,$F102&lt;&gt;"Won"),"มี PO แล้ว—ตรวจสถานะ; ","")&amp;IF(AND($F102="Lost",OR($W102="",$X102="")),"Lost ขาดวัน/เหตุผล; ","")&amp;IF(AND($AA102="Real",NOT(OR($F102="Won",$F102="Lost",$F102="Unqualified")),OR($H102="",$I102="")),"ขาดนัด/งานถัดไป; ","")&amp;IF(OR($AC102="",$AD102=""),"ขาดเวลา/ผู้บันทึก; ","")&amp;IF(AND(ISNUMBER($S102),ISNUMBER($AF102),$S102&lt;$AF102),"ตรวจเวลา attempt ก่อนรับ Lead; ","")))</x:f>
      </x:c>
      <x:c r="BA102" s="42" t="str">
        <x:f>IF($A102="","",IF(AND($AE102&lt;&gt;"",$AA102="Real",$AT102="production",COUNTIF('Leads'!$AE$8:$AE$107,$AE102)=1,COUNTIF('Leads'!$A$8:$A$107,$A102)=1,COUNTIF('Guide_Lists'!$AR$2:$AR$4,$A102)=0),1,0))</x:f>
      </x:c>
    </x:row>
    <x:row r="103" ht="30" customHeight="1">
      <x:c r="A103" s="94"/>
      <x:c r="B103" s="32"/>
      <x:c r="C103" s="32"/>
      <x:c r="D103" s="32"/>
      <x:c r="E103" s="92"/>
      <x:c r="F103" s="36"/>
      <x:c r="G103" s="36"/>
      <x:c r="H103" s="82"/>
      <x:c r="I103" s="36"/>
      <x:c r="J103" s="42" t="str">
        <x:f>IF($A103="","",IF(OR($AA103="Test",$AA103="Spam",$AA103="Duplicate",COUNTIF('Guide_Lists'!$AR$2:$AR$4,$A103)&gt;0),"ไม่นับผลธุรกิจ",IF($AA103&lt;&gt;"Real","ระบุประเภทข้อมูล",IF(OR($F103="Won",$F103="Lost",$F103="Unqualified"),"ปิดงานขาย",IF($H103="","ยังไม่นัด",IF(NOT(ISNUMBER($H103)),"ตรวจวันนัด",IF(INT($H103)&lt;'Guide_Lists'!$B$4,"เกินกำหนด",IF(INT($H103)='Guide_Lists'!$B$4,"ติดตามวันนี้","รอนัด"))))))))</x:f>
      </x:c>
      <x:c r="K103" s="32"/>
      <x:c r="L103" s="94"/>
      <x:c r="M103" s="94"/>
      <x:c r="N103" s="94"/>
      <x:c r="O103" s="36"/>
      <x:c r="P103" s="36"/>
      <x:c r="Q103" s="36"/>
      <x:c r="R103" s="36"/>
      <x:c r="S103" s="82"/>
      <x:c r="T103" s="82"/>
      <x:c r="U103" s="82"/>
      <x:c r="V103" s="82"/>
      <x:c r="W103" s="82"/>
      <x:c r="X103" s="36"/>
      <x:c r="Y103" s="36"/>
      <x:c r="Z103" s="36"/>
      <x:c r="AA103" s="36"/>
      <x:c r="AB103" s="96"/>
      <x:c r="AC103" s="82"/>
      <x:c r="AD103" s="36"/>
      <x:c r="AE103" s="94"/>
      <x:c r="AF103" s="86"/>
      <x:c r="AG103" s="32"/>
      <x:c r="AH103" s="32"/>
      <x:c r="AI103" s="32"/>
      <x:c r="AJ103" s="88"/>
      <x:c r="AK103" s="32"/>
      <x:c r="AL103" s="32"/>
      <x:c r="AM103" s="32"/>
      <x:c r="AN103" s="32"/>
      <x:c r="AO103" s="32"/>
      <x:c r="AP103" s="32"/>
      <x:c r="AQ103" s="94"/>
      <x:c r="AR103" s="32"/>
      <x:c r="AS103" s="32"/>
      <x:c r="AT103" s="32"/>
      <x:c r="AU103" s="86"/>
      <x:c r="AV103" s="90" t="str">
        <x:f>IF($A103="","",IF(COUNTIFS('Quotations'!$L$8:$L$107,$AE103,'Quotations'!$O$8:$O$107,1)=0,"",MINIFS('Quotations'!$E$8:$E$107,'Quotations'!$L$8:$L$107,$AE103,'Quotations'!$O$8:$O$107,1)))</x:f>
      </x:c>
      <x:c r="AW103" s="90" t="str">
        <x:f>IF($A103="","",IF(COUNTIFS('Orders_PO'!$N$8:$N$107,$AE103,'Orders_PO'!$Q$8:$Q$107,1)=0,"",MINIFS('Orders_PO'!$E$8:$E$107,'Orders_PO'!$N$8:$N$107,$AE103,'Orders_PO'!$Q$8:$Q$107,1)))</x:f>
      </x:c>
      <x:c r="AX103" s="42" t="str">
        <x:f>IF($A103="","",COUNTIFS('Quotations'!$L$8:$L$107,$AE103,'Quotations'!$O$8:$O$107,1,'Quotations'!$I$8:$I$107,"Yes"))</x:f>
      </x:c>
      <x:c r="AY103" s="42" t="str">
        <x:f>IF($A103="","",COUNTIFS('Orders_PO'!$N$8:$N$107,$AE103,'Orders_PO'!$Q$8:$Q$107,1))</x:f>
      </x:c>
      <x:c r="AZ103" s="42" t="str">
        <x:f>IF($A103="","",IF((IF($AE103="","ขาด Lead ID; ","")&amp;IF(AND($AE103&lt;&gt;"",COUNTIF('Leads'!$AE$8:$AE$107,$AE103)&gt;1),"Lead ID ซ้ำ; ","")&amp;IF(COUNTIF('Leads'!$A$8:$A$107,$A103)&gt;1,"Reference ซ้ำ; ","")&amp;IF(COUNTIF('Guide_Lists'!$AR$2:$AR$4,$A103)&gt;0,"Known TEST — ห้ามนับผล; ","")&amp;IF(OR($B103="",$D103=""),"ขาดชื่อ/งาน; ","")&amp;IF(AND($L103="",$M103="",$N103=""),"ขาดช่องทางติดต่อ; ","")&amp;IF(OR($Z103="",$AA103="",$F103="",$G103="",$AT103=""),"ขาดผู้ดูแล/ประเภท/สถานะ/Environment; ","")&amp;IF(NOT(ISNUMBER($AF103)),"ขาดเวลารับ Lead; ","")&amp;IF(AND($AA103="Duplicate",$AB103=""),"ขาด duplicate_of; ","")&amp;IF(AND($G103="Qualified",OR($R103="",$U103="")),"Qualified ขาดเหตุผล/วันที่; ","")&amp;IF(AND($G103="Unqualified",$R103=""),"Unqualified ขาดเหตุผล; ","")&amp;IF(AND($F103="Qualified",$G103&lt;&gt;"Qualified"),"สถานะ/ผลคัดกรองไม่ตรง; ","")&amp;IF(AND($F103="Unqualified",$G103&lt;&gt;"Unqualified"),"สถานะ/ผลคัดกรองไม่ตรง; ","")&amp;IF(AND($F103="Contacting",$S103=""),"ขาดเวลาพยายามติดต่อ; ","")&amp;IF(AND($O103="Contactable",$T103=""),"ขาดเวลาติดต่อสำเร็จ; ","")&amp;IF(AND($F103="Quotation Sent",$AV103=""),"ยังไม่มีใบราคาที่ตรวจผ่าน; ","")&amp;IF(AND($F103="Won",$AY103=0),"Won ยังไม่มี PO ที่ตรวจผ่าน; ","")&amp;IF(AND($AY103&gt;0,$F103&lt;&gt;"Won"),"มี PO แล้ว—ตรวจสถานะ; ","")&amp;IF(AND($F103="Lost",OR($W103="",$X103="")),"Lost ขาดวัน/เหตุผล; ","")&amp;IF(AND($AA103="Real",NOT(OR($F103="Won",$F103="Lost",$F103="Unqualified")),OR($H103="",$I103="")),"ขาดนัด/งานถัดไป; ","")&amp;IF(OR($AC103="",$AD103=""),"ขาดเวลา/ผู้บันทึก; ","")&amp;IF(AND(ISNUMBER($S103),ISNUMBER($AF103),$S103&lt;$AF103),"ตรวจเวลา attempt ก่อนรับ Lead; ",""))="","ครบ",IF($AE103="","ขาด Lead ID; ","")&amp;IF(AND($AE103&lt;&gt;"",COUNTIF('Leads'!$AE$8:$AE$107,$AE103)&gt;1),"Lead ID ซ้ำ; ","")&amp;IF(COUNTIF('Leads'!$A$8:$A$107,$A103)&gt;1,"Reference ซ้ำ; ","")&amp;IF(COUNTIF('Guide_Lists'!$AR$2:$AR$4,$A103)&gt;0,"Known TEST — ห้ามนับผล; ","")&amp;IF(OR($B103="",$D103=""),"ขาดชื่อ/งาน; ","")&amp;IF(AND($L103="",$M103="",$N103=""),"ขาดช่องทางติดต่อ; ","")&amp;IF(OR($Z103="",$AA103="",$F103="",$G103="",$AT103=""),"ขาดผู้ดูแล/ประเภท/สถานะ/Environment; ","")&amp;IF(NOT(ISNUMBER($AF103)),"ขาดเวลารับ Lead; ","")&amp;IF(AND($AA103="Duplicate",$AB103=""),"ขาด duplicate_of; ","")&amp;IF(AND($G103="Qualified",OR($R103="",$U103="")),"Qualified ขาดเหตุผล/วันที่; ","")&amp;IF(AND($G103="Unqualified",$R103=""),"Unqualified ขาดเหตุผล; ","")&amp;IF(AND($F103="Qualified",$G103&lt;&gt;"Qualified"),"สถานะ/ผลคัดกรองไม่ตรง; ","")&amp;IF(AND($F103="Unqualified",$G103&lt;&gt;"Unqualified"),"สถานะ/ผลคัดกรองไม่ตรง; ","")&amp;IF(AND($F103="Contacting",$S103=""),"ขาดเวลาพยายามติดต่อ; ","")&amp;IF(AND($O103="Contactable",$T103=""),"ขาดเวลาติดต่อสำเร็จ; ","")&amp;IF(AND($F103="Quotation Sent",$AV103=""),"ยังไม่มีใบราคาที่ตรวจผ่าน; ","")&amp;IF(AND($F103="Won",$AY103=0),"Won ยังไม่มี PO ที่ตรวจผ่าน; ","")&amp;IF(AND($AY103&gt;0,$F103&lt;&gt;"Won"),"มี PO แล้ว—ตรวจสถานะ; ","")&amp;IF(AND($F103="Lost",OR($W103="",$X103="")),"Lost ขาดวัน/เหตุผล; ","")&amp;IF(AND($AA103="Real",NOT(OR($F103="Won",$F103="Lost",$F103="Unqualified")),OR($H103="",$I103="")),"ขาดนัด/งานถัดไป; ","")&amp;IF(OR($AC103="",$AD103=""),"ขาดเวลา/ผู้บันทึก; ","")&amp;IF(AND(ISNUMBER($S103),ISNUMBER($AF103),$S103&lt;$AF103),"ตรวจเวลา attempt ก่อนรับ Lead; ","")))</x:f>
      </x:c>
      <x:c r="BA103" s="42" t="str">
        <x:f>IF($A103="","",IF(AND($AE103&lt;&gt;"",$AA103="Real",$AT103="production",COUNTIF('Leads'!$AE$8:$AE$107,$AE103)=1,COUNTIF('Leads'!$A$8:$A$107,$A103)=1,COUNTIF('Guide_Lists'!$AR$2:$AR$4,$A103)=0),1,0))</x:f>
      </x:c>
    </x:row>
    <x:row r="104" ht="30" customHeight="1">
      <x:c r="A104" s="94"/>
      <x:c r="B104" s="32"/>
      <x:c r="C104" s="32"/>
      <x:c r="D104" s="32"/>
      <x:c r="E104" s="92"/>
      <x:c r="F104" s="36"/>
      <x:c r="G104" s="36"/>
      <x:c r="H104" s="82"/>
      <x:c r="I104" s="36"/>
      <x:c r="J104" s="42" t="str">
        <x:f>IF($A104="","",IF(OR($AA104="Test",$AA104="Spam",$AA104="Duplicate",COUNTIF('Guide_Lists'!$AR$2:$AR$4,$A104)&gt;0),"ไม่นับผลธุรกิจ",IF($AA104&lt;&gt;"Real","ระบุประเภทข้อมูล",IF(OR($F104="Won",$F104="Lost",$F104="Unqualified"),"ปิดงานขาย",IF($H104="","ยังไม่นัด",IF(NOT(ISNUMBER($H104)),"ตรวจวันนัด",IF(INT($H104)&lt;'Guide_Lists'!$B$4,"เกินกำหนด",IF(INT($H104)='Guide_Lists'!$B$4,"ติดตามวันนี้","รอนัด"))))))))</x:f>
      </x:c>
      <x:c r="K104" s="32"/>
      <x:c r="L104" s="94"/>
      <x:c r="M104" s="94"/>
      <x:c r="N104" s="94"/>
      <x:c r="O104" s="36"/>
      <x:c r="P104" s="36"/>
      <x:c r="Q104" s="36"/>
      <x:c r="R104" s="36"/>
      <x:c r="S104" s="82"/>
      <x:c r="T104" s="82"/>
      <x:c r="U104" s="82"/>
      <x:c r="V104" s="82"/>
      <x:c r="W104" s="82"/>
      <x:c r="X104" s="36"/>
      <x:c r="Y104" s="36"/>
      <x:c r="Z104" s="36"/>
      <x:c r="AA104" s="36"/>
      <x:c r="AB104" s="96"/>
      <x:c r="AC104" s="82"/>
      <x:c r="AD104" s="36"/>
      <x:c r="AE104" s="94"/>
      <x:c r="AF104" s="86"/>
      <x:c r="AG104" s="32"/>
      <x:c r="AH104" s="32"/>
      <x:c r="AI104" s="32"/>
      <x:c r="AJ104" s="88"/>
      <x:c r="AK104" s="32"/>
      <x:c r="AL104" s="32"/>
      <x:c r="AM104" s="32"/>
      <x:c r="AN104" s="32"/>
      <x:c r="AO104" s="32"/>
      <x:c r="AP104" s="32"/>
      <x:c r="AQ104" s="94"/>
      <x:c r="AR104" s="32"/>
      <x:c r="AS104" s="32"/>
      <x:c r="AT104" s="32"/>
      <x:c r="AU104" s="86"/>
      <x:c r="AV104" s="90" t="str">
        <x:f>IF($A104="","",IF(COUNTIFS('Quotations'!$L$8:$L$107,$AE104,'Quotations'!$O$8:$O$107,1)=0,"",MINIFS('Quotations'!$E$8:$E$107,'Quotations'!$L$8:$L$107,$AE104,'Quotations'!$O$8:$O$107,1)))</x:f>
      </x:c>
      <x:c r="AW104" s="90" t="str">
        <x:f>IF($A104="","",IF(COUNTIFS('Orders_PO'!$N$8:$N$107,$AE104,'Orders_PO'!$Q$8:$Q$107,1)=0,"",MINIFS('Orders_PO'!$E$8:$E$107,'Orders_PO'!$N$8:$N$107,$AE104,'Orders_PO'!$Q$8:$Q$107,1)))</x:f>
      </x:c>
      <x:c r="AX104" s="42" t="str">
        <x:f>IF($A104="","",COUNTIFS('Quotations'!$L$8:$L$107,$AE104,'Quotations'!$O$8:$O$107,1,'Quotations'!$I$8:$I$107,"Yes"))</x:f>
      </x:c>
      <x:c r="AY104" s="42" t="str">
        <x:f>IF($A104="","",COUNTIFS('Orders_PO'!$N$8:$N$107,$AE104,'Orders_PO'!$Q$8:$Q$107,1))</x:f>
      </x:c>
      <x:c r="AZ104" s="42" t="str">
        <x:f>IF($A104="","",IF((IF($AE104="","ขาด Lead ID; ","")&amp;IF(AND($AE104&lt;&gt;"",COUNTIF('Leads'!$AE$8:$AE$107,$AE104)&gt;1),"Lead ID ซ้ำ; ","")&amp;IF(COUNTIF('Leads'!$A$8:$A$107,$A104)&gt;1,"Reference ซ้ำ; ","")&amp;IF(COUNTIF('Guide_Lists'!$AR$2:$AR$4,$A104)&gt;0,"Known TEST — ห้ามนับผล; ","")&amp;IF(OR($B104="",$D104=""),"ขาดชื่อ/งาน; ","")&amp;IF(AND($L104="",$M104="",$N104=""),"ขาดช่องทางติดต่อ; ","")&amp;IF(OR($Z104="",$AA104="",$F104="",$G104="",$AT104=""),"ขาดผู้ดูแล/ประเภท/สถานะ/Environment; ","")&amp;IF(NOT(ISNUMBER($AF104)),"ขาดเวลารับ Lead; ","")&amp;IF(AND($AA104="Duplicate",$AB104=""),"ขาด duplicate_of; ","")&amp;IF(AND($G104="Qualified",OR($R104="",$U104="")),"Qualified ขาดเหตุผล/วันที่; ","")&amp;IF(AND($G104="Unqualified",$R104=""),"Unqualified ขาดเหตุผล; ","")&amp;IF(AND($F104="Qualified",$G104&lt;&gt;"Qualified"),"สถานะ/ผลคัดกรองไม่ตรง; ","")&amp;IF(AND($F104="Unqualified",$G104&lt;&gt;"Unqualified"),"สถานะ/ผลคัดกรองไม่ตรง; ","")&amp;IF(AND($F104="Contacting",$S104=""),"ขาดเวลาพยายามติดต่อ; ","")&amp;IF(AND($O104="Contactable",$T104=""),"ขาดเวลาติดต่อสำเร็จ; ","")&amp;IF(AND($F104="Quotation Sent",$AV104=""),"ยังไม่มีใบราคาที่ตรวจผ่าน; ","")&amp;IF(AND($F104="Won",$AY104=0),"Won ยังไม่มี PO ที่ตรวจผ่าน; ","")&amp;IF(AND($AY104&gt;0,$F104&lt;&gt;"Won"),"มี PO แล้ว—ตรวจสถานะ; ","")&amp;IF(AND($F104="Lost",OR($W104="",$X104="")),"Lost ขาดวัน/เหตุผล; ","")&amp;IF(AND($AA104="Real",NOT(OR($F104="Won",$F104="Lost",$F104="Unqualified")),OR($H104="",$I104="")),"ขาดนัด/งานถัดไป; ","")&amp;IF(OR($AC104="",$AD104=""),"ขาดเวลา/ผู้บันทึก; ","")&amp;IF(AND(ISNUMBER($S104),ISNUMBER($AF104),$S104&lt;$AF104),"ตรวจเวลา attempt ก่อนรับ Lead; ",""))="","ครบ",IF($AE104="","ขาด Lead ID; ","")&amp;IF(AND($AE104&lt;&gt;"",COUNTIF('Leads'!$AE$8:$AE$107,$AE104)&gt;1),"Lead ID ซ้ำ; ","")&amp;IF(COUNTIF('Leads'!$A$8:$A$107,$A104)&gt;1,"Reference ซ้ำ; ","")&amp;IF(COUNTIF('Guide_Lists'!$AR$2:$AR$4,$A104)&gt;0,"Known TEST — ห้ามนับผล; ","")&amp;IF(OR($B104="",$D104=""),"ขาดชื่อ/งาน; ","")&amp;IF(AND($L104="",$M104="",$N104=""),"ขาดช่องทางติดต่อ; ","")&amp;IF(OR($Z104="",$AA104="",$F104="",$G104="",$AT104=""),"ขาดผู้ดูแล/ประเภท/สถานะ/Environment; ","")&amp;IF(NOT(ISNUMBER($AF104)),"ขาดเวลารับ Lead; ","")&amp;IF(AND($AA104="Duplicate",$AB104=""),"ขาด duplicate_of; ","")&amp;IF(AND($G104="Qualified",OR($R104="",$U104="")),"Qualified ขาดเหตุผล/วันที่; ","")&amp;IF(AND($G104="Unqualified",$R104=""),"Unqualified ขาดเหตุผล; ","")&amp;IF(AND($F104="Qualified",$G104&lt;&gt;"Qualified"),"สถานะ/ผลคัดกรองไม่ตรง; ","")&amp;IF(AND($F104="Unqualified",$G104&lt;&gt;"Unqualified"),"สถานะ/ผลคัดกรองไม่ตรง; ","")&amp;IF(AND($F104="Contacting",$S104=""),"ขาดเวลาพยายามติดต่อ; ","")&amp;IF(AND($O104="Contactable",$T104=""),"ขาดเวลาติดต่อสำเร็จ; ","")&amp;IF(AND($F104="Quotation Sent",$AV104=""),"ยังไม่มีใบราคาที่ตรวจผ่าน; ","")&amp;IF(AND($F104="Won",$AY104=0),"Won ยังไม่มี PO ที่ตรวจผ่าน; ","")&amp;IF(AND($AY104&gt;0,$F104&lt;&gt;"Won"),"มี PO แล้ว—ตรวจสถานะ; ","")&amp;IF(AND($F104="Lost",OR($W104="",$X104="")),"Lost ขาดวัน/เหตุผล; ","")&amp;IF(AND($AA104="Real",NOT(OR($F104="Won",$F104="Lost",$F104="Unqualified")),OR($H104="",$I104="")),"ขาดนัด/งานถัดไป; ","")&amp;IF(OR($AC104="",$AD104=""),"ขาดเวลา/ผู้บันทึก; ","")&amp;IF(AND(ISNUMBER($S104),ISNUMBER($AF104),$S104&lt;$AF104),"ตรวจเวลา attempt ก่อนรับ Lead; ","")))</x:f>
      </x:c>
      <x:c r="BA104" s="42" t="str">
        <x:f>IF($A104="","",IF(AND($AE104&lt;&gt;"",$AA104="Real",$AT104="production",COUNTIF('Leads'!$AE$8:$AE$107,$AE104)=1,COUNTIF('Leads'!$A$8:$A$107,$A104)=1,COUNTIF('Guide_Lists'!$AR$2:$AR$4,$A104)=0),1,0))</x:f>
      </x:c>
    </x:row>
    <x:row r="105" ht="30" customHeight="1">
      <x:c r="A105" s="94"/>
      <x:c r="B105" s="32"/>
      <x:c r="C105" s="32"/>
      <x:c r="D105" s="32"/>
      <x:c r="E105" s="92"/>
      <x:c r="F105" s="36"/>
      <x:c r="G105" s="36"/>
      <x:c r="H105" s="82"/>
      <x:c r="I105" s="36"/>
      <x:c r="J105" s="42" t="str">
        <x:f>IF($A105="","",IF(OR($AA105="Test",$AA105="Spam",$AA105="Duplicate",COUNTIF('Guide_Lists'!$AR$2:$AR$4,$A105)&gt;0),"ไม่นับผลธุรกิจ",IF($AA105&lt;&gt;"Real","ระบุประเภทข้อมูล",IF(OR($F105="Won",$F105="Lost",$F105="Unqualified"),"ปิดงานขาย",IF($H105="","ยังไม่นัด",IF(NOT(ISNUMBER($H105)),"ตรวจวันนัด",IF(INT($H105)&lt;'Guide_Lists'!$B$4,"เกินกำหนด",IF(INT($H105)='Guide_Lists'!$B$4,"ติดตามวันนี้","รอนัด"))))))))</x:f>
      </x:c>
      <x:c r="K105" s="32"/>
      <x:c r="L105" s="94"/>
      <x:c r="M105" s="94"/>
      <x:c r="N105" s="94"/>
      <x:c r="O105" s="36"/>
      <x:c r="P105" s="36"/>
      <x:c r="Q105" s="36"/>
      <x:c r="R105" s="36"/>
      <x:c r="S105" s="82"/>
      <x:c r="T105" s="82"/>
      <x:c r="U105" s="82"/>
      <x:c r="V105" s="82"/>
      <x:c r="W105" s="82"/>
      <x:c r="X105" s="36"/>
      <x:c r="Y105" s="36"/>
      <x:c r="Z105" s="36"/>
      <x:c r="AA105" s="36"/>
      <x:c r="AB105" s="96"/>
      <x:c r="AC105" s="82"/>
      <x:c r="AD105" s="36"/>
      <x:c r="AE105" s="94"/>
      <x:c r="AF105" s="86"/>
      <x:c r="AG105" s="32"/>
      <x:c r="AH105" s="32"/>
      <x:c r="AI105" s="32"/>
      <x:c r="AJ105" s="88"/>
      <x:c r="AK105" s="32"/>
      <x:c r="AL105" s="32"/>
      <x:c r="AM105" s="32"/>
      <x:c r="AN105" s="32"/>
      <x:c r="AO105" s="32"/>
      <x:c r="AP105" s="32"/>
      <x:c r="AQ105" s="94"/>
      <x:c r="AR105" s="32"/>
      <x:c r="AS105" s="32"/>
      <x:c r="AT105" s="32"/>
      <x:c r="AU105" s="86"/>
      <x:c r="AV105" s="90" t="str">
        <x:f>IF($A105="","",IF(COUNTIFS('Quotations'!$L$8:$L$107,$AE105,'Quotations'!$O$8:$O$107,1)=0,"",MINIFS('Quotations'!$E$8:$E$107,'Quotations'!$L$8:$L$107,$AE105,'Quotations'!$O$8:$O$107,1)))</x:f>
      </x:c>
      <x:c r="AW105" s="90" t="str">
        <x:f>IF($A105="","",IF(COUNTIFS('Orders_PO'!$N$8:$N$107,$AE105,'Orders_PO'!$Q$8:$Q$107,1)=0,"",MINIFS('Orders_PO'!$E$8:$E$107,'Orders_PO'!$N$8:$N$107,$AE105,'Orders_PO'!$Q$8:$Q$107,1)))</x:f>
      </x:c>
      <x:c r="AX105" s="42" t="str">
        <x:f>IF($A105="","",COUNTIFS('Quotations'!$L$8:$L$107,$AE105,'Quotations'!$O$8:$O$107,1,'Quotations'!$I$8:$I$107,"Yes"))</x:f>
      </x:c>
      <x:c r="AY105" s="42" t="str">
        <x:f>IF($A105="","",COUNTIFS('Orders_PO'!$N$8:$N$107,$AE105,'Orders_PO'!$Q$8:$Q$107,1))</x:f>
      </x:c>
      <x:c r="AZ105" s="42" t="str">
        <x:f>IF($A105="","",IF((IF($AE105="","ขาด Lead ID; ","")&amp;IF(AND($AE105&lt;&gt;"",COUNTIF('Leads'!$AE$8:$AE$107,$AE105)&gt;1),"Lead ID ซ้ำ; ","")&amp;IF(COUNTIF('Leads'!$A$8:$A$107,$A105)&gt;1,"Reference ซ้ำ; ","")&amp;IF(COUNTIF('Guide_Lists'!$AR$2:$AR$4,$A105)&gt;0,"Known TEST — ห้ามนับผล; ","")&amp;IF(OR($B105="",$D105=""),"ขาดชื่อ/งาน; ","")&amp;IF(AND($L105="",$M105="",$N105=""),"ขาดช่องทางติดต่อ; ","")&amp;IF(OR($Z105="",$AA105="",$F105="",$G105="",$AT105=""),"ขาดผู้ดูแล/ประเภท/สถานะ/Environment; ","")&amp;IF(NOT(ISNUMBER($AF105)),"ขาดเวลารับ Lead; ","")&amp;IF(AND($AA105="Duplicate",$AB105=""),"ขาด duplicate_of; ","")&amp;IF(AND($G105="Qualified",OR($R105="",$U105="")),"Qualified ขาดเหตุผล/วันที่; ","")&amp;IF(AND($G105="Unqualified",$R105=""),"Unqualified ขาดเหตุผล; ","")&amp;IF(AND($F105="Qualified",$G105&lt;&gt;"Qualified"),"สถานะ/ผลคัดกรองไม่ตรง; ","")&amp;IF(AND($F105="Unqualified",$G105&lt;&gt;"Unqualified"),"สถานะ/ผลคัดกรองไม่ตรง; ","")&amp;IF(AND($F105="Contacting",$S105=""),"ขาดเวลาพยายามติดต่อ; ","")&amp;IF(AND($O105="Contactable",$T105=""),"ขาดเวลาติดต่อสำเร็จ; ","")&amp;IF(AND($F105="Quotation Sent",$AV105=""),"ยังไม่มีใบราคาที่ตรวจผ่าน; ","")&amp;IF(AND($F105="Won",$AY105=0),"Won ยังไม่มี PO ที่ตรวจผ่าน; ","")&amp;IF(AND($AY105&gt;0,$F105&lt;&gt;"Won"),"มี PO แล้ว—ตรวจสถานะ; ","")&amp;IF(AND($F105="Lost",OR($W105="",$X105="")),"Lost ขาดวัน/เหตุผล; ","")&amp;IF(AND($AA105="Real",NOT(OR($F105="Won",$F105="Lost",$F105="Unqualified")),OR($H105="",$I105="")),"ขาดนัด/งานถัดไป; ","")&amp;IF(OR($AC105="",$AD105=""),"ขาดเวลา/ผู้บันทึก; ","")&amp;IF(AND(ISNUMBER($S105),ISNUMBER($AF105),$S105&lt;$AF105),"ตรวจเวลา attempt ก่อนรับ Lead; ",""))="","ครบ",IF($AE105="","ขาด Lead ID; ","")&amp;IF(AND($AE105&lt;&gt;"",COUNTIF('Leads'!$AE$8:$AE$107,$AE105)&gt;1),"Lead ID ซ้ำ; ","")&amp;IF(COUNTIF('Leads'!$A$8:$A$107,$A105)&gt;1,"Reference ซ้ำ; ","")&amp;IF(COUNTIF('Guide_Lists'!$AR$2:$AR$4,$A105)&gt;0,"Known TEST — ห้ามนับผล; ","")&amp;IF(OR($B105="",$D105=""),"ขาดชื่อ/งาน; ","")&amp;IF(AND($L105="",$M105="",$N105=""),"ขาดช่องทางติดต่อ; ","")&amp;IF(OR($Z105="",$AA105="",$F105="",$G105="",$AT105=""),"ขาดผู้ดูแล/ประเภท/สถานะ/Environment; ","")&amp;IF(NOT(ISNUMBER($AF105)),"ขาดเวลารับ Lead; ","")&amp;IF(AND($AA105="Duplicate",$AB105=""),"ขาด duplicate_of; ","")&amp;IF(AND($G105="Qualified",OR($R105="",$U105="")),"Qualified ขาดเหตุผล/วันที่; ","")&amp;IF(AND($G105="Unqualified",$R105=""),"Unqualified ขาดเหตุผล; ","")&amp;IF(AND($F105="Qualified",$G105&lt;&gt;"Qualified"),"สถานะ/ผลคัดกรองไม่ตรง; ","")&amp;IF(AND($F105="Unqualified",$G105&lt;&gt;"Unqualified"),"สถานะ/ผลคัดกรองไม่ตรง; ","")&amp;IF(AND($F105="Contacting",$S105=""),"ขาดเวลาพยายามติดต่อ; ","")&amp;IF(AND($O105="Contactable",$T105=""),"ขาดเวลาติดต่อสำเร็จ; ","")&amp;IF(AND($F105="Quotation Sent",$AV105=""),"ยังไม่มีใบราคาที่ตรวจผ่าน; ","")&amp;IF(AND($F105="Won",$AY105=0),"Won ยังไม่มี PO ที่ตรวจผ่าน; ","")&amp;IF(AND($AY105&gt;0,$F105&lt;&gt;"Won"),"มี PO แล้ว—ตรวจสถานะ; ","")&amp;IF(AND($F105="Lost",OR($W105="",$X105="")),"Lost ขาดวัน/เหตุผล; ","")&amp;IF(AND($AA105="Real",NOT(OR($F105="Won",$F105="Lost",$F105="Unqualified")),OR($H105="",$I105="")),"ขาดนัด/งานถัดไป; ","")&amp;IF(OR($AC105="",$AD105=""),"ขาดเวลา/ผู้บันทึก; ","")&amp;IF(AND(ISNUMBER($S105),ISNUMBER($AF105),$S105&lt;$AF105),"ตรวจเวลา attempt ก่อนรับ Lead; ","")))</x:f>
      </x:c>
      <x:c r="BA105" s="42" t="str">
        <x:f>IF($A105="","",IF(AND($AE105&lt;&gt;"",$AA105="Real",$AT105="production",COUNTIF('Leads'!$AE$8:$AE$107,$AE105)=1,COUNTIF('Leads'!$A$8:$A$107,$A105)=1,COUNTIF('Guide_Lists'!$AR$2:$AR$4,$A105)=0),1,0))</x:f>
      </x:c>
    </x:row>
    <x:row r="106" ht="30" customHeight="1">
      <x:c r="A106" s="94"/>
      <x:c r="B106" s="32"/>
      <x:c r="C106" s="32"/>
      <x:c r="D106" s="32"/>
      <x:c r="E106" s="92"/>
      <x:c r="F106" s="36"/>
      <x:c r="G106" s="36"/>
      <x:c r="H106" s="82"/>
      <x:c r="I106" s="36"/>
      <x:c r="J106" s="42" t="str">
        <x:f>IF($A106="","",IF(OR($AA106="Test",$AA106="Spam",$AA106="Duplicate",COUNTIF('Guide_Lists'!$AR$2:$AR$4,$A106)&gt;0),"ไม่นับผลธุรกิจ",IF($AA106&lt;&gt;"Real","ระบุประเภทข้อมูล",IF(OR($F106="Won",$F106="Lost",$F106="Unqualified"),"ปิดงานขาย",IF($H106="","ยังไม่นัด",IF(NOT(ISNUMBER($H106)),"ตรวจวันนัด",IF(INT($H106)&lt;'Guide_Lists'!$B$4,"เกินกำหนด",IF(INT($H106)='Guide_Lists'!$B$4,"ติดตามวันนี้","รอนัด"))))))))</x:f>
      </x:c>
      <x:c r="K106" s="32"/>
      <x:c r="L106" s="94"/>
      <x:c r="M106" s="94"/>
      <x:c r="N106" s="94"/>
      <x:c r="O106" s="36"/>
      <x:c r="P106" s="36"/>
      <x:c r="Q106" s="36"/>
      <x:c r="R106" s="36"/>
      <x:c r="S106" s="82"/>
      <x:c r="T106" s="82"/>
      <x:c r="U106" s="82"/>
      <x:c r="V106" s="82"/>
      <x:c r="W106" s="82"/>
      <x:c r="X106" s="36"/>
      <x:c r="Y106" s="36"/>
      <x:c r="Z106" s="36"/>
      <x:c r="AA106" s="36"/>
      <x:c r="AB106" s="96"/>
      <x:c r="AC106" s="82"/>
      <x:c r="AD106" s="36"/>
      <x:c r="AE106" s="94"/>
      <x:c r="AF106" s="86"/>
      <x:c r="AG106" s="32"/>
      <x:c r="AH106" s="32"/>
      <x:c r="AI106" s="32"/>
      <x:c r="AJ106" s="88"/>
      <x:c r="AK106" s="32"/>
      <x:c r="AL106" s="32"/>
      <x:c r="AM106" s="32"/>
      <x:c r="AN106" s="32"/>
      <x:c r="AO106" s="32"/>
      <x:c r="AP106" s="32"/>
      <x:c r="AQ106" s="94"/>
      <x:c r="AR106" s="32"/>
      <x:c r="AS106" s="32"/>
      <x:c r="AT106" s="32"/>
      <x:c r="AU106" s="86"/>
      <x:c r="AV106" s="90" t="str">
        <x:f>IF($A106="","",IF(COUNTIFS('Quotations'!$L$8:$L$107,$AE106,'Quotations'!$O$8:$O$107,1)=0,"",MINIFS('Quotations'!$E$8:$E$107,'Quotations'!$L$8:$L$107,$AE106,'Quotations'!$O$8:$O$107,1)))</x:f>
      </x:c>
      <x:c r="AW106" s="90" t="str">
        <x:f>IF($A106="","",IF(COUNTIFS('Orders_PO'!$N$8:$N$107,$AE106,'Orders_PO'!$Q$8:$Q$107,1)=0,"",MINIFS('Orders_PO'!$E$8:$E$107,'Orders_PO'!$N$8:$N$107,$AE106,'Orders_PO'!$Q$8:$Q$107,1)))</x:f>
      </x:c>
      <x:c r="AX106" s="42" t="str">
        <x:f>IF($A106="","",COUNTIFS('Quotations'!$L$8:$L$107,$AE106,'Quotations'!$O$8:$O$107,1,'Quotations'!$I$8:$I$107,"Yes"))</x:f>
      </x:c>
      <x:c r="AY106" s="42" t="str">
        <x:f>IF($A106="","",COUNTIFS('Orders_PO'!$N$8:$N$107,$AE106,'Orders_PO'!$Q$8:$Q$107,1))</x:f>
      </x:c>
      <x:c r="AZ106" s="42" t="str">
        <x:f>IF($A106="","",IF((IF($AE106="","ขาด Lead ID; ","")&amp;IF(AND($AE106&lt;&gt;"",COUNTIF('Leads'!$AE$8:$AE$107,$AE106)&gt;1),"Lead ID ซ้ำ; ","")&amp;IF(COUNTIF('Leads'!$A$8:$A$107,$A106)&gt;1,"Reference ซ้ำ; ","")&amp;IF(COUNTIF('Guide_Lists'!$AR$2:$AR$4,$A106)&gt;0,"Known TEST — ห้ามนับผล; ","")&amp;IF(OR($B106="",$D106=""),"ขาดชื่อ/งาน; ","")&amp;IF(AND($L106="",$M106="",$N106=""),"ขาดช่องทางติดต่อ; ","")&amp;IF(OR($Z106="",$AA106="",$F106="",$G106="",$AT106=""),"ขาดผู้ดูแล/ประเภท/สถานะ/Environment; ","")&amp;IF(NOT(ISNUMBER($AF106)),"ขาดเวลารับ Lead; ","")&amp;IF(AND($AA106="Duplicate",$AB106=""),"ขาด duplicate_of; ","")&amp;IF(AND($G106="Qualified",OR($R106="",$U106="")),"Qualified ขาดเหตุผล/วันที่; ","")&amp;IF(AND($G106="Unqualified",$R106=""),"Unqualified ขาดเหตุผล; ","")&amp;IF(AND($F106="Qualified",$G106&lt;&gt;"Qualified"),"สถานะ/ผลคัดกรองไม่ตรง; ","")&amp;IF(AND($F106="Unqualified",$G106&lt;&gt;"Unqualified"),"สถานะ/ผลคัดกรองไม่ตรง; ","")&amp;IF(AND($F106="Contacting",$S106=""),"ขาดเวลาพยายามติดต่อ; ","")&amp;IF(AND($O106="Contactable",$T106=""),"ขาดเวลาติดต่อสำเร็จ; ","")&amp;IF(AND($F106="Quotation Sent",$AV106=""),"ยังไม่มีใบราคาที่ตรวจผ่าน; ","")&amp;IF(AND($F106="Won",$AY106=0),"Won ยังไม่มี PO ที่ตรวจผ่าน; ","")&amp;IF(AND($AY106&gt;0,$F106&lt;&gt;"Won"),"มี PO แล้ว—ตรวจสถานะ; ","")&amp;IF(AND($F106="Lost",OR($W106="",$X106="")),"Lost ขาดวัน/เหตุผล; ","")&amp;IF(AND($AA106="Real",NOT(OR($F106="Won",$F106="Lost",$F106="Unqualified")),OR($H106="",$I106="")),"ขาดนัด/งานถัดไป; ","")&amp;IF(OR($AC106="",$AD106=""),"ขาดเวลา/ผู้บันทึก; ","")&amp;IF(AND(ISNUMBER($S106),ISNUMBER($AF106),$S106&lt;$AF106),"ตรวจเวลา attempt ก่อนรับ Lead; ",""))="","ครบ",IF($AE106="","ขาด Lead ID; ","")&amp;IF(AND($AE106&lt;&gt;"",COUNTIF('Leads'!$AE$8:$AE$107,$AE106)&gt;1),"Lead ID ซ้ำ; ","")&amp;IF(COUNTIF('Leads'!$A$8:$A$107,$A106)&gt;1,"Reference ซ้ำ; ","")&amp;IF(COUNTIF('Guide_Lists'!$AR$2:$AR$4,$A106)&gt;0,"Known TEST — ห้ามนับผล; ","")&amp;IF(OR($B106="",$D106=""),"ขาดชื่อ/งาน; ","")&amp;IF(AND($L106="",$M106="",$N106=""),"ขาดช่องทางติดต่อ; ","")&amp;IF(OR($Z106="",$AA106="",$F106="",$G106="",$AT106=""),"ขาดผู้ดูแล/ประเภท/สถานะ/Environment; ","")&amp;IF(NOT(ISNUMBER($AF106)),"ขาดเวลารับ Lead; ","")&amp;IF(AND($AA106="Duplicate",$AB106=""),"ขาด duplicate_of; ","")&amp;IF(AND($G106="Qualified",OR($R106="",$U106="")),"Qualified ขาดเหตุผล/วันที่; ","")&amp;IF(AND($G106="Unqualified",$R106=""),"Unqualified ขาดเหตุผล; ","")&amp;IF(AND($F106="Qualified",$G106&lt;&gt;"Qualified"),"สถานะ/ผลคัดกรองไม่ตรง; ","")&amp;IF(AND($F106="Unqualified",$G106&lt;&gt;"Unqualified"),"สถานะ/ผลคัดกรองไม่ตรง; ","")&amp;IF(AND($F106="Contacting",$S106=""),"ขาดเวลาพยายามติดต่อ; ","")&amp;IF(AND($O106="Contactable",$T106=""),"ขาดเวลาติดต่อสำเร็จ; ","")&amp;IF(AND($F106="Quotation Sent",$AV106=""),"ยังไม่มีใบราคาที่ตรวจผ่าน; ","")&amp;IF(AND($F106="Won",$AY106=0),"Won ยังไม่มี PO ที่ตรวจผ่าน; ","")&amp;IF(AND($AY106&gt;0,$F106&lt;&gt;"Won"),"มี PO แล้ว—ตรวจสถานะ; ","")&amp;IF(AND($F106="Lost",OR($W106="",$X106="")),"Lost ขาดวัน/เหตุผล; ","")&amp;IF(AND($AA106="Real",NOT(OR($F106="Won",$F106="Lost",$F106="Unqualified")),OR($H106="",$I106="")),"ขาดนัด/งานถัดไป; ","")&amp;IF(OR($AC106="",$AD106=""),"ขาดเวลา/ผู้บันทึก; ","")&amp;IF(AND(ISNUMBER($S106),ISNUMBER($AF106),$S106&lt;$AF106),"ตรวจเวลา attempt ก่อนรับ Lead; ","")))</x:f>
      </x:c>
      <x:c r="BA106" s="42" t="str">
        <x:f>IF($A106="","",IF(AND($AE106&lt;&gt;"",$AA106="Real",$AT106="production",COUNTIF('Leads'!$AE$8:$AE$107,$AE106)=1,COUNTIF('Leads'!$A$8:$A$107,$A106)=1,COUNTIF('Guide_Lists'!$AR$2:$AR$4,$A106)=0),1,0))</x:f>
      </x:c>
    </x:row>
    <x:row r="107" ht="30" customHeight="1">
      <x:c r="A107" s="94"/>
      <x:c r="B107" s="32"/>
      <x:c r="C107" s="32"/>
      <x:c r="D107" s="32"/>
      <x:c r="E107" s="92"/>
      <x:c r="F107" s="36"/>
      <x:c r="G107" s="36"/>
      <x:c r="H107" s="82"/>
      <x:c r="I107" s="36"/>
      <x:c r="J107" s="42" t="str">
        <x:f>IF($A107="","",IF(OR($AA107="Test",$AA107="Spam",$AA107="Duplicate",COUNTIF('Guide_Lists'!$AR$2:$AR$4,$A107)&gt;0),"ไม่นับผลธุรกิจ",IF($AA107&lt;&gt;"Real","ระบุประเภทข้อมูล",IF(OR($F107="Won",$F107="Lost",$F107="Unqualified"),"ปิดงานขาย",IF($H107="","ยังไม่นัด",IF(NOT(ISNUMBER($H107)),"ตรวจวันนัด",IF(INT($H107)&lt;'Guide_Lists'!$B$4,"เกินกำหนด",IF(INT($H107)='Guide_Lists'!$B$4,"ติดตามวันนี้","รอนัด"))))))))</x:f>
      </x:c>
      <x:c r="K107" s="32"/>
      <x:c r="L107" s="94"/>
      <x:c r="M107" s="94"/>
      <x:c r="N107" s="94"/>
      <x:c r="O107" s="36"/>
      <x:c r="P107" s="36"/>
      <x:c r="Q107" s="36"/>
      <x:c r="R107" s="36"/>
      <x:c r="S107" s="82"/>
      <x:c r="T107" s="82"/>
      <x:c r="U107" s="82"/>
      <x:c r="V107" s="82"/>
      <x:c r="W107" s="82"/>
      <x:c r="X107" s="36"/>
      <x:c r="Y107" s="36"/>
      <x:c r="Z107" s="36"/>
      <x:c r="AA107" s="36"/>
      <x:c r="AB107" s="96"/>
      <x:c r="AC107" s="82"/>
      <x:c r="AD107" s="36"/>
      <x:c r="AE107" s="94"/>
      <x:c r="AF107" s="86"/>
      <x:c r="AG107" s="32"/>
      <x:c r="AH107" s="32"/>
      <x:c r="AI107" s="32"/>
      <x:c r="AJ107" s="88"/>
      <x:c r="AK107" s="32"/>
      <x:c r="AL107" s="32"/>
      <x:c r="AM107" s="32"/>
      <x:c r="AN107" s="32"/>
      <x:c r="AO107" s="32"/>
      <x:c r="AP107" s="32"/>
      <x:c r="AQ107" s="94"/>
      <x:c r="AR107" s="32"/>
      <x:c r="AS107" s="32"/>
      <x:c r="AT107" s="32"/>
      <x:c r="AU107" s="86"/>
      <x:c r="AV107" s="90" t="str">
        <x:f>IF($A107="","",IF(COUNTIFS('Quotations'!$L$8:$L$107,$AE107,'Quotations'!$O$8:$O$107,1)=0,"",MINIFS('Quotations'!$E$8:$E$107,'Quotations'!$L$8:$L$107,$AE107,'Quotations'!$O$8:$O$107,1)))</x:f>
      </x:c>
      <x:c r="AW107" s="90" t="str">
        <x:f>IF($A107="","",IF(COUNTIFS('Orders_PO'!$N$8:$N$107,$AE107,'Orders_PO'!$Q$8:$Q$107,1)=0,"",MINIFS('Orders_PO'!$E$8:$E$107,'Orders_PO'!$N$8:$N$107,$AE107,'Orders_PO'!$Q$8:$Q$107,1)))</x:f>
      </x:c>
      <x:c r="AX107" s="42" t="str">
        <x:f>IF($A107="","",COUNTIFS('Quotations'!$L$8:$L$107,$AE107,'Quotations'!$O$8:$O$107,1,'Quotations'!$I$8:$I$107,"Yes"))</x:f>
      </x:c>
      <x:c r="AY107" s="42" t="str">
        <x:f>IF($A107="","",COUNTIFS('Orders_PO'!$N$8:$N$107,$AE107,'Orders_PO'!$Q$8:$Q$107,1))</x:f>
      </x:c>
      <x:c r="AZ107" s="42" t="str">
        <x:f>IF($A107="","",IF((IF($AE107="","ขาด Lead ID; ","")&amp;IF(AND($AE107&lt;&gt;"",COUNTIF('Leads'!$AE$8:$AE$107,$AE107)&gt;1),"Lead ID ซ้ำ; ","")&amp;IF(COUNTIF('Leads'!$A$8:$A$107,$A107)&gt;1,"Reference ซ้ำ; ","")&amp;IF(COUNTIF('Guide_Lists'!$AR$2:$AR$4,$A107)&gt;0,"Known TEST — ห้ามนับผล; ","")&amp;IF(OR($B107="",$D107=""),"ขาดชื่อ/งาน; ","")&amp;IF(AND($L107="",$M107="",$N107=""),"ขาดช่องทางติดต่อ; ","")&amp;IF(OR($Z107="",$AA107="",$F107="",$G107="",$AT107=""),"ขาดผู้ดูแล/ประเภท/สถานะ/Environment; ","")&amp;IF(NOT(ISNUMBER($AF107)),"ขาดเวลารับ Lead; ","")&amp;IF(AND($AA107="Duplicate",$AB107=""),"ขาด duplicate_of; ","")&amp;IF(AND($G107="Qualified",OR($R107="",$U107="")),"Qualified ขาดเหตุผล/วันที่; ","")&amp;IF(AND($G107="Unqualified",$R107=""),"Unqualified ขาดเหตุผล; ","")&amp;IF(AND($F107="Qualified",$G107&lt;&gt;"Qualified"),"สถานะ/ผลคัดกรองไม่ตรง; ","")&amp;IF(AND($F107="Unqualified",$G107&lt;&gt;"Unqualified"),"สถานะ/ผลคัดกรองไม่ตรง; ","")&amp;IF(AND($F107="Contacting",$S107=""),"ขาดเวลาพยายามติดต่อ; ","")&amp;IF(AND($O107="Contactable",$T107=""),"ขาดเวลาติดต่อสำเร็จ; ","")&amp;IF(AND($F107="Quotation Sent",$AV107=""),"ยังไม่มีใบราคาที่ตรวจผ่าน; ","")&amp;IF(AND($F107="Won",$AY107=0),"Won ยังไม่มี PO ที่ตรวจผ่าน; ","")&amp;IF(AND($AY107&gt;0,$F107&lt;&gt;"Won"),"มี PO แล้ว—ตรวจสถานะ; ","")&amp;IF(AND($F107="Lost",OR($W107="",$X107="")),"Lost ขาดวัน/เหตุผล; ","")&amp;IF(AND($AA107="Real",NOT(OR($F107="Won",$F107="Lost",$F107="Unqualified")),OR($H107="",$I107="")),"ขาดนัด/งานถัดไป; ","")&amp;IF(OR($AC107="",$AD107=""),"ขาดเวลา/ผู้บันทึก; ","")&amp;IF(AND(ISNUMBER($S107),ISNUMBER($AF107),$S107&lt;$AF107),"ตรวจเวลา attempt ก่อนรับ Lead; ",""))="","ครบ",IF($AE107="","ขาด Lead ID; ","")&amp;IF(AND($AE107&lt;&gt;"",COUNTIF('Leads'!$AE$8:$AE$107,$AE107)&gt;1),"Lead ID ซ้ำ; ","")&amp;IF(COUNTIF('Leads'!$A$8:$A$107,$A107)&gt;1,"Reference ซ้ำ; ","")&amp;IF(COUNTIF('Guide_Lists'!$AR$2:$AR$4,$A107)&gt;0,"Known TEST — ห้ามนับผล; ","")&amp;IF(OR($B107="",$D107=""),"ขาดชื่อ/งาน; ","")&amp;IF(AND($L107="",$M107="",$N107=""),"ขาดช่องทางติดต่อ; ","")&amp;IF(OR($Z107="",$AA107="",$F107="",$G107="",$AT107=""),"ขาดผู้ดูแล/ประเภท/สถานะ/Environment; ","")&amp;IF(NOT(ISNUMBER($AF107)),"ขาดเวลารับ Lead; ","")&amp;IF(AND($AA107="Duplicate",$AB107=""),"ขาด duplicate_of; ","")&amp;IF(AND($G107="Qualified",OR($R107="",$U107="")),"Qualified ขาดเหตุผล/วันที่; ","")&amp;IF(AND($G107="Unqualified",$R107=""),"Unqualified ขาดเหตุผล; ","")&amp;IF(AND($F107="Qualified",$G107&lt;&gt;"Qualified"),"สถานะ/ผลคัดกรองไม่ตรง; ","")&amp;IF(AND($F107="Unqualified",$G107&lt;&gt;"Unqualified"),"สถานะ/ผลคัดกรองไม่ตรง; ","")&amp;IF(AND($F107="Contacting",$S107=""),"ขาดเวลาพยายามติดต่อ; ","")&amp;IF(AND($O107="Contactable",$T107=""),"ขาดเวลาติดต่อสำเร็จ; ","")&amp;IF(AND($F107="Quotation Sent",$AV107=""),"ยังไม่มีใบราคาที่ตรวจผ่าน; ","")&amp;IF(AND($F107="Won",$AY107=0),"Won ยังไม่มี PO ที่ตรวจผ่าน; ","")&amp;IF(AND($AY107&gt;0,$F107&lt;&gt;"Won"),"มี PO แล้ว—ตรวจสถานะ; ","")&amp;IF(AND($F107="Lost",OR($W107="",$X107="")),"Lost ขาดวัน/เหตุผล; ","")&amp;IF(AND($AA107="Real",NOT(OR($F107="Won",$F107="Lost",$F107="Unqualified")),OR($H107="",$I107="")),"ขาดนัด/งานถัดไป; ","")&amp;IF(OR($AC107="",$AD107=""),"ขาดเวลา/ผู้บันทึก; ","")&amp;IF(AND(ISNUMBER($S107),ISNUMBER($AF107),$S107&lt;$AF107),"ตรวจเวลา attempt ก่อนรับ Lead; ","")))</x:f>
      </x:c>
      <x:c r="BA107" s="42" t="str">
        <x:f>IF($A107="","",IF(AND($AE107&lt;&gt;"",$AA107="Real",$AT107="production",COUNTIF('Leads'!$AE$8:$AE$107,$AE107)=1,COUNTIF('Leads'!$A$8:$A$107,$A107)=1,COUNTIF('Guide_Lists'!$AR$2:$AR$4,$A107)=0),1,0))</x:f>
      </x:c>
    </x:row>
  </x:sheetData>
  <x:mergeCells>
    <x:mergeCell ref="A1:J2"/>
    <x:mergeCell ref="A3:J3"/>
    <x:mergeCell ref="A4:C4"/>
    <x:mergeCell ref="D4:F4"/>
    <x:mergeCell ref="A5:E5"/>
    <x:mergeCell ref="F5:J5"/>
    <x:mergeCell ref="K5:N5"/>
    <x:mergeCell ref="O5:Y5"/>
    <x:mergeCell ref="Z5:AD5"/>
    <x:mergeCell ref="AE5:AU5"/>
    <x:mergeCell ref="AV5:BA5"/>
  </x:mergeCells>
  <x:conditionalFormatting sqref="J8:J107">
    <x:cfRule type="expression" dxfId="0" priority="1">
      <x:formula>$J8="เกินกำหนด"</x:formula>
    </x:cfRule>
    <x:cfRule type="expression" dxfId="1" priority="2">
      <x:formula>$J8="ติดตามวันนี้"</x:formula>
    </x:cfRule>
    <x:cfRule type="expression" dxfId="2" priority="3">
      <x:formula>$J8="ยังไม่นัด"</x:formula>
    </x:cfRule>
    <x:cfRule type="expression" dxfId="3" priority="4">
      <x:formula>$J8="ไม่นับผลธุรกิจ"</x:formula>
    </x:cfRule>
    <x:cfRule type="expression" dxfId="4" priority="5">
      <x:formula>$J8="ปิดงานขาย"</x:formula>
    </x:cfRule>
  </x:conditionalFormatting>
  <x:conditionalFormatting sqref="F8:F107">
    <x:cfRule type="expression" dxfId="5" priority="6">
      <x:formula>$F8="Won"</x:formula>
    </x:cfRule>
    <x:cfRule type="expression" dxfId="6" priority="7">
      <x:formula>$F8="Lost"</x:formula>
    </x:cfRule>
  </x:conditionalFormatting>
  <x:conditionalFormatting sqref="AZ8:AZ107">
    <x:cfRule type="expression" dxfId="7" priority="8">
      <x:formula>AND($AZ8&lt;&gt;"",$AZ8&lt;&gt;"ครบ")</x:formula>
    </x:cfRule>
  </x:conditionalFormatting>
  <x:dataValidations count="25"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F8:F107">
      <x:formula1>'Guide_Lists'!$AA$2:$AA$13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G8:G107">
      <x:formula1>'Guide_Lists'!$AB$2:$AB$4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K8:K107">
      <x:formula1>'Guide_Lists'!$AH$2:$AH$4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O8:O107">
      <x:formula1>'Guide_Lists'!$AC$2:$AC$4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P8:P107">
      <x:formula1>'Guide_Lists'!$AD$2:$AD$5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Q8:Q107">
      <x:formula1>'Guide_Lists'!$AE$2:$AE$5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Z8:Z107">
      <x:formula1>'Guide_Lists'!$AG$2:$AG$3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AA8:AA107">
      <x:formula1>'Guide_Lists'!$AF$2:$AF$5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AD8:AD107">
      <x:formula1>'Guide_Lists'!$AG$2:$AG$3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AG8:AG107">
      <x:formula1>'Guide_Lists'!$AI$2:$AI$10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AH8:AH107">
      <x:formula1>'Guide_Lists'!$AJ$2:$AJ$3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AM8:AM107">
      <x:formula1>'Guide_Lists'!$AK$2:$AK$8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AS8:AS107">
      <x:formula1>'Guide_Lists'!$AL$2:$AL$3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AT8:AT107">
      <x:formula1>'Guide_Lists'!$AM$2:$AM$3</x:formula1>
    </x:dataValidation>
    <x:dataValidation type="date" operator="between" allowBlank="1" sqref="H8:H107">
      <x:formula1>DATE(2020,1,1)</x:formula1>
      <x:formula2>DATE(2100,12,31)</x:formula2>
    </x:dataValidation>
    <x:dataValidation type="date" operator="between" allowBlank="1" sqref="S8:S107">
      <x:formula1>DATE(2020,1,1)</x:formula1>
      <x:formula2>DATE(2100,12,31)</x:formula2>
    </x:dataValidation>
    <x:dataValidation type="date" operator="between" allowBlank="1" sqref="T8:T107">
      <x:formula1>DATE(2020,1,1)</x:formula1>
      <x:formula2>DATE(2100,12,31)</x:formula2>
    </x:dataValidation>
    <x:dataValidation type="date" operator="between" allowBlank="1" sqref="U8:U107">
      <x:formula1>DATE(2020,1,1)</x:formula1>
      <x:formula2>DATE(2100,12,31)</x:formula2>
    </x:dataValidation>
    <x:dataValidation type="date" operator="between" allowBlank="1" sqref="V8:V107">
      <x:formula1>DATE(2020,1,1)</x:formula1>
      <x:formula2>DATE(2100,12,31)</x:formula2>
    </x:dataValidation>
    <x:dataValidation type="date" operator="between" allowBlank="1" sqref="W8:W107">
      <x:formula1>DATE(2020,1,1)</x:formula1>
      <x:formula2>DATE(2100,12,31)</x:formula2>
    </x:dataValidation>
    <x:dataValidation type="date" operator="between" allowBlank="1" sqref="AC8:AC107">
      <x:formula1>DATE(2020,1,1)</x:formula1>
      <x:formula2>DATE(2100,12,31)</x:formula2>
    </x:dataValidation>
    <x:dataValidation type="date" operator="between" allowBlank="1" sqref="AF8:AF107">
      <x:formula1>DATE(2020,1,1)</x:formula1>
      <x:formula2>DATE(2100,12,31)</x:formula2>
    </x:dataValidation>
    <x:dataValidation type="date" operator="between" allowBlank="1" sqref="AU8:AU107">
      <x:formula1>DATE(2020,1,1)</x:formula1>
      <x:formula2>DATE(2100,12,31)</x:formula2>
    </x:dataValidation>
    <x:dataValidation type="date" operator="between" allowBlank="1" sqref="AJ8:AJ107">
      <x:formula1>DATE(2020,1,1)</x:formula1>
      <x:formula2>DATE(2100,12,31)</x:formula2>
    </x:dataValidation>
    <x:dataValidation type="whole" errorStyle="stop" operator="between" allowBlank="1" showErrorMessage="1" errorTitle="ใช้ค่าตัวเลข" error="ไม่ทราบให้เว้นว่าง ไม่ใช้ 0 แทนข้อมูลที่ยังไม่มี" sqref="E8:E107">
      <x:formula1>1</x:formula1>
      <x:formula2>10000000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1335e72aa0d43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25" hidden="0" customWidth="1"/>
    <x:col min="4" max="4" width="20" hidden="0" customWidth="1"/>
    <x:col min="5" max="5" width="23" hidden="0" customWidth="1"/>
    <x:col min="6" max="6" width="20" hidden="0" customWidth="1"/>
    <x:col min="7" max="7" width="13" hidden="0" customWidth="1"/>
    <x:col min="8" max="8" width="18" hidden="0" customWidth="1"/>
    <x:col min="9" max="9" width="18" hidden="0" customWidth="1"/>
    <x:col min="10" max="10" width="40" hidden="0" customWidth="1"/>
    <x:col min="11" max="11" width="34" hidden="0" customWidth="1"/>
    <x:col min="12" max="12" width="35" hidden="0" customWidth="1"/>
    <x:col min="13" max="13" width="22" hidden="0" customWidth="1"/>
    <x:col min="14" max="14" width="43" hidden="0" customWidth="1"/>
    <x:col min="15" max="15" width="24" hidden="0" customWidth="1"/>
    <x:col min="16" max="16" width="21" hidden="0" customWidth="1"/>
  </x:cols>
  <x:sheetData>
    <x:row r="1" ht="25" customHeight="1">
      <x:c r="A1" s="7" t="str">
        <x:v>DD BOX  |  ใบเสนอราคา</x:v>
      </x:c>
      <x:c r="B1" s="7"/>
      <x:c r="C1" s="7"/>
      <x:c r="D1" s="7"/>
      <x:c r="E1" s="7"/>
      <x:c r="F1" s="7"/>
      <x:c r="G1" s="7"/>
      <x:c r="H1" s="7"/>
      <x:c r="I1" s="7"/>
      <x:c r="J1" s="7"/>
      <x:c r="K1" s="3"/>
      <x:c r="L1" s="3"/>
      <x:c r="M1" s="3"/>
      <x:c r="N1" s="3"/>
      <x:c r="O1" s="3"/>
      <x:c r="P1" s="3"/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3"/>
      <x:c r="L2" s="3"/>
      <x:c r="M2" s="3"/>
      <x:c r="N2" s="3"/>
      <x:c r="O2" s="3"/>
      <x:c r="P2" s="3"/>
    </x:row>
    <x:row r="3" ht="40" customHeight="1">
      <x:c r="A3" s="11" t="str">
        <x:v>เพิ่มเมื่อส่งเอกสารให้ลูกค้าจริง • 1 แถวต่อ 1 ฉบับ/รุ่น • แก้ราคาให้เพิ่ม revision และเปลี่ยนฉบับเก่าเป็น No • ยังไม่ใช่ยอดขาย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"/>
      <x:c r="L3" s="3"/>
      <x:c r="M3" s="3"/>
      <x:c r="N3" s="3"/>
      <x:c r="O3" s="3"/>
      <x:c r="P3" s="3"/>
    </x:row>
    <x:row r="4" ht="24" customHeight="1">
      <x:c r="A4" s="14" t="str">
        <x:v>วิธีใช้: เปิดแท็บ Guide_Lists</x:v>
      </x:c>
      <x:c r="B4" s="14"/>
      <x:c r="C4" s="14"/>
      <x:c r="D4" s="16" t="str">
        <x:v>ภาพรวม: เปิดแท็บ Dashboard</x:v>
      </x:c>
      <x:c r="E4" s="16"/>
      <x:c r="F4" s="16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7" customHeight="1">
      <x:c r="A5" s="19" t="str">
        <x:v>01  เชื่อม Lead และเอกสาร</x:v>
      </x:c>
      <x:c r="B5" s="19"/>
      <x:c r="C5" s="19"/>
      <x:c r="D5" s="19"/>
      <x:c r="E5" s="19"/>
      <x:c r="F5" s="19" t="str">
        <x:v>02  มูลค่าและรุ่นเอกสาร</x:v>
      </x:c>
      <x:c r="G5" s="19"/>
      <x:c r="H5" s="19"/>
      <x:c r="I5" s="19"/>
      <x:c r="J5" s="19" t="str">
        <x:v>03  หลักฐาน / หมายเหตุ</x:v>
      </x:c>
      <x:c r="K5" s="19"/>
      <x:c r="L5" s="19" t="str">
        <x:v>04  ตรวจและเชื่อมข้อมูล — สูตร</x:v>
      </x:c>
      <x:c r="M5" s="19"/>
      <x:c r="N5" s="19"/>
      <x:c r="O5" s="19"/>
      <x:c r="P5" s="19"/>
    </x:row>
    <x:row r="6" ht="22" customHeight="1">
      <x:c r="A6" s="23" t="str">
        <x:v>quotation_record_id</x:v>
      </x:c>
      <x:c r="B6" s="23" t="str">
        <x:v>lead_reference</x:v>
      </x:c>
      <x:c r="C6" s="23" t="str">
        <x:v>quotation_no</x:v>
      </x:c>
      <x:c r="D6" s="23" t="str">
        <x:v>revision</x:v>
      </x:c>
      <x:c r="E6" s="23" t="str">
        <x:v>sent_at</x:v>
      </x:c>
      <x:c r="F6" s="23" t="str">
        <x:v>amount</x:v>
      </x:c>
      <x:c r="G6" s="23" t="str">
        <x:v>currency</x:v>
      </x:c>
      <x:c r="H6" s="23" t="str">
        <x:v>amount_basis</x:v>
      </x:c>
      <x:c r="I6" s="23" t="str">
        <x:v>is_current</x:v>
      </x:c>
      <x:c r="J6" s="23" t="str">
        <x:v>document_link</x:v>
      </x:c>
      <x:c r="K6" s="23" t="str">
        <x:v>notes</x:v>
      </x:c>
      <x:c r="L6" s="23" t="str">
        <x:v>lead_id</x:v>
      </x:c>
      <x:c r="M6" s="23" t="str">
        <x:v>record_class</x:v>
      </x:c>
      <x:c r="N6" s="23" t="str">
        <x:v>row_checks</x:v>
      </x:c>
      <x:c r="O6" s="23" t="str">
        <x:v>valid_document</x:v>
      </x:c>
      <x:c r="P6" s="23" t="str">
        <x:v>amount_complete</x:v>
      </x:c>
    </x:row>
    <x:row r="7" ht="40" customHeight="1">
      <x:c r="A7" s="27" t="str">
        <x:v>ID รายการใบราคา</x:v>
      </x:c>
      <x:c r="B7" s="27" t="str">
        <x:v>รหัสอ้างอิง Lead</x:v>
      </x:c>
      <x:c r="C7" s="27" t="str">
        <x:v>เลขใบเสนอราคา</x:v>
      </x:c>
      <x:c r="D7" s="27" t="str">
        <x:v>ฉบับแก้ไข (1,2,…)</x:v>
      </x:c>
      <x:c r="E7" s="27" t="str">
        <x:v>วันที่ส่งให้ลูกค้า</x:v>
      </x:c>
      <x:c r="F7" s="27" t="str">
        <x:v>มูลค่าที่เสนอ</x:v>
      </x:c>
      <x:c r="G7" s="27" t="str">
        <x:v>สกุลเงิน</x:v>
      </x:c>
      <x:c r="H7" s="27" t="str">
        <x:v>ฐานมูลค่า</x:v>
      </x:c>
      <x:c r="I7" s="27" t="str">
        <x:v>ฉบับปัจจุบัน?</x:v>
      </x:c>
      <x:c r="J7" s="27" t="str">
        <x:v>ที่เก็บ / ลิงก์เอกสาร</x:v>
      </x:c>
      <x:c r="K7" s="27" t="str">
        <x:v>หมายเหตุ</x:v>
      </x:c>
      <x:c r="L7" s="27" t="str">
        <x:v>Lead ID · สูตร</x:v>
      </x:c>
      <x:c r="M7" s="27" t="str">
        <x:v>ประเภทข้อมูล · สูตร</x:v>
      </x:c>
      <x:c r="N7" s="27" t="str">
        <x:v>ตรวจข้อมูล · สูตร</x:v>
      </x:c>
      <x:c r="O7" s="27" t="str">
        <x:v>เอกสารตรวจผ่าน · สูตร</x:v>
      </x:c>
      <x:c r="P7" s="27" t="str">
        <x:v>มูลค่าครบ · สูตร</x:v>
      </x:c>
    </x:row>
    <x:row r="8" ht="30" customHeight="1">
      <x:c r="A8" s="96"/>
      <x:c r="B8" s="96"/>
      <x:c r="C8" s="96"/>
      <x:c r="D8" s="36"/>
      <x:c r="E8" s="82"/>
      <x:c r="F8" s="84"/>
      <x:c r="G8" s="36"/>
      <x:c r="H8" s="36"/>
      <x:c r="I8" s="36"/>
      <x:c r="J8" s="96"/>
      <x:c r="K8" s="36"/>
      <x:c r="L8" s="98" t="str">
        <x:f>IF($B8="","",IFERROR(IF(INDEX('Leads'!$AE$8:$AE$107,MATCH($B8,'Leads'!$A$8:$A$107,0))="","",INDEX('Leads'!$AE$8:$AE$107,MATCH($B8,'Leads'!$A$8:$A$107,0))),""))</x:f>
      </x:c>
      <x:c r="M8" s="42" t="str">
        <x:f>IF($B8="","",IFERROR(IF(INDEX('Leads'!$AA$8:$AA$107,MATCH($B8,'Leads'!$A$8:$A$107,0))="","",INDEX('Leads'!$AA$8:$AA$107,MATCH($B8,'Leads'!$A$8:$A$107,0))),""))</x:f>
      </x:c>
      <x:c r="N8" s="42" t="str">
        <x:f>IF(AND($A8="",$B8="",$C8=""),"",IF(AND($O8=1,$P8=1),"ครบ", IF($A8="","ขาด ID เอกสาร; ","")&amp;IF(AND($A8&lt;&gt;"",COUNTIF('Quotations'!$A$8:$A$107,$A8)&gt;1),"ID เอกสารซ้ำ; ","")&amp;IF(COUNTIF('Leads'!$A$8:$A$107,$B8)&lt;&gt;1,"ตรวจรหัส Lead; ","")&amp;IF(AND($B8&lt;&gt;"",IFERROR(INDEX('Leads'!$BA$8:$BA$107,MATCH($B8,'Leads'!$A$8:$A$107,0)),0)&lt;&gt;1),"Lead ยังไม่นับผลจริง; ","")&amp;IF(OR($C8="",NOT(ISNUMBER($D8)),NOT(ISNUMBER($E8))),"ขาดเลข/รุ่น/วันส่ง; ","")&amp;IF($J8="","ขาดหลักฐาน; ","")&amp;IF(NOT(OR($I8="Yes",$I8="No")),"เลือก Yes/No; ","")&amp;IF(AND($I8="Yes",COUNTIFS('Quotations'!$B$8:$B$107,$B8,'Quotations'!$C$8:$C$107,$C8,'Quotations'!$I$8:$I$107,"Yes")&gt;1),"ฉบับปัจจุบันซ้อน; ","")&amp;IF(COUNTIFS('Quotations'!$B$8:$B$107,$B8,'Quotations'!$C$8:$C$107,$C8,'Quotations'!$D$8:$D$107,$D8)&gt;1,"เลข/รุ่นซ้ำ; ","")&amp;IF(OR(NOT(ISNUMBER($F8)),$G8="",$H8="",$H8="ไม่ทราบ"),"ตรวจมูลค่า/สกุล/ฐาน VAT; ","")))</x:f>
      </x:c>
      <x:c r="O8" s="42" t="str">
        <x:f>IF(AND($A8="",$B8="",$C8=""),"",IF(AND($A8&lt;&gt;"",COUNTIF('Quotations'!$A$8:$A$107,$A8)=1,COUNTIF('Leads'!$A$8:$A$107,$B8)=1,$L8&lt;&gt;"",IFERROR(INDEX('Leads'!$BA$8:$BA$107,MATCH($B8,'Leads'!$A$8:$A$107,0)),0)=1,$C8&lt;&gt;"",ISNUMBER($D8),$D8&gt;=1,ISNUMBER($E8),$E8&gt;0,OR($I8="Yes",$I8="No"),$J8&lt;&gt;"",COUNTIFS('Quotations'!$B$8:$B$107,$B8,'Quotations'!$C$8:$C$107,$C8,'Quotations'!$D$8:$D$107,$D8)=1,IF($I8="Yes",COUNTIFS('Quotations'!$B$8:$B$107,$B8,'Quotations'!$C$8:$C$107,$C8,'Quotations'!$I$8:$I$107,"Yes")=1,TRUE)),1,0))</x:f>
      </x:c>
      <x:c r="P8" s="42" t="str">
        <x:f>IF($O8="","",IF(AND($O8=1,ISNUMBER($F8),$F8&gt;=0,$G8&lt;&gt;"",OR($H8="รวม VAT",$H8="ไม่รวม VAT")),1,0))</x:f>
      </x:c>
    </x:row>
    <x:row r="9" ht="30" customHeight="1">
      <x:c r="A9" s="96"/>
      <x:c r="B9" s="96"/>
      <x:c r="C9" s="96"/>
      <x:c r="D9" s="36"/>
      <x:c r="E9" s="82"/>
      <x:c r="F9" s="84"/>
      <x:c r="G9" s="36"/>
      <x:c r="H9" s="36"/>
      <x:c r="I9" s="36"/>
      <x:c r="J9" s="96"/>
      <x:c r="K9" s="36"/>
      <x:c r="L9" s="98" t="str">
        <x:f>IF($B9="","",IFERROR(IF(INDEX('Leads'!$AE$8:$AE$107,MATCH($B9,'Leads'!$A$8:$A$107,0))="","",INDEX('Leads'!$AE$8:$AE$107,MATCH($B9,'Leads'!$A$8:$A$107,0))),""))</x:f>
      </x:c>
      <x:c r="M9" s="42" t="str">
        <x:f>IF($B9="","",IFERROR(IF(INDEX('Leads'!$AA$8:$AA$107,MATCH($B9,'Leads'!$A$8:$A$107,0))="","",INDEX('Leads'!$AA$8:$AA$107,MATCH($B9,'Leads'!$A$8:$A$107,0))),""))</x:f>
      </x:c>
      <x:c r="N9" s="42" t="str">
        <x:f>IF(AND($A9="",$B9="",$C9=""),"",IF(AND($O9=1,$P9=1),"ครบ", IF($A9="","ขาด ID เอกสาร; ","")&amp;IF(AND($A9&lt;&gt;"",COUNTIF('Quotations'!$A$8:$A$107,$A9)&gt;1),"ID เอกสารซ้ำ; ","")&amp;IF(COUNTIF('Leads'!$A$8:$A$107,$B9)&lt;&gt;1,"ตรวจรหัส Lead; ","")&amp;IF(AND($B9&lt;&gt;"",IFERROR(INDEX('Leads'!$BA$8:$BA$107,MATCH($B9,'Leads'!$A$8:$A$107,0)),0)&lt;&gt;1),"Lead ยังไม่นับผลจริง; ","")&amp;IF(OR($C9="",NOT(ISNUMBER($D9)),NOT(ISNUMBER($E9))),"ขาดเลข/รุ่น/วันส่ง; ","")&amp;IF($J9="","ขาดหลักฐาน; ","")&amp;IF(NOT(OR($I9="Yes",$I9="No")),"เลือก Yes/No; ","")&amp;IF(AND($I9="Yes",COUNTIFS('Quotations'!$B$8:$B$107,$B9,'Quotations'!$C$8:$C$107,$C9,'Quotations'!$I$8:$I$107,"Yes")&gt;1),"ฉบับปัจจุบันซ้อน; ","")&amp;IF(COUNTIFS('Quotations'!$B$8:$B$107,$B9,'Quotations'!$C$8:$C$107,$C9,'Quotations'!$D$8:$D$107,$D9)&gt;1,"เลข/รุ่นซ้ำ; ","")&amp;IF(OR(NOT(ISNUMBER($F9)),$G9="",$H9="",$H9="ไม่ทราบ"),"ตรวจมูลค่า/สกุล/ฐาน VAT; ","")))</x:f>
      </x:c>
      <x:c r="O9" s="42" t="str">
        <x:f>IF(AND($A9="",$B9="",$C9=""),"",IF(AND($A9&lt;&gt;"",COUNTIF('Quotations'!$A$8:$A$107,$A9)=1,COUNTIF('Leads'!$A$8:$A$107,$B9)=1,$L9&lt;&gt;"",IFERROR(INDEX('Leads'!$BA$8:$BA$107,MATCH($B9,'Leads'!$A$8:$A$107,0)),0)=1,$C9&lt;&gt;"",ISNUMBER($D9),$D9&gt;=1,ISNUMBER($E9),$E9&gt;0,OR($I9="Yes",$I9="No"),$J9&lt;&gt;"",COUNTIFS('Quotations'!$B$8:$B$107,$B9,'Quotations'!$C$8:$C$107,$C9,'Quotations'!$D$8:$D$107,$D9)=1,IF($I9="Yes",COUNTIFS('Quotations'!$B$8:$B$107,$B9,'Quotations'!$C$8:$C$107,$C9,'Quotations'!$I$8:$I$107,"Yes")=1,TRUE)),1,0))</x:f>
      </x:c>
      <x:c r="P9" s="42" t="str">
        <x:f>IF($O9="","",IF(AND($O9=1,ISNUMBER($F9),$F9&gt;=0,$G9&lt;&gt;"",OR($H9="รวม VAT",$H9="ไม่รวม VAT")),1,0))</x:f>
      </x:c>
    </x:row>
    <x:row r="10" ht="30" customHeight="1">
      <x:c r="A10" s="96"/>
      <x:c r="B10" s="96"/>
      <x:c r="C10" s="96"/>
      <x:c r="D10" s="36"/>
      <x:c r="E10" s="82"/>
      <x:c r="F10" s="84"/>
      <x:c r="G10" s="36"/>
      <x:c r="H10" s="36"/>
      <x:c r="I10" s="36"/>
      <x:c r="J10" s="96"/>
      <x:c r="K10" s="36"/>
      <x:c r="L10" s="98" t="str">
        <x:f>IF($B10="","",IFERROR(IF(INDEX('Leads'!$AE$8:$AE$107,MATCH($B10,'Leads'!$A$8:$A$107,0))="","",INDEX('Leads'!$AE$8:$AE$107,MATCH($B10,'Leads'!$A$8:$A$107,0))),""))</x:f>
      </x:c>
      <x:c r="M10" s="42" t="str">
        <x:f>IF($B10="","",IFERROR(IF(INDEX('Leads'!$AA$8:$AA$107,MATCH($B10,'Leads'!$A$8:$A$107,0))="","",INDEX('Leads'!$AA$8:$AA$107,MATCH($B10,'Leads'!$A$8:$A$107,0))),""))</x:f>
      </x:c>
      <x:c r="N10" s="42" t="str">
        <x:f>IF(AND($A10="",$B10="",$C10=""),"",IF(AND($O10=1,$P10=1),"ครบ", IF($A10="","ขาด ID เอกสาร; ","")&amp;IF(AND($A10&lt;&gt;"",COUNTIF('Quotations'!$A$8:$A$107,$A10)&gt;1),"ID เอกสารซ้ำ; ","")&amp;IF(COUNTIF('Leads'!$A$8:$A$107,$B10)&lt;&gt;1,"ตรวจรหัส Lead; ","")&amp;IF(AND($B10&lt;&gt;"",IFERROR(INDEX('Leads'!$BA$8:$BA$107,MATCH($B10,'Leads'!$A$8:$A$107,0)),0)&lt;&gt;1),"Lead ยังไม่นับผลจริง; ","")&amp;IF(OR($C10="",NOT(ISNUMBER($D10)),NOT(ISNUMBER($E10))),"ขาดเลข/รุ่น/วันส่ง; ","")&amp;IF($J10="","ขาดหลักฐาน; ","")&amp;IF(NOT(OR($I10="Yes",$I10="No")),"เลือก Yes/No; ","")&amp;IF(AND($I10="Yes",COUNTIFS('Quotations'!$B$8:$B$107,$B10,'Quotations'!$C$8:$C$107,$C10,'Quotations'!$I$8:$I$107,"Yes")&gt;1),"ฉบับปัจจุบันซ้อน; ","")&amp;IF(COUNTIFS('Quotations'!$B$8:$B$107,$B10,'Quotations'!$C$8:$C$107,$C10,'Quotations'!$D$8:$D$107,$D10)&gt;1,"เลข/รุ่นซ้ำ; ","")&amp;IF(OR(NOT(ISNUMBER($F10)),$G10="",$H10="",$H10="ไม่ทราบ"),"ตรวจมูลค่า/สกุล/ฐาน VAT; ","")))</x:f>
      </x:c>
      <x:c r="O10" s="42" t="str">
        <x:f>IF(AND($A10="",$B10="",$C10=""),"",IF(AND($A10&lt;&gt;"",COUNTIF('Quotations'!$A$8:$A$107,$A10)=1,COUNTIF('Leads'!$A$8:$A$107,$B10)=1,$L10&lt;&gt;"",IFERROR(INDEX('Leads'!$BA$8:$BA$107,MATCH($B10,'Leads'!$A$8:$A$107,0)),0)=1,$C10&lt;&gt;"",ISNUMBER($D10),$D10&gt;=1,ISNUMBER($E10),$E10&gt;0,OR($I10="Yes",$I10="No"),$J10&lt;&gt;"",COUNTIFS('Quotations'!$B$8:$B$107,$B10,'Quotations'!$C$8:$C$107,$C10,'Quotations'!$D$8:$D$107,$D10)=1,IF($I10="Yes",COUNTIFS('Quotations'!$B$8:$B$107,$B10,'Quotations'!$C$8:$C$107,$C10,'Quotations'!$I$8:$I$107,"Yes")=1,TRUE)),1,0))</x:f>
      </x:c>
      <x:c r="P10" s="42" t="str">
        <x:f>IF($O10="","",IF(AND($O10=1,ISNUMBER($F10),$F10&gt;=0,$G10&lt;&gt;"",OR($H10="รวม VAT",$H10="ไม่รวม VAT")),1,0))</x:f>
      </x:c>
    </x:row>
    <x:row r="11" ht="30" customHeight="1">
      <x:c r="A11" s="96"/>
      <x:c r="B11" s="96"/>
      <x:c r="C11" s="96"/>
      <x:c r="D11" s="36"/>
      <x:c r="E11" s="82"/>
      <x:c r="F11" s="84"/>
      <x:c r="G11" s="36"/>
      <x:c r="H11" s="36"/>
      <x:c r="I11" s="36"/>
      <x:c r="J11" s="96"/>
      <x:c r="K11" s="36"/>
      <x:c r="L11" s="98" t="str">
        <x:f>IF($B11="","",IFERROR(IF(INDEX('Leads'!$AE$8:$AE$107,MATCH($B11,'Leads'!$A$8:$A$107,0))="","",INDEX('Leads'!$AE$8:$AE$107,MATCH($B11,'Leads'!$A$8:$A$107,0))),""))</x:f>
      </x:c>
      <x:c r="M11" s="42" t="str">
        <x:f>IF($B11="","",IFERROR(IF(INDEX('Leads'!$AA$8:$AA$107,MATCH($B11,'Leads'!$A$8:$A$107,0))="","",INDEX('Leads'!$AA$8:$AA$107,MATCH($B11,'Leads'!$A$8:$A$107,0))),""))</x:f>
      </x:c>
      <x:c r="N11" s="42" t="str">
        <x:f>IF(AND($A11="",$B11="",$C11=""),"",IF(AND($O11=1,$P11=1),"ครบ", IF($A11="","ขาด ID เอกสาร; ","")&amp;IF(AND($A11&lt;&gt;"",COUNTIF('Quotations'!$A$8:$A$107,$A11)&gt;1),"ID เอกสารซ้ำ; ","")&amp;IF(COUNTIF('Leads'!$A$8:$A$107,$B11)&lt;&gt;1,"ตรวจรหัส Lead; ","")&amp;IF(AND($B11&lt;&gt;"",IFERROR(INDEX('Leads'!$BA$8:$BA$107,MATCH($B11,'Leads'!$A$8:$A$107,0)),0)&lt;&gt;1),"Lead ยังไม่นับผลจริง; ","")&amp;IF(OR($C11="",NOT(ISNUMBER($D11)),NOT(ISNUMBER($E11))),"ขาดเลข/รุ่น/วันส่ง; ","")&amp;IF($J11="","ขาดหลักฐาน; ","")&amp;IF(NOT(OR($I11="Yes",$I11="No")),"เลือก Yes/No; ","")&amp;IF(AND($I11="Yes",COUNTIFS('Quotations'!$B$8:$B$107,$B11,'Quotations'!$C$8:$C$107,$C11,'Quotations'!$I$8:$I$107,"Yes")&gt;1),"ฉบับปัจจุบันซ้อน; ","")&amp;IF(COUNTIFS('Quotations'!$B$8:$B$107,$B11,'Quotations'!$C$8:$C$107,$C11,'Quotations'!$D$8:$D$107,$D11)&gt;1,"เลข/รุ่นซ้ำ; ","")&amp;IF(OR(NOT(ISNUMBER($F11)),$G11="",$H11="",$H11="ไม่ทราบ"),"ตรวจมูลค่า/สกุล/ฐาน VAT; ","")))</x:f>
      </x:c>
      <x:c r="O11" s="42" t="str">
        <x:f>IF(AND($A11="",$B11="",$C11=""),"",IF(AND($A11&lt;&gt;"",COUNTIF('Quotations'!$A$8:$A$107,$A11)=1,COUNTIF('Leads'!$A$8:$A$107,$B11)=1,$L11&lt;&gt;"",IFERROR(INDEX('Leads'!$BA$8:$BA$107,MATCH($B11,'Leads'!$A$8:$A$107,0)),0)=1,$C11&lt;&gt;"",ISNUMBER($D11),$D11&gt;=1,ISNUMBER($E11),$E11&gt;0,OR($I11="Yes",$I11="No"),$J11&lt;&gt;"",COUNTIFS('Quotations'!$B$8:$B$107,$B11,'Quotations'!$C$8:$C$107,$C11,'Quotations'!$D$8:$D$107,$D11)=1,IF($I11="Yes",COUNTIFS('Quotations'!$B$8:$B$107,$B11,'Quotations'!$C$8:$C$107,$C11,'Quotations'!$I$8:$I$107,"Yes")=1,TRUE)),1,0))</x:f>
      </x:c>
      <x:c r="P11" s="42" t="str">
        <x:f>IF($O11="","",IF(AND($O11=1,ISNUMBER($F11),$F11&gt;=0,$G11&lt;&gt;"",OR($H11="รวม VAT",$H11="ไม่รวม VAT")),1,0))</x:f>
      </x:c>
    </x:row>
    <x:row r="12" ht="30" customHeight="1">
      <x:c r="A12" s="96"/>
      <x:c r="B12" s="96"/>
      <x:c r="C12" s="96"/>
      <x:c r="D12" s="36"/>
      <x:c r="E12" s="82"/>
      <x:c r="F12" s="84"/>
      <x:c r="G12" s="36"/>
      <x:c r="H12" s="36"/>
      <x:c r="I12" s="36"/>
      <x:c r="J12" s="96"/>
      <x:c r="K12" s="36"/>
      <x:c r="L12" s="98" t="str">
        <x:f>IF($B12="","",IFERROR(IF(INDEX('Leads'!$AE$8:$AE$107,MATCH($B12,'Leads'!$A$8:$A$107,0))="","",INDEX('Leads'!$AE$8:$AE$107,MATCH($B12,'Leads'!$A$8:$A$107,0))),""))</x:f>
      </x:c>
      <x:c r="M12" s="42" t="str">
        <x:f>IF($B12="","",IFERROR(IF(INDEX('Leads'!$AA$8:$AA$107,MATCH($B12,'Leads'!$A$8:$A$107,0))="","",INDEX('Leads'!$AA$8:$AA$107,MATCH($B12,'Leads'!$A$8:$A$107,0))),""))</x:f>
      </x:c>
      <x:c r="N12" s="42" t="str">
        <x:f>IF(AND($A12="",$B12="",$C12=""),"",IF(AND($O12=1,$P12=1),"ครบ", IF($A12="","ขาด ID เอกสาร; ","")&amp;IF(AND($A12&lt;&gt;"",COUNTIF('Quotations'!$A$8:$A$107,$A12)&gt;1),"ID เอกสารซ้ำ; ","")&amp;IF(COUNTIF('Leads'!$A$8:$A$107,$B12)&lt;&gt;1,"ตรวจรหัส Lead; ","")&amp;IF(AND($B12&lt;&gt;"",IFERROR(INDEX('Leads'!$BA$8:$BA$107,MATCH($B12,'Leads'!$A$8:$A$107,0)),0)&lt;&gt;1),"Lead ยังไม่นับผลจริง; ","")&amp;IF(OR($C12="",NOT(ISNUMBER($D12)),NOT(ISNUMBER($E12))),"ขาดเลข/รุ่น/วันส่ง; ","")&amp;IF($J12="","ขาดหลักฐาน; ","")&amp;IF(NOT(OR($I12="Yes",$I12="No")),"เลือก Yes/No; ","")&amp;IF(AND($I12="Yes",COUNTIFS('Quotations'!$B$8:$B$107,$B12,'Quotations'!$C$8:$C$107,$C12,'Quotations'!$I$8:$I$107,"Yes")&gt;1),"ฉบับปัจจุบันซ้อน; ","")&amp;IF(COUNTIFS('Quotations'!$B$8:$B$107,$B12,'Quotations'!$C$8:$C$107,$C12,'Quotations'!$D$8:$D$107,$D12)&gt;1,"เลข/รุ่นซ้ำ; ","")&amp;IF(OR(NOT(ISNUMBER($F12)),$G12="",$H12="",$H12="ไม่ทราบ"),"ตรวจมูลค่า/สกุล/ฐาน VAT; ","")))</x:f>
      </x:c>
      <x:c r="O12" s="42" t="str">
        <x:f>IF(AND($A12="",$B12="",$C12=""),"",IF(AND($A12&lt;&gt;"",COUNTIF('Quotations'!$A$8:$A$107,$A12)=1,COUNTIF('Leads'!$A$8:$A$107,$B12)=1,$L12&lt;&gt;"",IFERROR(INDEX('Leads'!$BA$8:$BA$107,MATCH($B12,'Leads'!$A$8:$A$107,0)),0)=1,$C12&lt;&gt;"",ISNUMBER($D12),$D12&gt;=1,ISNUMBER($E12),$E12&gt;0,OR($I12="Yes",$I12="No"),$J12&lt;&gt;"",COUNTIFS('Quotations'!$B$8:$B$107,$B12,'Quotations'!$C$8:$C$107,$C12,'Quotations'!$D$8:$D$107,$D12)=1,IF($I12="Yes",COUNTIFS('Quotations'!$B$8:$B$107,$B12,'Quotations'!$C$8:$C$107,$C12,'Quotations'!$I$8:$I$107,"Yes")=1,TRUE)),1,0))</x:f>
      </x:c>
      <x:c r="P12" s="42" t="str">
        <x:f>IF($O12="","",IF(AND($O12=1,ISNUMBER($F12),$F12&gt;=0,$G12&lt;&gt;"",OR($H12="รวม VAT",$H12="ไม่รวม VAT")),1,0))</x:f>
      </x:c>
    </x:row>
    <x:row r="13" ht="30" customHeight="1">
      <x:c r="A13" s="96"/>
      <x:c r="B13" s="96"/>
      <x:c r="C13" s="96"/>
      <x:c r="D13" s="36"/>
      <x:c r="E13" s="82"/>
      <x:c r="F13" s="84"/>
      <x:c r="G13" s="36"/>
      <x:c r="H13" s="36"/>
      <x:c r="I13" s="36"/>
      <x:c r="J13" s="96"/>
      <x:c r="K13" s="36"/>
      <x:c r="L13" s="98" t="str">
        <x:f>IF($B13="","",IFERROR(IF(INDEX('Leads'!$AE$8:$AE$107,MATCH($B13,'Leads'!$A$8:$A$107,0))="","",INDEX('Leads'!$AE$8:$AE$107,MATCH($B13,'Leads'!$A$8:$A$107,0))),""))</x:f>
      </x:c>
      <x:c r="M13" s="42" t="str">
        <x:f>IF($B13="","",IFERROR(IF(INDEX('Leads'!$AA$8:$AA$107,MATCH($B13,'Leads'!$A$8:$A$107,0))="","",INDEX('Leads'!$AA$8:$AA$107,MATCH($B13,'Leads'!$A$8:$A$107,0))),""))</x:f>
      </x:c>
      <x:c r="N13" s="42" t="str">
        <x:f>IF(AND($A13="",$B13="",$C13=""),"",IF(AND($O13=1,$P13=1),"ครบ", IF($A13="","ขาด ID เอกสาร; ","")&amp;IF(AND($A13&lt;&gt;"",COUNTIF('Quotations'!$A$8:$A$107,$A13)&gt;1),"ID เอกสารซ้ำ; ","")&amp;IF(COUNTIF('Leads'!$A$8:$A$107,$B13)&lt;&gt;1,"ตรวจรหัส Lead; ","")&amp;IF(AND($B13&lt;&gt;"",IFERROR(INDEX('Leads'!$BA$8:$BA$107,MATCH($B13,'Leads'!$A$8:$A$107,0)),0)&lt;&gt;1),"Lead ยังไม่นับผลจริง; ","")&amp;IF(OR($C13="",NOT(ISNUMBER($D13)),NOT(ISNUMBER($E13))),"ขาดเลข/รุ่น/วันส่ง; ","")&amp;IF($J13="","ขาดหลักฐาน; ","")&amp;IF(NOT(OR($I13="Yes",$I13="No")),"เลือก Yes/No; ","")&amp;IF(AND($I13="Yes",COUNTIFS('Quotations'!$B$8:$B$107,$B13,'Quotations'!$C$8:$C$107,$C13,'Quotations'!$I$8:$I$107,"Yes")&gt;1),"ฉบับปัจจุบันซ้อน; ","")&amp;IF(COUNTIFS('Quotations'!$B$8:$B$107,$B13,'Quotations'!$C$8:$C$107,$C13,'Quotations'!$D$8:$D$107,$D13)&gt;1,"เลข/รุ่นซ้ำ; ","")&amp;IF(OR(NOT(ISNUMBER($F13)),$G13="",$H13="",$H13="ไม่ทราบ"),"ตรวจมูลค่า/สกุล/ฐาน VAT; ","")))</x:f>
      </x:c>
      <x:c r="O13" s="42" t="str">
        <x:f>IF(AND($A13="",$B13="",$C13=""),"",IF(AND($A13&lt;&gt;"",COUNTIF('Quotations'!$A$8:$A$107,$A13)=1,COUNTIF('Leads'!$A$8:$A$107,$B13)=1,$L13&lt;&gt;"",IFERROR(INDEX('Leads'!$BA$8:$BA$107,MATCH($B13,'Leads'!$A$8:$A$107,0)),0)=1,$C13&lt;&gt;"",ISNUMBER($D13),$D13&gt;=1,ISNUMBER($E13),$E13&gt;0,OR($I13="Yes",$I13="No"),$J13&lt;&gt;"",COUNTIFS('Quotations'!$B$8:$B$107,$B13,'Quotations'!$C$8:$C$107,$C13,'Quotations'!$D$8:$D$107,$D13)=1,IF($I13="Yes",COUNTIFS('Quotations'!$B$8:$B$107,$B13,'Quotations'!$C$8:$C$107,$C13,'Quotations'!$I$8:$I$107,"Yes")=1,TRUE)),1,0))</x:f>
      </x:c>
      <x:c r="P13" s="42" t="str">
        <x:f>IF($O13="","",IF(AND($O13=1,ISNUMBER($F13),$F13&gt;=0,$G13&lt;&gt;"",OR($H13="รวม VAT",$H13="ไม่รวม VAT")),1,0))</x:f>
      </x:c>
    </x:row>
    <x:row r="14" ht="30" customHeight="1">
      <x:c r="A14" s="96"/>
      <x:c r="B14" s="96"/>
      <x:c r="C14" s="96"/>
      <x:c r="D14" s="36"/>
      <x:c r="E14" s="82"/>
      <x:c r="F14" s="84"/>
      <x:c r="G14" s="36"/>
      <x:c r="H14" s="36"/>
      <x:c r="I14" s="36"/>
      <x:c r="J14" s="96"/>
      <x:c r="K14" s="36"/>
      <x:c r="L14" s="98" t="str">
        <x:f>IF($B14="","",IFERROR(IF(INDEX('Leads'!$AE$8:$AE$107,MATCH($B14,'Leads'!$A$8:$A$107,0))="","",INDEX('Leads'!$AE$8:$AE$107,MATCH($B14,'Leads'!$A$8:$A$107,0))),""))</x:f>
      </x:c>
      <x:c r="M14" s="42" t="str">
        <x:f>IF($B14="","",IFERROR(IF(INDEX('Leads'!$AA$8:$AA$107,MATCH($B14,'Leads'!$A$8:$A$107,0))="","",INDEX('Leads'!$AA$8:$AA$107,MATCH($B14,'Leads'!$A$8:$A$107,0))),""))</x:f>
      </x:c>
      <x:c r="N14" s="42" t="str">
        <x:f>IF(AND($A14="",$B14="",$C14=""),"",IF(AND($O14=1,$P14=1),"ครบ", IF($A14="","ขาด ID เอกสาร; ","")&amp;IF(AND($A14&lt;&gt;"",COUNTIF('Quotations'!$A$8:$A$107,$A14)&gt;1),"ID เอกสารซ้ำ; ","")&amp;IF(COUNTIF('Leads'!$A$8:$A$107,$B14)&lt;&gt;1,"ตรวจรหัส Lead; ","")&amp;IF(AND($B14&lt;&gt;"",IFERROR(INDEX('Leads'!$BA$8:$BA$107,MATCH($B14,'Leads'!$A$8:$A$107,0)),0)&lt;&gt;1),"Lead ยังไม่นับผลจริง; ","")&amp;IF(OR($C14="",NOT(ISNUMBER($D14)),NOT(ISNUMBER($E14))),"ขาดเลข/รุ่น/วันส่ง; ","")&amp;IF($J14="","ขาดหลักฐาน; ","")&amp;IF(NOT(OR($I14="Yes",$I14="No")),"เลือก Yes/No; ","")&amp;IF(AND($I14="Yes",COUNTIFS('Quotations'!$B$8:$B$107,$B14,'Quotations'!$C$8:$C$107,$C14,'Quotations'!$I$8:$I$107,"Yes")&gt;1),"ฉบับปัจจุบันซ้อน; ","")&amp;IF(COUNTIFS('Quotations'!$B$8:$B$107,$B14,'Quotations'!$C$8:$C$107,$C14,'Quotations'!$D$8:$D$107,$D14)&gt;1,"เลข/รุ่นซ้ำ; ","")&amp;IF(OR(NOT(ISNUMBER($F14)),$G14="",$H14="",$H14="ไม่ทราบ"),"ตรวจมูลค่า/สกุล/ฐาน VAT; ","")))</x:f>
      </x:c>
      <x:c r="O14" s="42" t="str">
        <x:f>IF(AND($A14="",$B14="",$C14=""),"",IF(AND($A14&lt;&gt;"",COUNTIF('Quotations'!$A$8:$A$107,$A14)=1,COUNTIF('Leads'!$A$8:$A$107,$B14)=1,$L14&lt;&gt;"",IFERROR(INDEX('Leads'!$BA$8:$BA$107,MATCH($B14,'Leads'!$A$8:$A$107,0)),0)=1,$C14&lt;&gt;"",ISNUMBER($D14),$D14&gt;=1,ISNUMBER($E14),$E14&gt;0,OR($I14="Yes",$I14="No"),$J14&lt;&gt;"",COUNTIFS('Quotations'!$B$8:$B$107,$B14,'Quotations'!$C$8:$C$107,$C14,'Quotations'!$D$8:$D$107,$D14)=1,IF($I14="Yes",COUNTIFS('Quotations'!$B$8:$B$107,$B14,'Quotations'!$C$8:$C$107,$C14,'Quotations'!$I$8:$I$107,"Yes")=1,TRUE)),1,0))</x:f>
      </x:c>
      <x:c r="P14" s="42" t="str">
        <x:f>IF($O14="","",IF(AND($O14=1,ISNUMBER($F14),$F14&gt;=0,$G14&lt;&gt;"",OR($H14="รวม VAT",$H14="ไม่รวม VAT")),1,0))</x:f>
      </x:c>
    </x:row>
    <x:row r="15" ht="30" customHeight="1">
      <x:c r="A15" s="96"/>
      <x:c r="B15" s="96"/>
      <x:c r="C15" s="96"/>
      <x:c r="D15" s="36"/>
      <x:c r="E15" s="82"/>
      <x:c r="F15" s="84"/>
      <x:c r="G15" s="36"/>
      <x:c r="H15" s="36"/>
      <x:c r="I15" s="36"/>
      <x:c r="J15" s="96"/>
      <x:c r="K15" s="36"/>
      <x:c r="L15" s="98" t="str">
        <x:f>IF($B15="","",IFERROR(IF(INDEX('Leads'!$AE$8:$AE$107,MATCH($B15,'Leads'!$A$8:$A$107,0))="","",INDEX('Leads'!$AE$8:$AE$107,MATCH($B15,'Leads'!$A$8:$A$107,0))),""))</x:f>
      </x:c>
      <x:c r="M15" s="42" t="str">
        <x:f>IF($B15="","",IFERROR(IF(INDEX('Leads'!$AA$8:$AA$107,MATCH($B15,'Leads'!$A$8:$A$107,0))="","",INDEX('Leads'!$AA$8:$AA$107,MATCH($B15,'Leads'!$A$8:$A$107,0))),""))</x:f>
      </x:c>
      <x:c r="N15" s="42" t="str">
        <x:f>IF(AND($A15="",$B15="",$C15=""),"",IF(AND($O15=1,$P15=1),"ครบ", IF($A15="","ขาด ID เอกสาร; ","")&amp;IF(AND($A15&lt;&gt;"",COUNTIF('Quotations'!$A$8:$A$107,$A15)&gt;1),"ID เอกสารซ้ำ; ","")&amp;IF(COUNTIF('Leads'!$A$8:$A$107,$B15)&lt;&gt;1,"ตรวจรหัส Lead; ","")&amp;IF(AND($B15&lt;&gt;"",IFERROR(INDEX('Leads'!$BA$8:$BA$107,MATCH($B15,'Leads'!$A$8:$A$107,0)),0)&lt;&gt;1),"Lead ยังไม่นับผลจริง; ","")&amp;IF(OR($C15="",NOT(ISNUMBER($D15)),NOT(ISNUMBER($E15))),"ขาดเลข/รุ่น/วันส่ง; ","")&amp;IF($J15="","ขาดหลักฐาน; ","")&amp;IF(NOT(OR($I15="Yes",$I15="No")),"เลือก Yes/No; ","")&amp;IF(AND($I15="Yes",COUNTIFS('Quotations'!$B$8:$B$107,$B15,'Quotations'!$C$8:$C$107,$C15,'Quotations'!$I$8:$I$107,"Yes")&gt;1),"ฉบับปัจจุบันซ้อน; ","")&amp;IF(COUNTIFS('Quotations'!$B$8:$B$107,$B15,'Quotations'!$C$8:$C$107,$C15,'Quotations'!$D$8:$D$107,$D15)&gt;1,"เลข/รุ่นซ้ำ; ","")&amp;IF(OR(NOT(ISNUMBER($F15)),$G15="",$H15="",$H15="ไม่ทราบ"),"ตรวจมูลค่า/สกุล/ฐาน VAT; ","")))</x:f>
      </x:c>
      <x:c r="O15" s="42" t="str">
        <x:f>IF(AND($A15="",$B15="",$C15=""),"",IF(AND($A15&lt;&gt;"",COUNTIF('Quotations'!$A$8:$A$107,$A15)=1,COUNTIF('Leads'!$A$8:$A$107,$B15)=1,$L15&lt;&gt;"",IFERROR(INDEX('Leads'!$BA$8:$BA$107,MATCH($B15,'Leads'!$A$8:$A$107,0)),0)=1,$C15&lt;&gt;"",ISNUMBER($D15),$D15&gt;=1,ISNUMBER($E15),$E15&gt;0,OR($I15="Yes",$I15="No"),$J15&lt;&gt;"",COUNTIFS('Quotations'!$B$8:$B$107,$B15,'Quotations'!$C$8:$C$107,$C15,'Quotations'!$D$8:$D$107,$D15)=1,IF($I15="Yes",COUNTIFS('Quotations'!$B$8:$B$107,$B15,'Quotations'!$C$8:$C$107,$C15,'Quotations'!$I$8:$I$107,"Yes")=1,TRUE)),1,0))</x:f>
      </x:c>
      <x:c r="P15" s="42" t="str">
        <x:f>IF($O15="","",IF(AND($O15=1,ISNUMBER($F15),$F15&gt;=0,$G15&lt;&gt;"",OR($H15="รวม VAT",$H15="ไม่รวม VAT")),1,0))</x:f>
      </x:c>
    </x:row>
    <x:row r="16" ht="30" customHeight="1">
      <x:c r="A16" s="96"/>
      <x:c r="B16" s="96"/>
      <x:c r="C16" s="96"/>
      <x:c r="D16" s="36"/>
      <x:c r="E16" s="82"/>
      <x:c r="F16" s="84"/>
      <x:c r="G16" s="36"/>
      <x:c r="H16" s="36"/>
      <x:c r="I16" s="36"/>
      <x:c r="J16" s="96"/>
      <x:c r="K16" s="36"/>
      <x:c r="L16" s="98" t="str">
        <x:f>IF($B16="","",IFERROR(IF(INDEX('Leads'!$AE$8:$AE$107,MATCH($B16,'Leads'!$A$8:$A$107,0))="","",INDEX('Leads'!$AE$8:$AE$107,MATCH($B16,'Leads'!$A$8:$A$107,0))),""))</x:f>
      </x:c>
      <x:c r="M16" s="42" t="str">
        <x:f>IF($B16="","",IFERROR(IF(INDEX('Leads'!$AA$8:$AA$107,MATCH($B16,'Leads'!$A$8:$A$107,0))="","",INDEX('Leads'!$AA$8:$AA$107,MATCH($B16,'Leads'!$A$8:$A$107,0))),""))</x:f>
      </x:c>
      <x:c r="N16" s="42" t="str">
        <x:f>IF(AND($A16="",$B16="",$C16=""),"",IF(AND($O16=1,$P16=1),"ครบ", IF($A16="","ขาด ID เอกสาร; ","")&amp;IF(AND($A16&lt;&gt;"",COUNTIF('Quotations'!$A$8:$A$107,$A16)&gt;1),"ID เอกสารซ้ำ; ","")&amp;IF(COUNTIF('Leads'!$A$8:$A$107,$B16)&lt;&gt;1,"ตรวจรหัส Lead; ","")&amp;IF(AND($B16&lt;&gt;"",IFERROR(INDEX('Leads'!$BA$8:$BA$107,MATCH($B16,'Leads'!$A$8:$A$107,0)),0)&lt;&gt;1),"Lead ยังไม่นับผลจริง; ","")&amp;IF(OR($C16="",NOT(ISNUMBER($D16)),NOT(ISNUMBER($E16))),"ขาดเลข/รุ่น/วันส่ง; ","")&amp;IF($J16="","ขาดหลักฐาน; ","")&amp;IF(NOT(OR($I16="Yes",$I16="No")),"เลือก Yes/No; ","")&amp;IF(AND($I16="Yes",COUNTIFS('Quotations'!$B$8:$B$107,$B16,'Quotations'!$C$8:$C$107,$C16,'Quotations'!$I$8:$I$107,"Yes")&gt;1),"ฉบับปัจจุบันซ้อน; ","")&amp;IF(COUNTIFS('Quotations'!$B$8:$B$107,$B16,'Quotations'!$C$8:$C$107,$C16,'Quotations'!$D$8:$D$107,$D16)&gt;1,"เลข/รุ่นซ้ำ; ","")&amp;IF(OR(NOT(ISNUMBER($F16)),$G16="",$H16="",$H16="ไม่ทราบ"),"ตรวจมูลค่า/สกุล/ฐาน VAT; ","")))</x:f>
      </x:c>
      <x:c r="O16" s="42" t="str">
        <x:f>IF(AND($A16="",$B16="",$C16=""),"",IF(AND($A16&lt;&gt;"",COUNTIF('Quotations'!$A$8:$A$107,$A16)=1,COUNTIF('Leads'!$A$8:$A$107,$B16)=1,$L16&lt;&gt;"",IFERROR(INDEX('Leads'!$BA$8:$BA$107,MATCH($B16,'Leads'!$A$8:$A$107,0)),0)=1,$C16&lt;&gt;"",ISNUMBER($D16),$D16&gt;=1,ISNUMBER($E16),$E16&gt;0,OR($I16="Yes",$I16="No"),$J16&lt;&gt;"",COUNTIFS('Quotations'!$B$8:$B$107,$B16,'Quotations'!$C$8:$C$107,$C16,'Quotations'!$D$8:$D$107,$D16)=1,IF($I16="Yes",COUNTIFS('Quotations'!$B$8:$B$107,$B16,'Quotations'!$C$8:$C$107,$C16,'Quotations'!$I$8:$I$107,"Yes")=1,TRUE)),1,0))</x:f>
      </x:c>
      <x:c r="P16" s="42" t="str">
        <x:f>IF($O16="","",IF(AND($O16=1,ISNUMBER($F16),$F16&gt;=0,$G16&lt;&gt;"",OR($H16="รวม VAT",$H16="ไม่รวม VAT")),1,0))</x:f>
      </x:c>
    </x:row>
    <x:row r="17" ht="30" customHeight="1">
      <x:c r="A17" s="96"/>
      <x:c r="B17" s="96"/>
      <x:c r="C17" s="96"/>
      <x:c r="D17" s="36"/>
      <x:c r="E17" s="82"/>
      <x:c r="F17" s="84"/>
      <x:c r="G17" s="36"/>
      <x:c r="H17" s="36"/>
      <x:c r="I17" s="36"/>
      <x:c r="J17" s="96"/>
      <x:c r="K17" s="36"/>
      <x:c r="L17" s="98" t="str">
        <x:f>IF($B17="","",IFERROR(IF(INDEX('Leads'!$AE$8:$AE$107,MATCH($B17,'Leads'!$A$8:$A$107,0))="","",INDEX('Leads'!$AE$8:$AE$107,MATCH($B17,'Leads'!$A$8:$A$107,0))),""))</x:f>
      </x:c>
      <x:c r="M17" s="42" t="str">
        <x:f>IF($B17="","",IFERROR(IF(INDEX('Leads'!$AA$8:$AA$107,MATCH($B17,'Leads'!$A$8:$A$107,0))="","",INDEX('Leads'!$AA$8:$AA$107,MATCH($B17,'Leads'!$A$8:$A$107,0))),""))</x:f>
      </x:c>
      <x:c r="N17" s="42" t="str">
        <x:f>IF(AND($A17="",$B17="",$C17=""),"",IF(AND($O17=1,$P17=1),"ครบ", IF($A17="","ขาด ID เอกสาร; ","")&amp;IF(AND($A17&lt;&gt;"",COUNTIF('Quotations'!$A$8:$A$107,$A17)&gt;1),"ID เอกสารซ้ำ; ","")&amp;IF(COUNTIF('Leads'!$A$8:$A$107,$B17)&lt;&gt;1,"ตรวจรหัส Lead; ","")&amp;IF(AND($B17&lt;&gt;"",IFERROR(INDEX('Leads'!$BA$8:$BA$107,MATCH($B17,'Leads'!$A$8:$A$107,0)),0)&lt;&gt;1),"Lead ยังไม่นับผลจริง; ","")&amp;IF(OR($C17="",NOT(ISNUMBER($D17)),NOT(ISNUMBER($E17))),"ขาดเลข/รุ่น/วันส่ง; ","")&amp;IF($J17="","ขาดหลักฐาน; ","")&amp;IF(NOT(OR($I17="Yes",$I17="No")),"เลือก Yes/No; ","")&amp;IF(AND($I17="Yes",COUNTIFS('Quotations'!$B$8:$B$107,$B17,'Quotations'!$C$8:$C$107,$C17,'Quotations'!$I$8:$I$107,"Yes")&gt;1),"ฉบับปัจจุบันซ้อน; ","")&amp;IF(COUNTIFS('Quotations'!$B$8:$B$107,$B17,'Quotations'!$C$8:$C$107,$C17,'Quotations'!$D$8:$D$107,$D17)&gt;1,"เลข/รุ่นซ้ำ; ","")&amp;IF(OR(NOT(ISNUMBER($F17)),$G17="",$H17="",$H17="ไม่ทราบ"),"ตรวจมูลค่า/สกุล/ฐาน VAT; ","")))</x:f>
      </x:c>
      <x:c r="O17" s="42" t="str">
        <x:f>IF(AND($A17="",$B17="",$C17=""),"",IF(AND($A17&lt;&gt;"",COUNTIF('Quotations'!$A$8:$A$107,$A17)=1,COUNTIF('Leads'!$A$8:$A$107,$B17)=1,$L17&lt;&gt;"",IFERROR(INDEX('Leads'!$BA$8:$BA$107,MATCH($B17,'Leads'!$A$8:$A$107,0)),0)=1,$C17&lt;&gt;"",ISNUMBER($D17),$D17&gt;=1,ISNUMBER($E17),$E17&gt;0,OR($I17="Yes",$I17="No"),$J17&lt;&gt;"",COUNTIFS('Quotations'!$B$8:$B$107,$B17,'Quotations'!$C$8:$C$107,$C17,'Quotations'!$D$8:$D$107,$D17)=1,IF($I17="Yes",COUNTIFS('Quotations'!$B$8:$B$107,$B17,'Quotations'!$C$8:$C$107,$C17,'Quotations'!$I$8:$I$107,"Yes")=1,TRUE)),1,0))</x:f>
      </x:c>
      <x:c r="P17" s="42" t="str">
        <x:f>IF($O17="","",IF(AND($O17=1,ISNUMBER($F17),$F17&gt;=0,$G17&lt;&gt;"",OR($H17="รวม VAT",$H17="ไม่รวม VAT")),1,0))</x:f>
      </x:c>
    </x:row>
    <x:row r="18" ht="30" customHeight="1">
      <x:c r="A18" s="96"/>
      <x:c r="B18" s="96"/>
      <x:c r="C18" s="96"/>
      <x:c r="D18" s="36"/>
      <x:c r="E18" s="82"/>
      <x:c r="F18" s="84"/>
      <x:c r="G18" s="36"/>
      <x:c r="H18" s="36"/>
      <x:c r="I18" s="36"/>
      <x:c r="J18" s="96"/>
      <x:c r="K18" s="36"/>
      <x:c r="L18" s="98" t="str">
        <x:f>IF($B18="","",IFERROR(IF(INDEX('Leads'!$AE$8:$AE$107,MATCH($B18,'Leads'!$A$8:$A$107,0))="","",INDEX('Leads'!$AE$8:$AE$107,MATCH($B18,'Leads'!$A$8:$A$107,0))),""))</x:f>
      </x:c>
      <x:c r="M18" s="42" t="str">
        <x:f>IF($B18="","",IFERROR(IF(INDEX('Leads'!$AA$8:$AA$107,MATCH($B18,'Leads'!$A$8:$A$107,0))="","",INDEX('Leads'!$AA$8:$AA$107,MATCH($B18,'Leads'!$A$8:$A$107,0))),""))</x:f>
      </x:c>
      <x:c r="N18" s="42" t="str">
        <x:f>IF(AND($A18="",$B18="",$C18=""),"",IF(AND($O18=1,$P18=1),"ครบ", IF($A18="","ขาด ID เอกสาร; ","")&amp;IF(AND($A18&lt;&gt;"",COUNTIF('Quotations'!$A$8:$A$107,$A18)&gt;1),"ID เอกสารซ้ำ; ","")&amp;IF(COUNTIF('Leads'!$A$8:$A$107,$B18)&lt;&gt;1,"ตรวจรหัส Lead; ","")&amp;IF(AND($B18&lt;&gt;"",IFERROR(INDEX('Leads'!$BA$8:$BA$107,MATCH($B18,'Leads'!$A$8:$A$107,0)),0)&lt;&gt;1),"Lead ยังไม่นับผลจริง; ","")&amp;IF(OR($C18="",NOT(ISNUMBER($D18)),NOT(ISNUMBER($E18))),"ขาดเลข/รุ่น/วันส่ง; ","")&amp;IF($J18="","ขาดหลักฐาน; ","")&amp;IF(NOT(OR($I18="Yes",$I18="No")),"เลือก Yes/No; ","")&amp;IF(AND($I18="Yes",COUNTIFS('Quotations'!$B$8:$B$107,$B18,'Quotations'!$C$8:$C$107,$C18,'Quotations'!$I$8:$I$107,"Yes")&gt;1),"ฉบับปัจจุบันซ้อน; ","")&amp;IF(COUNTIFS('Quotations'!$B$8:$B$107,$B18,'Quotations'!$C$8:$C$107,$C18,'Quotations'!$D$8:$D$107,$D18)&gt;1,"เลข/รุ่นซ้ำ; ","")&amp;IF(OR(NOT(ISNUMBER($F18)),$G18="",$H18="",$H18="ไม่ทราบ"),"ตรวจมูลค่า/สกุล/ฐาน VAT; ","")))</x:f>
      </x:c>
      <x:c r="O18" s="42" t="str">
        <x:f>IF(AND($A18="",$B18="",$C18=""),"",IF(AND($A18&lt;&gt;"",COUNTIF('Quotations'!$A$8:$A$107,$A18)=1,COUNTIF('Leads'!$A$8:$A$107,$B18)=1,$L18&lt;&gt;"",IFERROR(INDEX('Leads'!$BA$8:$BA$107,MATCH($B18,'Leads'!$A$8:$A$107,0)),0)=1,$C18&lt;&gt;"",ISNUMBER($D18),$D18&gt;=1,ISNUMBER($E18),$E18&gt;0,OR($I18="Yes",$I18="No"),$J18&lt;&gt;"",COUNTIFS('Quotations'!$B$8:$B$107,$B18,'Quotations'!$C$8:$C$107,$C18,'Quotations'!$D$8:$D$107,$D18)=1,IF($I18="Yes",COUNTIFS('Quotations'!$B$8:$B$107,$B18,'Quotations'!$C$8:$C$107,$C18,'Quotations'!$I$8:$I$107,"Yes")=1,TRUE)),1,0))</x:f>
      </x:c>
      <x:c r="P18" s="42" t="str">
        <x:f>IF($O18="","",IF(AND($O18=1,ISNUMBER($F18),$F18&gt;=0,$G18&lt;&gt;"",OR($H18="รวม VAT",$H18="ไม่รวม VAT")),1,0))</x:f>
      </x:c>
    </x:row>
    <x:row r="19" ht="30" customHeight="1">
      <x:c r="A19" s="96"/>
      <x:c r="B19" s="96"/>
      <x:c r="C19" s="96"/>
      <x:c r="D19" s="36"/>
      <x:c r="E19" s="82"/>
      <x:c r="F19" s="84"/>
      <x:c r="G19" s="36"/>
      <x:c r="H19" s="36"/>
      <x:c r="I19" s="36"/>
      <x:c r="J19" s="96"/>
      <x:c r="K19" s="36"/>
      <x:c r="L19" s="98" t="str">
        <x:f>IF($B19="","",IFERROR(IF(INDEX('Leads'!$AE$8:$AE$107,MATCH($B19,'Leads'!$A$8:$A$107,0))="","",INDEX('Leads'!$AE$8:$AE$107,MATCH($B19,'Leads'!$A$8:$A$107,0))),""))</x:f>
      </x:c>
      <x:c r="M19" s="42" t="str">
        <x:f>IF($B19="","",IFERROR(IF(INDEX('Leads'!$AA$8:$AA$107,MATCH($B19,'Leads'!$A$8:$A$107,0))="","",INDEX('Leads'!$AA$8:$AA$107,MATCH($B19,'Leads'!$A$8:$A$107,0))),""))</x:f>
      </x:c>
      <x:c r="N19" s="42" t="str">
        <x:f>IF(AND($A19="",$B19="",$C19=""),"",IF(AND($O19=1,$P19=1),"ครบ", IF($A19="","ขาด ID เอกสาร; ","")&amp;IF(AND($A19&lt;&gt;"",COUNTIF('Quotations'!$A$8:$A$107,$A19)&gt;1),"ID เอกสารซ้ำ; ","")&amp;IF(COUNTIF('Leads'!$A$8:$A$107,$B19)&lt;&gt;1,"ตรวจรหัส Lead; ","")&amp;IF(AND($B19&lt;&gt;"",IFERROR(INDEX('Leads'!$BA$8:$BA$107,MATCH($B19,'Leads'!$A$8:$A$107,0)),0)&lt;&gt;1),"Lead ยังไม่นับผลจริง; ","")&amp;IF(OR($C19="",NOT(ISNUMBER($D19)),NOT(ISNUMBER($E19))),"ขาดเลข/รุ่น/วันส่ง; ","")&amp;IF($J19="","ขาดหลักฐาน; ","")&amp;IF(NOT(OR($I19="Yes",$I19="No")),"เลือก Yes/No; ","")&amp;IF(AND($I19="Yes",COUNTIFS('Quotations'!$B$8:$B$107,$B19,'Quotations'!$C$8:$C$107,$C19,'Quotations'!$I$8:$I$107,"Yes")&gt;1),"ฉบับปัจจุบันซ้อน; ","")&amp;IF(COUNTIFS('Quotations'!$B$8:$B$107,$B19,'Quotations'!$C$8:$C$107,$C19,'Quotations'!$D$8:$D$107,$D19)&gt;1,"เลข/รุ่นซ้ำ; ","")&amp;IF(OR(NOT(ISNUMBER($F19)),$G19="",$H19="",$H19="ไม่ทราบ"),"ตรวจมูลค่า/สกุล/ฐาน VAT; ","")))</x:f>
      </x:c>
      <x:c r="O19" s="42" t="str">
        <x:f>IF(AND($A19="",$B19="",$C19=""),"",IF(AND($A19&lt;&gt;"",COUNTIF('Quotations'!$A$8:$A$107,$A19)=1,COUNTIF('Leads'!$A$8:$A$107,$B19)=1,$L19&lt;&gt;"",IFERROR(INDEX('Leads'!$BA$8:$BA$107,MATCH($B19,'Leads'!$A$8:$A$107,0)),0)=1,$C19&lt;&gt;"",ISNUMBER($D19),$D19&gt;=1,ISNUMBER($E19),$E19&gt;0,OR($I19="Yes",$I19="No"),$J19&lt;&gt;"",COUNTIFS('Quotations'!$B$8:$B$107,$B19,'Quotations'!$C$8:$C$107,$C19,'Quotations'!$D$8:$D$107,$D19)=1,IF($I19="Yes",COUNTIFS('Quotations'!$B$8:$B$107,$B19,'Quotations'!$C$8:$C$107,$C19,'Quotations'!$I$8:$I$107,"Yes")=1,TRUE)),1,0))</x:f>
      </x:c>
      <x:c r="P19" s="42" t="str">
        <x:f>IF($O19="","",IF(AND($O19=1,ISNUMBER($F19),$F19&gt;=0,$G19&lt;&gt;"",OR($H19="รวม VAT",$H19="ไม่รวม VAT")),1,0))</x:f>
      </x:c>
    </x:row>
    <x:row r="20" ht="30" customHeight="1">
      <x:c r="A20" s="96"/>
      <x:c r="B20" s="96"/>
      <x:c r="C20" s="96"/>
      <x:c r="D20" s="36"/>
      <x:c r="E20" s="82"/>
      <x:c r="F20" s="84"/>
      <x:c r="G20" s="36"/>
      <x:c r="H20" s="36"/>
      <x:c r="I20" s="36"/>
      <x:c r="J20" s="96"/>
      <x:c r="K20" s="36"/>
      <x:c r="L20" s="98" t="str">
        <x:f>IF($B20="","",IFERROR(IF(INDEX('Leads'!$AE$8:$AE$107,MATCH($B20,'Leads'!$A$8:$A$107,0))="","",INDEX('Leads'!$AE$8:$AE$107,MATCH($B20,'Leads'!$A$8:$A$107,0))),""))</x:f>
      </x:c>
      <x:c r="M20" s="42" t="str">
        <x:f>IF($B20="","",IFERROR(IF(INDEX('Leads'!$AA$8:$AA$107,MATCH($B20,'Leads'!$A$8:$A$107,0))="","",INDEX('Leads'!$AA$8:$AA$107,MATCH($B20,'Leads'!$A$8:$A$107,0))),""))</x:f>
      </x:c>
      <x:c r="N20" s="42" t="str">
        <x:f>IF(AND($A20="",$B20="",$C20=""),"",IF(AND($O20=1,$P20=1),"ครบ", IF($A20="","ขาด ID เอกสาร; ","")&amp;IF(AND($A20&lt;&gt;"",COUNTIF('Quotations'!$A$8:$A$107,$A20)&gt;1),"ID เอกสารซ้ำ; ","")&amp;IF(COUNTIF('Leads'!$A$8:$A$107,$B20)&lt;&gt;1,"ตรวจรหัส Lead; ","")&amp;IF(AND($B20&lt;&gt;"",IFERROR(INDEX('Leads'!$BA$8:$BA$107,MATCH($B20,'Leads'!$A$8:$A$107,0)),0)&lt;&gt;1),"Lead ยังไม่นับผลจริง; ","")&amp;IF(OR($C20="",NOT(ISNUMBER($D20)),NOT(ISNUMBER($E20))),"ขาดเลข/รุ่น/วันส่ง; ","")&amp;IF($J20="","ขาดหลักฐาน; ","")&amp;IF(NOT(OR($I20="Yes",$I20="No")),"เลือก Yes/No; ","")&amp;IF(AND($I20="Yes",COUNTIFS('Quotations'!$B$8:$B$107,$B20,'Quotations'!$C$8:$C$107,$C20,'Quotations'!$I$8:$I$107,"Yes")&gt;1),"ฉบับปัจจุบันซ้อน; ","")&amp;IF(COUNTIFS('Quotations'!$B$8:$B$107,$B20,'Quotations'!$C$8:$C$107,$C20,'Quotations'!$D$8:$D$107,$D20)&gt;1,"เลข/รุ่นซ้ำ; ","")&amp;IF(OR(NOT(ISNUMBER($F20)),$G20="",$H20="",$H20="ไม่ทราบ"),"ตรวจมูลค่า/สกุล/ฐาน VAT; ","")))</x:f>
      </x:c>
      <x:c r="O20" s="42" t="str">
        <x:f>IF(AND($A20="",$B20="",$C20=""),"",IF(AND($A20&lt;&gt;"",COUNTIF('Quotations'!$A$8:$A$107,$A20)=1,COUNTIF('Leads'!$A$8:$A$107,$B20)=1,$L20&lt;&gt;"",IFERROR(INDEX('Leads'!$BA$8:$BA$107,MATCH($B20,'Leads'!$A$8:$A$107,0)),0)=1,$C20&lt;&gt;"",ISNUMBER($D20),$D20&gt;=1,ISNUMBER($E20),$E20&gt;0,OR($I20="Yes",$I20="No"),$J20&lt;&gt;"",COUNTIFS('Quotations'!$B$8:$B$107,$B20,'Quotations'!$C$8:$C$107,$C20,'Quotations'!$D$8:$D$107,$D20)=1,IF($I20="Yes",COUNTIFS('Quotations'!$B$8:$B$107,$B20,'Quotations'!$C$8:$C$107,$C20,'Quotations'!$I$8:$I$107,"Yes")=1,TRUE)),1,0))</x:f>
      </x:c>
      <x:c r="P20" s="42" t="str">
        <x:f>IF($O20="","",IF(AND($O20=1,ISNUMBER($F20),$F20&gt;=0,$G20&lt;&gt;"",OR($H20="รวม VAT",$H20="ไม่รวม VAT")),1,0))</x:f>
      </x:c>
    </x:row>
    <x:row r="21" ht="30" customHeight="1">
      <x:c r="A21" s="96"/>
      <x:c r="B21" s="96"/>
      <x:c r="C21" s="96"/>
      <x:c r="D21" s="36"/>
      <x:c r="E21" s="82"/>
      <x:c r="F21" s="84"/>
      <x:c r="G21" s="36"/>
      <x:c r="H21" s="36"/>
      <x:c r="I21" s="36"/>
      <x:c r="J21" s="96"/>
      <x:c r="K21" s="36"/>
      <x:c r="L21" s="98" t="str">
        <x:f>IF($B21="","",IFERROR(IF(INDEX('Leads'!$AE$8:$AE$107,MATCH($B21,'Leads'!$A$8:$A$107,0))="","",INDEX('Leads'!$AE$8:$AE$107,MATCH($B21,'Leads'!$A$8:$A$107,0))),""))</x:f>
      </x:c>
      <x:c r="M21" s="42" t="str">
        <x:f>IF($B21="","",IFERROR(IF(INDEX('Leads'!$AA$8:$AA$107,MATCH($B21,'Leads'!$A$8:$A$107,0))="","",INDEX('Leads'!$AA$8:$AA$107,MATCH($B21,'Leads'!$A$8:$A$107,0))),""))</x:f>
      </x:c>
      <x:c r="N21" s="42" t="str">
        <x:f>IF(AND($A21="",$B21="",$C21=""),"",IF(AND($O21=1,$P21=1),"ครบ", IF($A21="","ขาด ID เอกสาร; ","")&amp;IF(AND($A21&lt;&gt;"",COUNTIF('Quotations'!$A$8:$A$107,$A21)&gt;1),"ID เอกสารซ้ำ; ","")&amp;IF(COUNTIF('Leads'!$A$8:$A$107,$B21)&lt;&gt;1,"ตรวจรหัส Lead; ","")&amp;IF(AND($B21&lt;&gt;"",IFERROR(INDEX('Leads'!$BA$8:$BA$107,MATCH($B21,'Leads'!$A$8:$A$107,0)),0)&lt;&gt;1),"Lead ยังไม่นับผลจริง; ","")&amp;IF(OR($C21="",NOT(ISNUMBER($D21)),NOT(ISNUMBER($E21))),"ขาดเลข/รุ่น/วันส่ง; ","")&amp;IF($J21="","ขาดหลักฐาน; ","")&amp;IF(NOT(OR($I21="Yes",$I21="No")),"เลือก Yes/No; ","")&amp;IF(AND($I21="Yes",COUNTIFS('Quotations'!$B$8:$B$107,$B21,'Quotations'!$C$8:$C$107,$C21,'Quotations'!$I$8:$I$107,"Yes")&gt;1),"ฉบับปัจจุบันซ้อน; ","")&amp;IF(COUNTIFS('Quotations'!$B$8:$B$107,$B21,'Quotations'!$C$8:$C$107,$C21,'Quotations'!$D$8:$D$107,$D21)&gt;1,"เลข/รุ่นซ้ำ; ","")&amp;IF(OR(NOT(ISNUMBER($F21)),$G21="",$H21="",$H21="ไม่ทราบ"),"ตรวจมูลค่า/สกุล/ฐาน VAT; ","")))</x:f>
      </x:c>
      <x:c r="O21" s="42" t="str">
        <x:f>IF(AND($A21="",$B21="",$C21=""),"",IF(AND($A21&lt;&gt;"",COUNTIF('Quotations'!$A$8:$A$107,$A21)=1,COUNTIF('Leads'!$A$8:$A$107,$B21)=1,$L21&lt;&gt;"",IFERROR(INDEX('Leads'!$BA$8:$BA$107,MATCH($B21,'Leads'!$A$8:$A$107,0)),0)=1,$C21&lt;&gt;"",ISNUMBER($D21),$D21&gt;=1,ISNUMBER($E21),$E21&gt;0,OR($I21="Yes",$I21="No"),$J21&lt;&gt;"",COUNTIFS('Quotations'!$B$8:$B$107,$B21,'Quotations'!$C$8:$C$107,$C21,'Quotations'!$D$8:$D$107,$D21)=1,IF($I21="Yes",COUNTIFS('Quotations'!$B$8:$B$107,$B21,'Quotations'!$C$8:$C$107,$C21,'Quotations'!$I$8:$I$107,"Yes")=1,TRUE)),1,0))</x:f>
      </x:c>
      <x:c r="P21" s="42" t="str">
        <x:f>IF($O21="","",IF(AND($O21=1,ISNUMBER($F21),$F21&gt;=0,$G21&lt;&gt;"",OR($H21="รวม VAT",$H21="ไม่รวม VAT")),1,0))</x:f>
      </x:c>
    </x:row>
    <x:row r="22" ht="30" customHeight="1">
      <x:c r="A22" s="96"/>
      <x:c r="B22" s="96"/>
      <x:c r="C22" s="96"/>
      <x:c r="D22" s="36"/>
      <x:c r="E22" s="82"/>
      <x:c r="F22" s="84"/>
      <x:c r="G22" s="36"/>
      <x:c r="H22" s="36"/>
      <x:c r="I22" s="36"/>
      <x:c r="J22" s="96"/>
      <x:c r="K22" s="36"/>
      <x:c r="L22" s="98" t="str">
        <x:f>IF($B22="","",IFERROR(IF(INDEX('Leads'!$AE$8:$AE$107,MATCH($B22,'Leads'!$A$8:$A$107,0))="","",INDEX('Leads'!$AE$8:$AE$107,MATCH($B22,'Leads'!$A$8:$A$107,0))),""))</x:f>
      </x:c>
      <x:c r="M22" s="42" t="str">
        <x:f>IF($B22="","",IFERROR(IF(INDEX('Leads'!$AA$8:$AA$107,MATCH($B22,'Leads'!$A$8:$A$107,0))="","",INDEX('Leads'!$AA$8:$AA$107,MATCH($B22,'Leads'!$A$8:$A$107,0))),""))</x:f>
      </x:c>
      <x:c r="N22" s="42" t="str">
        <x:f>IF(AND($A22="",$B22="",$C22=""),"",IF(AND($O22=1,$P22=1),"ครบ", IF($A22="","ขาด ID เอกสาร; ","")&amp;IF(AND($A22&lt;&gt;"",COUNTIF('Quotations'!$A$8:$A$107,$A22)&gt;1),"ID เอกสารซ้ำ; ","")&amp;IF(COUNTIF('Leads'!$A$8:$A$107,$B22)&lt;&gt;1,"ตรวจรหัส Lead; ","")&amp;IF(AND($B22&lt;&gt;"",IFERROR(INDEX('Leads'!$BA$8:$BA$107,MATCH($B22,'Leads'!$A$8:$A$107,0)),0)&lt;&gt;1),"Lead ยังไม่นับผลจริง; ","")&amp;IF(OR($C22="",NOT(ISNUMBER($D22)),NOT(ISNUMBER($E22))),"ขาดเลข/รุ่น/วันส่ง; ","")&amp;IF($J22="","ขาดหลักฐาน; ","")&amp;IF(NOT(OR($I22="Yes",$I22="No")),"เลือก Yes/No; ","")&amp;IF(AND($I22="Yes",COUNTIFS('Quotations'!$B$8:$B$107,$B22,'Quotations'!$C$8:$C$107,$C22,'Quotations'!$I$8:$I$107,"Yes")&gt;1),"ฉบับปัจจุบันซ้อน; ","")&amp;IF(COUNTIFS('Quotations'!$B$8:$B$107,$B22,'Quotations'!$C$8:$C$107,$C22,'Quotations'!$D$8:$D$107,$D22)&gt;1,"เลข/รุ่นซ้ำ; ","")&amp;IF(OR(NOT(ISNUMBER($F22)),$G22="",$H22="",$H22="ไม่ทราบ"),"ตรวจมูลค่า/สกุล/ฐาน VAT; ","")))</x:f>
      </x:c>
      <x:c r="O22" s="42" t="str">
        <x:f>IF(AND($A22="",$B22="",$C22=""),"",IF(AND($A22&lt;&gt;"",COUNTIF('Quotations'!$A$8:$A$107,$A22)=1,COUNTIF('Leads'!$A$8:$A$107,$B22)=1,$L22&lt;&gt;"",IFERROR(INDEX('Leads'!$BA$8:$BA$107,MATCH($B22,'Leads'!$A$8:$A$107,0)),0)=1,$C22&lt;&gt;"",ISNUMBER($D22),$D22&gt;=1,ISNUMBER($E22),$E22&gt;0,OR($I22="Yes",$I22="No"),$J22&lt;&gt;"",COUNTIFS('Quotations'!$B$8:$B$107,$B22,'Quotations'!$C$8:$C$107,$C22,'Quotations'!$D$8:$D$107,$D22)=1,IF($I22="Yes",COUNTIFS('Quotations'!$B$8:$B$107,$B22,'Quotations'!$C$8:$C$107,$C22,'Quotations'!$I$8:$I$107,"Yes")=1,TRUE)),1,0))</x:f>
      </x:c>
      <x:c r="P22" s="42" t="str">
        <x:f>IF($O22="","",IF(AND($O22=1,ISNUMBER($F22),$F22&gt;=0,$G22&lt;&gt;"",OR($H22="รวม VAT",$H22="ไม่รวม VAT")),1,0))</x:f>
      </x:c>
    </x:row>
    <x:row r="23" ht="30" customHeight="1">
      <x:c r="A23" s="96"/>
      <x:c r="B23" s="96"/>
      <x:c r="C23" s="96"/>
      <x:c r="D23" s="36"/>
      <x:c r="E23" s="82"/>
      <x:c r="F23" s="84"/>
      <x:c r="G23" s="36"/>
      <x:c r="H23" s="36"/>
      <x:c r="I23" s="36"/>
      <x:c r="J23" s="96"/>
      <x:c r="K23" s="36"/>
      <x:c r="L23" s="98" t="str">
        <x:f>IF($B23="","",IFERROR(IF(INDEX('Leads'!$AE$8:$AE$107,MATCH($B23,'Leads'!$A$8:$A$107,0))="","",INDEX('Leads'!$AE$8:$AE$107,MATCH($B23,'Leads'!$A$8:$A$107,0))),""))</x:f>
      </x:c>
      <x:c r="M23" s="42" t="str">
        <x:f>IF($B23="","",IFERROR(IF(INDEX('Leads'!$AA$8:$AA$107,MATCH($B23,'Leads'!$A$8:$A$107,0))="","",INDEX('Leads'!$AA$8:$AA$107,MATCH($B23,'Leads'!$A$8:$A$107,0))),""))</x:f>
      </x:c>
      <x:c r="N23" s="42" t="str">
        <x:f>IF(AND($A23="",$B23="",$C23=""),"",IF(AND($O23=1,$P23=1),"ครบ", IF($A23="","ขาด ID เอกสาร; ","")&amp;IF(AND($A23&lt;&gt;"",COUNTIF('Quotations'!$A$8:$A$107,$A23)&gt;1),"ID เอกสารซ้ำ; ","")&amp;IF(COUNTIF('Leads'!$A$8:$A$107,$B23)&lt;&gt;1,"ตรวจรหัส Lead; ","")&amp;IF(AND($B23&lt;&gt;"",IFERROR(INDEX('Leads'!$BA$8:$BA$107,MATCH($B23,'Leads'!$A$8:$A$107,0)),0)&lt;&gt;1),"Lead ยังไม่นับผลจริง; ","")&amp;IF(OR($C23="",NOT(ISNUMBER($D23)),NOT(ISNUMBER($E23))),"ขาดเลข/รุ่น/วันส่ง; ","")&amp;IF($J23="","ขาดหลักฐาน; ","")&amp;IF(NOT(OR($I23="Yes",$I23="No")),"เลือก Yes/No; ","")&amp;IF(AND($I23="Yes",COUNTIFS('Quotations'!$B$8:$B$107,$B23,'Quotations'!$C$8:$C$107,$C23,'Quotations'!$I$8:$I$107,"Yes")&gt;1),"ฉบับปัจจุบันซ้อน; ","")&amp;IF(COUNTIFS('Quotations'!$B$8:$B$107,$B23,'Quotations'!$C$8:$C$107,$C23,'Quotations'!$D$8:$D$107,$D23)&gt;1,"เลข/รุ่นซ้ำ; ","")&amp;IF(OR(NOT(ISNUMBER($F23)),$G23="",$H23="",$H23="ไม่ทราบ"),"ตรวจมูลค่า/สกุล/ฐาน VAT; ","")))</x:f>
      </x:c>
      <x:c r="O23" s="42" t="str">
        <x:f>IF(AND($A23="",$B23="",$C23=""),"",IF(AND($A23&lt;&gt;"",COUNTIF('Quotations'!$A$8:$A$107,$A23)=1,COUNTIF('Leads'!$A$8:$A$107,$B23)=1,$L23&lt;&gt;"",IFERROR(INDEX('Leads'!$BA$8:$BA$107,MATCH($B23,'Leads'!$A$8:$A$107,0)),0)=1,$C23&lt;&gt;"",ISNUMBER($D23),$D23&gt;=1,ISNUMBER($E23),$E23&gt;0,OR($I23="Yes",$I23="No"),$J23&lt;&gt;"",COUNTIFS('Quotations'!$B$8:$B$107,$B23,'Quotations'!$C$8:$C$107,$C23,'Quotations'!$D$8:$D$107,$D23)=1,IF($I23="Yes",COUNTIFS('Quotations'!$B$8:$B$107,$B23,'Quotations'!$C$8:$C$107,$C23,'Quotations'!$I$8:$I$107,"Yes")=1,TRUE)),1,0))</x:f>
      </x:c>
      <x:c r="P23" s="42" t="str">
        <x:f>IF($O23="","",IF(AND($O23=1,ISNUMBER($F23),$F23&gt;=0,$G23&lt;&gt;"",OR($H23="รวม VAT",$H23="ไม่รวม VAT")),1,0))</x:f>
      </x:c>
    </x:row>
    <x:row r="24" ht="30" customHeight="1">
      <x:c r="A24" s="96"/>
      <x:c r="B24" s="96"/>
      <x:c r="C24" s="96"/>
      <x:c r="D24" s="36"/>
      <x:c r="E24" s="82"/>
      <x:c r="F24" s="84"/>
      <x:c r="G24" s="36"/>
      <x:c r="H24" s="36"/>
      <x:c r="I24" s="36"/>
      <x:c r="J24" s="96"/>
      <x:c r="K24" s="36"/>
      <x:c r="L24" s="98" t="str">
        <x:f>IF($B24="","",IFERROR(IF(INDEX('Leads'!$AE$8:$AE$107,MATCH($B24,'Leads'!$A$8:$A$107,0))="","",INDEX('Leads'!$AE$8:$AE$107,MATCH($B24,'Leads'!$A$8:$A$107,0))),""))</x:f>
      </x:c>
      <x:c r="M24" s="42" t="str">
        <x:f>IF($B24="","",IFERROR(IF(INDEX('Leads'!$AA$8:$AA$107,MATCH($B24,'Leads'!$A$8:$A$107,0))="","",INDEX('Leads'!$AA$8:$AA$107,MATCH($B24,'Leads'!$A$8:$A$107,0))),""))</x:f>
      </x:c>
      <x:c r="N24" s="42" t="str">
        <x:f>IF(AND($A24="",$B24="",$C24=""),"",IF(AND($O24=1,$P24=1),"ครบ", IF($A24="","ขาด ID เอกสาร; ","")&amp;IF(AND($A24&lt;&gt;"",COUNTIF('Quotations'!$A$8:$A$107,$A24)&gt;1),"ID เอกสารซ้ำ; ","")&amp;IF(COUNTIF('Leads'!$A$8:$A$107,$B24)&lt;&gt;1,"ตรวจรหัส Lead; ","")&amp;IF(AND($B24&lt;&gt;"",IFERROR(INDEX('Leads'!$BA$8:$BA$107,MATCH($B24,'Leads'!$A$8:$A$107,0)),0)&lt;&gt;1),"Lead ยังไม่นับผลจริง; ","")&amp;IF(OR($C24="",NOT(ISNUMBER($D24)),NOT(ISNUMBER($E24))),"ขาดเลข/รุ่น/วันส่ง; ","")&amp;IF($J24="","ขาดหลักฐาน; ","")&amp;IF(NOT(OR($I24="Yes",$I24="No")),"เลือก Yes/No; ","")&amp;IF(AND($I24="Yes",COUNTIFS('Quotations'!$B$8:$B$107,$B24,'Quotations'!$C$8:$C$107,$C24,'Quotations'!$I$8:$I$107,"Yes")&gt;1),"ฉบับปัจจุบันซ้อน; ","")&amp;IF(COUNTIFS('Quotations'!$B$8:$B$107,$B24,'Quotations'!$C$8:$C$107,$C24,'Quotations'!$D$8:$D$107,$D24)&gt;1,"เลข/รุ่นซ้ำ; ","")&amp;IF(OR(NOT(ISNUMBER($F24)),$G24="",$H24="",$H24="ไม่ทราบ"),"ตรวจมูลค่า/สกุล/ฐาน VAT; ","")))</x:f>
      </x:c>
      <x:c r="O24" s="42" t="str">
        <x:f>IF(AND($A24="",$B24="",$C24=""),"",IF(AND($A24&lt;&gt;"",COUNTIF('Quotations'!$A$8:$A$107,$A24)=1,COUNTIF('Leads'!$A$8:$A$107,$B24)=1,$L24&lt;&gt;"",IFERROR(INDEX('Leads'!$BA$8:$BA$107,MATCH($B24,'Leads'!$A$8:$A$107,0)),0)=1,$C24&lt;&gt;"",ISNUMBER($D24),$D24&gt;=1,ISNUMBER($E24),$E24&gt;0,OR($I24="Yes",$I24="No"),$J24&lt;&gt;"",COUNTIFS('Quotations'!$B$8:$B$107,$B24,'Quotations'!$C$8:$C$107,$C24,'Quotations'!$D$8:$D$107,$D24)=1,IF($I24="Yes",COUNTIFS('Quotations'!$B$8:$B$107,$B24,'Quotations'!$C$8:$C$107,$C24,'Quotations'!$I$8:$I$107,"Yes")=1,TRUE)),1,0))</x:f>
      </x:c>
      <x:c r="P24" s="42" t="str">
        <x:f>IF($O24="","",IF(AND($O24=1,ISNUMBER($F24),$F24&gt;=0,$G24&lt;&gt;"",OR($H24="รวม VAT",$H24="ไม่รวม VAT")),1,0))</x:f>
      </x:c>
    </x:row>
    <x:row r="25" ht="30" customHeight="1">
      <x:c r="A25" s="96"/>
      <x:c r="B25" s="96"/>
      <x:c r="C25" s="96"/>
      <x:c r="D25" s="36"/>
      <x:c r="E25" s="82"/>
      <x:c r="F25" s="84"/>
      <x:c r="G25" s="36"/>
      <x:c r="H25" s="36"/>
      <x:c r="I25" s="36"/>
      <x:c r="J25" s="96"/>
      <x:c r="K25" s="36"/>
      <x:c r="L25" s="98" t="str">
        <x:f>IF($B25="","",IFERROR(IF(INDEX('Leads'!$AE$8:$AE$107,MATCH($B25,'Leads'!$A$8:$A$107,0))="","",INDEX('Leads'!$AE$8:$AE$107,MATCH($B25,'Leads'!$A$8:$A$107,0))),""))</x:f>
      </x:c>
      <x:c r="M25" s="42" t="str">
        <x:f>IF($B25="","",IFERROR(IF(INDEX('Leads'!$AA$8:$AA$107,MATCH($B25,'Leads'!$A$8:$A$107,0))="","",INDEX('Leads'!$AA$8:$AA$107,MATCH($B25,'Leads'!$A$8:$A$107,0))),""))</x:f>
      </x:c>
      <x:c r="N25" s="42" t="str">
        <x:f>IF(AND($A25="",$B25="",$C25=""),"",IF(AND($O25=1,$P25=1),"ครบ", IF($A25="","ขาด ID เอกสาร; ","")&amp;IF(AND($A25&lt;&gt;"",COUNTIF('Quotations'!$A$8:$A$107,$A25)&gt;1),"ID เอกสารซ้ำ; ","")&amp;IF(COUNTIF('Leads'!$A$8:$A$107,$B25)&lt;&gt;1,"ตรวจรหัส Lead; ","")&amp;IF(AND($B25&lt;&gt;"",IFERROR(INDEX('Leads'!$BA$8:$BA$107,MATCH($B25,'Leads'!$A$8:$A$107,0)),0)&lt;&gt;1),"Lead ยังไม่นับผลจริง; ","")&amp;IF(OR($C25="",NOT(ISNUMBER($D25)),NOT(ISNUMBER($E25))),"ขาดเลข/รุ่น/วันส่ง; ","")&amp;IF($J25="","ขาดหลักฐาน; ","")&amp;IF(NOT(OR($I25="Yes",$I25="No")),"เลือก Yes/No; ","")&amp;IF(AND($I25="Yes",COUNTIFS('Quotations'!$B$8:$B$107,$B25,'Quotations'!$C$8:$C$107,$C25,'Quotations'!$I$8:$I$107,"Yes")&gt;1),"ฉบับปัจจุบันซ้อน; ","")&amp;IF(COUNTIFS('Quotations'!$B$8:$B$107,$B25,'Quotations'!$C$8:$C$107,$C25,'Quotations'!$D$8:$D$107,$D25)&gt;1,"เลข/รุ่นซ้ำ; ","")&amp;IF(OR(NOT(ISNUMBER($F25)),$G25="",$H25="",$H25="ไม่ทราบ"),"ตรวจมูลค่า/สกุล/ฐาน VAT; ","")))</x:f>
      </x:c>
      <x:c r="O25" s="42" t="str">
        <x:f>IF(AND($A25="",$B25="",$C25=""),"",IF(AND($A25&lt;&gt;"",COUNTIF('Quotations'!$A$8:$A$107,$A25)=1,COUNTIF('Leads'!$A$8:$A$107,$B25)=1,$L25&lt;&gt;"",IFERROR(INDEX('Leads'!$BA$8:$BA$107,MATCH($B25,'Leads'!$A$8:$A$107,0)),0)=1,$C25&lt;&gt;"",ISNUMBER($D25),$D25&gt;=1,ISNUMBER($E25),$E25&gt;0,OR($I25="Yes",$I25="No"),$J25&lt;&gt;"",COUNTIFS('Quotations'!$B$8:$B$107,$B25,'Quotations'!$C$8:$C$107,$C25,'Quotations'!$D$8:$D$107,$D25)=1,IF($I25="Yes",COUNTIFS('Quotations'!$B$8:$B$107,$B25,'Quotations'!$C$8:$C$107,$C25,'Quotations'!$I$8:$I$107,"Yes")=1,TRUE)),1,0))</x:f>
      </x:c>
      <x:c r="P25" s="42" t="str">
        <x:f>IF($O25="","",IF(AND($O25=1,ISNUMBER($F25),$F25&gt;=0,$G25&lt;&gt;"",OR($H25="รวม VAT",$H25="ไม่รวม VAT")),1,0))</x:f>
      </x:c>
    </x:row>
    <x:row r="26" ht="30" customHeight="1">
      <x:c r="A26" s="96"/>
      <x:c r="B26" s="96"/>
      <x:c r="C26" s="96"/>
      <x:c r="D26" s="36"/>
      <x:c r="E26" s="82"/>
      <x:c r="F26" s="84"/>
      <x:c r="G26" s="36"/>
      <x:c r="H26" s="36"/>
      <x:c r="I26" s="36"/>
      <x:c r="J26" s="96"/>
      <x:c r="K26" s="36"/>
      <x:c r="L26" s="98" t="str">
        <x:f>IF($B26="","",IFERROR(IF(INDEX('Leads'!$AE$8:$AE$107,MATCH($B26,'Leads'!$A$8:$A$107,0))="","",INDEX('Leads'!$AE$8:$AE$107,MATCH($B26,'Leads'!$A$8:$A$107,0))),""))</x:f>
      </x:c>
      <x:c r="M26" s="42" t="str">
        <x:f>IF($B26="","",IFERROR(IF(INDEX('Leads'!$AA$8:$AA$107,MATCH($B26,'Leads'!$A$8:$A$107,0))="","",INDEX('Leads'!$AA$8:$AA$107,MATCH($B26,'Leads'!$A$8:$A$107,0))),""))</x:f>
      </x:c>
      <x:c r="N26" s="42" t="str">
        <x:f>IF(AND($A26="",$B26="",$C26=""),"",IF(AND($O26=1,$P26=1),"ครบ", IF($A26="","ขาด ID เอกสาร; ","")&amp;IF(AND($A26&lt;&gt;"",COUNTIF('Quotations'!$A$8:$A$107,$A26)&gt;1),"ID เอกสารซ้ำ; ","")&amp;IF(COUNTIF('Leads'!$A$8:$A$107,$B26)&lt;&gt;1,"ตรวจรหัส Lead; ","")&amp;IF(AND($B26&lt;&gt;"",IFERROR(INDEX('Leads'!$BA$8:$BA$107,MATCH($B26,'Leads'!$A$8:$A$107,0)),0)&lt;&gt;1),"Lead ยังไม่นับผลจริง; ","")&amp;IF(OR($C26="",NOT(ISNUMBER($D26)),NOT(ISNUMBER($E26))),"ขาดเลข/รุ่น/วันส่ง; ","")&amp;IF($J26="","ขาดหลักฐาน; ","")&amp;IF(NOT(OR($I26="Yes",$I26="No")),"เลือก Yes/No; ","")&amp;IF(AND($I26="Yes",COUNTIFS('Quotations'!$B$8:$B$107,$B26,'Quotations'!$C$8:$C$107,$C26,'Quotations'!$I$8:$I$107,"Yes")&gt;1),"ฉบับปัจจุบันซ้อน; ","")&amp;IF(COUNTIFS('Quotations'!$B$8:$B$107,$B26,'Quotations'!$C$8:$C$107,$C26,'Quotations'!$D$8:$D$107,$D26)&gt;1,"เลข/รุ่นซ้ำ; ","")&amp;IF(OR(NOT(ISNUMBER($F26)),$G26="",$H26="",$H26="ไม่ทราบ"),"ตรวจมูลค่า/สกุล/ฐาน VAT; ","")))</x:f>
      </x:c>
      <x:c r="O26" s="42" t="str">
        <x:f>IF(AND($A26="",$B26="",$C26=""),"",IF(AND($A26&lt;&gt;"",COUNTIF('Quotations'!$A$8:$A$107,$A26)=1,COUNTIF('Leads'!$A$8:$A$107,$B26)=1,$L26&lt;&gt;"",IFERROR(INDEX('Leads'!$BA$8:$BA$107,MATCH($B26,'Leads'!$A$8:$A$107,0)),0)=1,$C26&lt;&gt;"",ISNUMBER($D26),$D26&gt;=1,ISNUMBER($E26),$E26&gt;0,OR($I26="Yes",$I26="No"),$J26&lt;&gt;"",COUNTIFS('Quotations'!$B$8:$B$107,$B26,'Quotations'!$C$8:$C$107,$C26,'Quotations'!$D$8:$D$107,$D26)=1,IF($I26="Yes",COUNTIFS('Quotations'!$B$8:$B$107,$B26,'Quotations'!$C$8:$C$107,$C26,'Quotations'!$I$8:$I$107,"Yes")=1,TRUE)),1,0))</x:f>
      </x:c>
      <x:c r="P26" s="42" t="str">
        <x:f>IF($O26="","",IF(AND($O26=1,ISNUMBER($F26),$F26&gt;=0,$G26&lt;&gt;"",OR($H26="รวม VAT",$H26="ไม่รวม VAT")),1,0))</x:f>
      </x:c>
    </x:row>
    <x:row r="27" ht="30" customHeight="1">
      <x:c r="A27" s="96"/>
      <x:c r="B27" s="96"/>
      <x:c r="C27" s="96"/>
      <x:c r="D27" s="36"/>
      <x:c r="E27" s="82"/>
      <x:c r="F27" s="84"/>
      <x:c r="G27" s="36"/>
      <x:c r="H27" s="36"/>
      <x:c r="I27" s="36"/>
      <x:c r="J27" s="96"/>
      <x:c r="K27" s="36"/>
      <x:c r="L27" s="98" t="str">
        <x:f>IF($B27="","",IFERROR(IF(INDEX('Leads'!$AE$8:$AE$107,MATCH($B27,'Leads'!$A$8:$A$107,0))="","",INDEX('Leads'!$AE$8:$AE$107,MATCH($B27,'Leads'!$A$8:$A$107,0))),""))</x:f>
      </x:c>
      <x:c r="M27" s="42" t="str">
        <x:f>IF($B27="","",IFERROR(IF(INDEX('Leads'!$AA$8:$AA$107,MATCH($B27,'Leads'!$A$8:$A$107,0))="","",INDEX('Leads'!$AA$8:$AA$107,MATCH($B27,'Leads'!$A$8:$A$107,0))),""))</x:f>
      </x:c>
      <x:c r="N27" s="42" t="str">
        <x:f>IF(AND($A27="",$B27="",$C27=""),"",IF(AND($O27=1,$P27=1),"ครบ", IF($A27="","ขาด ID เอกสาร; ","")&amp;IF(AND($A27&lt;&gt;"",COUNTIF('Quotations'!$A$8:$A$107,$A27)&gt;1),"ID เอกสารซ้ำ; ","")&amp;IF(COUNTIF('Leads'!$A$8:$A$107,$B27)&lt;&gt;1,"ตรวจรหัส Lead; ","")&amp;IF(AND($B27&lt;&gt;"",IFERROR(INDEX('Leads'!$BA$8:$BA$107,MATCH($B27,'Leads'!$A$8:$A$107,0)),0)&lt;&gt;1),"Lead ยังไม่นับผลจริง; ","")&amp;IF(OR($C27="",NOT(ISNUMBER($D27)),NOT(ISNUMBER($E27))),"ขาดเลข/รุ่น/วันส่ง; ","")&amp;IF($J27="","ขาดหลักฐาน; ","")&amp;IF(NOT(OR($I27="Yes",$I27="No")),"เลือก Yes/No; ","")&amp;IF(AND($I27="Yes",COUNTIFS('Quotations'!$B$8:$B$107,$B27,'Quotations'!$C$8:$C$107,$C27,'Quotations'!$I$8:$I$107,"Yes")&gt;1),"ฉบับปัจจุบันซ้อน; ","")&amp;IF(COUNTIFS('Quotations'!$B$8:$B$107,$B27,'Quotations'!$C$8:$C$107,$C27,'Quotations'!$D$8:$D$107,$D27)&gt;1,"เลข/รุ่นซ้ำ; ","")&amp;IF(OR(NOT(ISNUMBER($F27)),$G27="",$H27="",$H27="ไม่ทราบ"),"ตรวจมูลค่า/สกุล/ฐาน VAT; ","")))</x:f>
      </x:c>
      <x:c r="O27" s="42" t="str">
        <x:f>IF(AND($A27="",$B27="",$C27=""),"",IF(AND($A27&lt;&gt;"",COUNTIF('Quotations'!$A$8:$A$107,$A27)=1,COUNTIF('Leads'!$A$8:$A$107,$B27)=1,$L27&lt;&gt;"",IFERROR(INDEX('Leads'!$BA$8:$BA$107,MATCH($B27,'Leads'!$A$8:$A$107,0)),0)=1,$C27&lt;&gt;"",ISNUMBER($D27),$D27&gt;=1,ISNUMBER($E27),$E27&gt;0,OR($I27="Yes",$I27="No"),$J27&lt;&gt;"",COUNTIFS('Quotations'!$B$8:$B$107,$B27,'Quotations'!$C$8:$C$107,$C27,'Quotations'!$D$8:$D$107,$D27)=1,IF($I27="Yes",COUNTIFS('Quotations'!$B$8:$B$107,$B27,'Quotations'!$C$8:$C$107,$C27,'Quotations'!$I$8:$I$107,"Yes")=1,TRUE)),1,0))</x:f>
      </x:c>
      <x:c r="P27" s="42" t="str">
        <x:f>IF($O27="","",IF(AND($O27=1,ISNUMBER($F27),$F27&gt;=0,$G27&lt;&gt;"",OR($H27="รวม VAT",$H27="ไม่รวม VAT")),1,0))</x:f>
      </x:c>
    </x:row>
    <x:row r="28" ht="30" customHeight="1">
      <x:c r="A28" s="96"/>
      <x:c r="B28" s="96"/>
      <x:c r="C28" s="96"/>
      <x:c r="D28" s="36"/>
      <x:c r="E28" s="82"/>
      <x:c r="F28" s="84"/>
      <x:c r="G28" s="36"/>
      <x:c r="H28" s="36"/>
      <x:c r="I28" s="36"/>
      <x:c r="J28" s="96"/>
      <x:c r="K28" s="36"/>
      <x:c r="L28" s="98" t="str">
        <x:f>IF($B28="","",IFERROR(IF(INDEX('Leads'!$AE$8:$AE$107,MATCH($B28,'Leads'!$A$8:$A$107,0))="","",INDEX('Leads'!$AE$8:$AE$107,MATCH($B28,'Leads'!$A$8:$A$107,0))),""))</x:f>
      </x:c>
      <x:c r="M28" s="42" t="str">
        <x:f>IF($B28="","",IFERROR(IF(INDEX('Leads'!$AA$8:$AA$107,MATCH($B28,'Leads'!$A$8:$A$107,0))="","",INDEX('Leads'!$AA$8:$AA$107,MATCH($B28,'Leads'!$A$8:$A$107,0))),""))</x:f>
      </x:c>
      <x:c r="N28" s="42" t="str">
        <x:f>IF(AND($A28="",$B28="",$C28=""),"",IF(AND($O28=1,$P28=1),"ครบ", IF($A28="","ขาด ID เอกสาร; ","")&amp;IF(AND($A28&lt;&gt;"",COUNTIF('Quotations'!$A$8:$A$107,$A28)&gt;1),"ID เอกสารซ้ำ; ","")&amp;IF(COUNTIF('Leads'!$A$8:$A$107,$B28)&lt;&gt;1,"ตรวจรหัส Lead; ","")&amp;IF(AND($B28&lt;&gt;"",IFERROR(INDEX('Leads'!$BA$8:$BA$107,MATCH($B28,'Leads'!$A$8:$A$107,0)),0)&lt;&gt;1),"Lead ยังไม่นับผลจริง; ","")&amp;IF(OR($C28="",NOT(ISNUMBER($D28)),NOT(ISNUMBER($E28))),"ขาดเลข/รุ่น/วันส่ง; ","")&amp;IF($J28="","ขาดหลักฐาน; ","")&amp;IF(NOT(OR($I28="Yes",$I28="No")),"เลือก Yes/No; ","")&amp;IF(AND($I28="Yes",COUNTIFS('Quotations'!$B$8:$B$107,$B28,'Quotations'!$C$8:$C$107,$C28,'Quotations'!$I$8:$I$107,"Yes")&gt;1),"ฉบับปัจจุบันซ้อน; ","")&amp;IF(COUNTIFS('Quotations'!$B$8:$B$107,$B28,'Quotations'!$C$8:$C$107,$C28,'Quotations'!$D$8:$D$107,$D28)&gt;1,"เลข/รุ่นซ้ำ; ","")&amp;IF(OR(NOT(ISNUMBER($F28)),$G28="",$H28="",$H28="ไม่ทราบ"),"ตรวจมูลค่า/สกุล/ฐาน VAT; ","")))</x:f>
      </x:c>
      <x:c r="O28" s="42" t="str">
        <x:f>IF(AND($A28="",$B28="",$C28=""),"",IF(AND($A28&lt;&gt;"",COUNTIF('Quotations'!$A$8:$A$107,$A28)=1,COUNTIF('Leads'!$A$8:$A$107,$B28)=1,$L28&lt;&gt;"",IFERROR(INDEX('Leads'!$BA$8:$BA$107,MATCH($B28,'Leads'!$A$8:$A$107,0)),0)=1,$C28&lt;&gt;"",ISNUMBER($D28),$D28&gt;=1,ISNUMBER($E28),$E28&gt;0,OR($I28="Yes",$I28="No"),$J28&lt;&gt;"",COUNTIFS('Quotations'!$B$8:$B$107,$B28,'Quotations'!$C$8:$C$107,$C28,'Quotations'!$D$8:$D$107,$D28)=1,IF($I28="Yes",COUNTIFS('Quotations'!$B$8:$B$107,$B28,'Quotations'!$C$8:$C$107,$C28,'Quotations'!$I$8:$I$107,"Yes")=1,TRUE)),1,0))</x:f>
      </x:c>
      <x:c r="P28" s="42" t="str">
        <x:f>IF($O28="","",IF(AND($O28=1,ISNUMBER($F28),$F28&gt;=0,$G28&lt;&gt;"",OR($H28="รวม VAT",$H28="ไม่รวม VAT")),1,0))</x:f>
      </x:c>
    </x:row>
    <x:row r="29" ht="30" customHeight="1">
      <x:c r="A29" s="96"/>
      <x:c r="B29" s="96"/>
      <x:c r="C29" s="96"/>
      <x:c r="D29" s="36"/>
      <x:c r="E29" s="82"/>
      <x:c r="F29" s="84"/>
      <x:c r="G29" s="36"/>
      <x:c r="H29" s="36"/>
      <x:c r="I29" s="36"/>
      <x:c r="J29" s="96"/>
      <x:c r="K29" s="36"/>
      <x:c r="L29" s="98" t="str">
        <x:f>IF($B29="","",IFERROR(IF(INDEX('Leads'!$AE$8:$AE$107,MATCH($B29,'Leads'!$A$8:$A$107,0))="","",INDEX('Leads'!$AE$8:$AE$107,MATCH($B29,'Leads'!$A$8:$A$107,0))),""))</x:f>
      </x:c>
      <x:c r="M29" s="42" t="str">
        <x:f>IF($B29="","",IFERROR(IF(INDEX('Leads'!$AA$8:$AA$107,MATCH($B29,'Leads'!$A$8:$A$107,0))="","",INDEX('Leads'!$AA$8:$AA$107,MATCH($B29,'Leads'!$A$8:$A$107,0))),""))</x:f>
      </x:c>
      <x:c r="N29" s="42" t="str">
        <x:f>IF(AND($A29="",$B29="",$C29=""),"",IF(AND($O29=1,$P29=1),"ครบ", IF($A29="","ขาด ID เอกสาร; ","")&amp;IF(AND($A29&lt;&gt;"",COUNTIF('Quotations'!$A$8:$A$107,$A29)&gt;1),"ID เอกสารซ้ำ; ","")&amp;IF(COUNTIF('Leads'!$A$8:$A$107,$B29)&lt;&gt;1,"ตรวจรหัส Lead; ","")&amp;IF(AND($B29&lt;&gt;"",IFERROR(INDEX('Leads'!$BA$8:$BA$107,MATCH($B29,'Leads'!$A$8:$A$107,0)),0)&lt;&gt;1),"Lead ยังไม่นับผลจริง; ","")&amp;IF(OR($C29="",NOT(ISNUMBER($D29)),NOT(ISNUMBER($E29))),"ขาดเลข/รุ่น/วันส่ง; ","")&amp;IF($J29="","ขาดหลักฐาน; ","")&amp;IF(NOT(OR($I29="Yes",$I29="No")),"เลือก Yes/No; ","")&amp;IF(AND($I29="Yes",COUNTIFS('Quotations'!$B$8:$B$107,$B29,'Quotations'!$C$8:$C$107,$C29,'Quotations'!$I$8:$I$107,"Yes")&gt;1),"ฉบับปัจจุบันซ้อน; ","")&amp;IF(COUNTIFS('Quotations'!$B$8:$B$107,$B29,'Quotations'!$C$8:$C$107,$C29,'Quotations'!$D$8:$D$107,$D29)&gt;1,"เลข/รุ่นซ้ำ; ","")&amp;IF(OR(NOT(ISNUMBER($F29)),$G29="",$H29="",$H29="ไม่ทราบ"),"ตรวจมูลค่า/สกุล/ฐาน VAT; ","")))</x:f>
      </x:c>
      <x:c r="O29" s="42" t="str">
        <x:f>IF(AND($A29="",$B29="",$C29=""),"",IF(AND($A29&lt;&gt;"",COUNTIF('Quotations'!$A$8:$A$107,$A29)=1,COUNTIF('Leads'!$A$8:$A$107,$B29)=1,$L29&lt;&gt;"",IFERROR(INDEX('Leads'!$BA$8:$BA$107,MATCH($B29,'Leads'!$A$8:$A$107,0)),0)=1,$C29&lt;&gt;"",ISNUMBER($D29),$D29&gt;=1,ISNUMBER($E29),$E29&gt;0,OR($I29="Yes",$I29="No"),$J29&lt;&gt;"",COUNTIFS('Quotations'!$B$8:$B$107,$B29,'Quotations'!$C$8:$C$107,$C29,'Quotations'!$D$8:$D$107,$D29)=1,IF($I29="Yes",COUNTIFS('Quotations'!$B$8:$B$107,$B29,'Quotations'!$C$8:$C$107,$C29,'Quotations'!$I$8:$I$107,"Yes")=1,TRUE)),1,0))</x:f>
      </x:c>
      <x:c r="P29" s="42" t="str">
        <x:f>IF($O29="","",IF(AND($O29=1,ISNUMBER($F29),$F29&gt;=0,$G29&lt;&gt;"",OR($H29="รวม VAT",$H29="ไม่รวม VAT")),1,0))</x:f>
      </x:c>
    </x:row>
    <x:row r="30" ht="30" customHeight="1">
      <x:c r="A30" s="96"/>
      <x:c r="B30" s="96"/>
      <x:c r="C30" s="96"/>
      <x:c r="D30" s="36"/>
      <x:c r="E30" s="82"/>
      <x:c r="F30" s="84"/>
      <x:c r="G30" s="36"/>
      <x:c r="H30" s="36"/>
      <x:c r="I30" s="36"/>
      <x:c r="J30" s="96"/>
      <x:c r="K30" s="36"/>
      <x:c r="L30" s="98" t="str">
        <x:f>IF($B30="","",IFERROR(IF(INDEX('Leads'!$AE$8:$AE$107,MATCH($B30,'Leads'!$A$8:$A$107,0))="","",INDEX('Leads'!$AE$8:$AE$107,MATCH($B30,'Leads'!$A$8:$A$107,0))),""))</x:f>
      </x:c>
      <x:c r="M30" s="42" t="str">
        <x:f>IF($B30="","",IFERROR(IF(INDEX('Leads'!$AA$8:$AA$107,MATCH($B30,'Leads'!$A$8:$A$107,0))="","",INDEX('Leads'!$AA$8:$AA$107,MATCH($B30,'Leads'!$A$8:$A$107,0))),""))</x:f>
      </x:c>
      <x:c r="N30" s="42" t="str">
        <x:f>IF(AND($A30="",$B30="",$C30=""),"",IF(AND($O30=1,$P30=1),"ครบ", IF($A30="","ขาด ID เอกสาร; ","")&amp;IF(AND($A30&lt;&gt;"",COUNTIF('Quotations'!$A$8:$A$107,$A30)&gt;1),"ID เอกสารซ้ำ; ","")&amp;IF(COUNTIF('Leads'!$A$8:$A$107,$B30)&lt;&gt;1,"ตรวจรหัส Lead; ","")&amp;IF(AND($B30&lt;&gt;"",IFERROR(INDEX('Leads'!$BA$8:$BA$107,MATCH($B30,'Leads'!$A$8:$A$107,0)),0)&lt;&gt;1),"Lead ยังไม่นับผลจริง; ","")&amp;IF(OR($C30="",NOT(ISNUMBER($D30)),NOT(ISNUMBER($E30))),"ขาดเลข/รุ่น/วันส่ง; ","")&amp;IF($J30="","ขาดหลักฐาน; ","")&amp;IF(NOT(OR($I30="Yes",$I30="No")),"เลือก Yes/No; ","")&amp;IF(AND($I30="Yes",COUNTIFS('Quotations'!$B$8:$B$107,$B30,'Quotations'!$C$8:$C$107,$C30,'Quotations'!$I$8:$I$107,"Yes")&gt;1),"ฉบับปัจจุบันซ้อน; ","")&amp;IF(COUNTIFS('Quotations'!$B$8:$B$107,$B30,'Quotations'!$C$8:$C$107,$C30,'Quotations'!$D$8:$D$107,$D30)&gt;1,"เลข/รุ่นซ้ำ; ","")&amp;IF(OR(NOT(ISNUMBER($F30)),$G30="",$H30="",$H30="ไม่ทราบ"),"ตรวจมูลค่า/สกุล/ฐาน VAT; ","")))</x:f>
      </x:c>
      <x:c r="O30" s="42" t="str">
        <x:f>IF(AND($A30="",$B30="",$C30=""),"",IF(AND($A30&lt;&gt;"",COUNTIF('Quotations'!$A$8:$A$107,$A30)=1,COUNTIF('Leads'!$A$8:$A$107,$B30)=1,$L30&lt;&gt;"",IFERROR(INDEX('Leads'!$BA$8:$BA$107,MATCH($B30,'Leads'!$A$8:$A$107,0)),0)=1,$C30&lt;&gt;"",ISNUMBER($D30),$D30&gt;=1,ISNUMBER($E30),$E30&gt;0,OR($I30="Yes",$I30="No"),$J30&lt;&gt;"",COUNTIFS('Quotations'!$B$8:$B$107,$B30,'Quotations'!$C$8:$C$107,$C30,'Quotations'!$D$8:$D$107,$D30)=1,IF($I30="Yes",COUNTIFS('Quotations'!$B$8:$B$107,$B30,'Quotations'!$C$8:$C$107,$C30,'Quotations'!$I$8:$I$107,"Yes")=1,TRUE)),1,0))</x:f>
      </x:c>
      <x:c r="P30" s="42" t="str">
        <x:f>IF($O30="","",IF(AND($O30=1,ISNUMBER($F30),$F30&gt;=0,$G30&lt;&gt;"",OR($H30="รวม VAT",$H30="ไม่รวม VAT")),1,0))</x:f>
      </x:c>
    </x:row>
    <x:row r="31" ht="30" customHeight="1">
      <x:c r="A31" s="96"/>
      <x:c r="B31" s="96"/>
      <x:c r="C31" s="96"/>
      <x:c r="D31" s="36"/>
      <x:c r="E31" s="82"/>
      <x:c r="F31" s="84"/>
      <x:c r="G31" s="36"/>
      <x:c r="H31" s="36"/>
      <x:c r="I31" s="36"/>
      <x:c r="J31" s="96"/>
      <x:c r="K31" s="36"/>
      <x:c r="L31" s="98" t="str">
        <x:f>IF($B31="","",IFERROR(IF(INDEX('Leads'!$AE$8:$AE$107,MATCH($B31,'Leads'!$A$8:$A$107,0))="","",INDEX('Leads'!$AE$8:$AE$107,MATCH($B31,'Leads'!$A$8:$A$107,0))),""))</x:f>
      </x:c>
      <x:c r="M31" s="42" t="str">
        <x:f>IF($B31="","",IFERROR(IF(INDEX('Leads'!$AA$8:$AA$107,MATCH($B31,'Leads'!$A$8:$A$107,0))="","",INDEX('Leads'!$AA$8:$AA$107,MATCH($B31,'Leads'!$A$8:$A$107,0))),""))</x:f>
      </x:c>
      <x:c r="N31" s="42" t="str">
        <x:f>IF(AND($A31="",$B31="",$C31=""),"",IF(AND($O31=1,$P31=1),"ครบ", IF($A31="","ขาด ID เอกสาร; ","")&amp;IF(AND($A31&lt;&gt;"",COUNTIF('Quotations'!$A$8:$A$107,$A31)&gt;1),"ID เอกสารซ้ำ; ","")&amp;IF(COUNTIF('Leads'!$A$8:$A$107,$B31)&lt;&gt;1,"ตรวจรหัส Lead; ","")&amp;IF(AND($B31&lt;&gt;"",IFERROR(INDEX('Leads'!$BA$8:$BA$107,MATCH($B31,'Leads'!$A$8:$A$107,0)),0)&lt;&gt;1),"Lead ยังไม่นับผลจริง; ","")&amp;IF(OR($C31="",NOT(ISNUMBER($D31)),NOT(ISNUMBER($E31))),"ขาดเลข/รุ่น/วันส่ง; ","")&amp;IF($J31="","ขาดหลักฐาน; ","")&amp;IF(NOT(OR($I31="Yes",$I31="No")),"เลือก Yes/No; ","")&amp;IF(AND($I31="Yes",COUNTIFS('Quotations'!$B$8:$B$107,$B31,'Quotations'!$C$8:$C$107,$C31,'Quotations'!$I$8:$I$107,"Yes")&gt;1),"ฉบับปัจจุบันซ้อน; ","")&amp;IF(COUNTIFS('Quotations'!$B$8:$B$107,$B31,'Quotations'!$C$8:$C$107,$C31,'Quotations'!$D$8:$D$107,$D31)&gt;1,"เลข/รุ่นซ้ำ; ","")&amp;IF(OR(NOT(ISNUMBER($F31)),$G31="",$H31="",$H31="ไม่ทราบ"),"ตรวจมูลค่า/สกุล/ฐาน VAT; ","")))</x:f>
      </x:c>
      <x:c r="O31" s="42" t="str">
        <x:f>IF(AND($A31="",$B31="",$C31=""),"",IF(AND($A31&lt;&gt;"",COUNTIF('Quotations'!$A$8:$A$107,$A31)=1,COUNTIF('Leads'!$A$8:$A$107,$B31)=1,$L31&lt;&gt;"",IFERROR(INDEX('Leads'!$BA$8:$BA$107,MATCH($B31,'Leads'!$A$8:$A$107,0)),0)=1,$C31&lt;&gt;"",ISNUMBER($D31),$D31&gt;=1,ISNUMBER($E31),$E31&gt;0,OR($I31="Yes",$I31="No"),$J31&lt;&gt;"",COUNTIFS('Quotations'!$B$8:$B$107,$B31,'Quotations'!$C$8:$C$107,$C31,'Quotations'!$D$8:$D$107,$D31)=1,IF($I31="Yes",COUNTIFS('Quotations'!$B$8:$B$107,$B31,'Quotations'!$C$8:$C$107,$C31,'Quotations'!$I$8:$I$107,"Yes")=1,TRUE)),1,0))</x:f>
      </x:c>
      <x:c r="P31" s="42" t="str">
        <x:f>IF($O31="","",IF(AND($O31=1,ISNUMBER($F31),$F31&gt;=0,$G31&lt;&gt;"",OR($H31="รวม VAT",$H31="ไม่รวม VAT")),1,0))</x:f>
      </x:c>
    </x:row>
    <x:row r="32" ht="30" customHeight="1">
      <x:c r="A32" s="96"/>
      <x:c r="B32" s="96"/>
      <x:c r="C32" s="96"/>
      <x:c r="D32" s="36"/>
      <x:c r="E32" s="82"/>
      <x:c r="F32" s="84"/>
      <x:c r="G32" s="36"/>
      <x:c r="H32" s="36"/>
      <x:c r="I32" s="36"/>
      <x:c r="J32" s="96"/>
      <x:c r="K32" s="36"/>
      <x:c r="L32" s="98" t="str">
        <x:f>IF($B32="","",IFERROR(IF(INDEX('Leads'!$AE$8:$AE$107,MATCH($B32,'Leads'!$A$8:$A$107,0))="","",INDEX('Leads'!$AE$8:$AE$107,MATCH($B32,'Leads'!$A$8:$A$107,0))),""))</x:f>
      </x:c>
      <x:c r="M32" s="42" t="str">
        <x:f>IF($B32="","",IFERROR(IF(INDEX('Leads'!$AA$8:$AA$107,MATCH($B32,'Leads'!$A$8:$A$107,0))="","",INDEX('Leads'!$AA$8:$AA$107,MATCH($B32,'Leads'!$A$8:$A$107,0))),""))</x:f>
      </x:c>
      <x:c r="N32" s="42" t="str">
        <x:f>IF(AND($A32="",$B32="",$C32=""),"",IF(AND($O32=1,$P32=1),"ครบ", IF($A32="","ขาด ID เอกสาร; ","")&amp;IF(AND($A32&lt;&gt;"",COUNTIF('Quotations'!$A$8:$A$107,$A32)&gt;1),"ID เอกสารซ้ำ; ","")&amp;IF(COUNTIF('Leads'!$A$8:$A$107,$B32)&lt;&gt;1,"ตรวจรหัส Lead; ","")&amp;IF(AND($B32&lt;&gt;"",IFERROR(INDEX('Leads'!$BA$8:$BA$107,MATCH($B32,'Leads'!$A$8:$A$107,0)),0)&lt;&gt;1),"Lead ยังไม่นับผลจริง; ","")&amp;IF(OR($C32="",NOT(ISNUMBER($D32)),NOT(ISNUMBER($E32))),"ขาดเลข/รุ่น/วันส่ง; ","")&amp;IF($J32="","ขาดหลักฐาน; ","")&amp;IF(NOT(OR($I32="Yes",$I32="No")),"เลือก Yes/No; ","")&amp;IF(AND($I32="Yes",COUNTIFS('Quotations'!$B$8:$B$107,$B32,'Quotations'!$C$8:$C$107,$C32,'Quotations'!$I$8:$I$107,"Yes")&gt;1),"ฉบับปัจจุบันซ้อน; ","")&amp;IF(COUNTIFS('Quotations'!$B$8:$B$107,$B32,'Quotations'!$C$8:$C$107,$C32,'Quotations'!$D$8:$D$107,$D32)&gt;1,"เลข/รุ่นซ้ำ; ","")&amp;IF(OR(NOT(ISNUMBER($F32)),$G32="",$H32="",$H32="ไม่ทราบ"),"ตรวจมูลค่า/สกุล/ฐาน VAT; ","")))</x:f>
      </x:c>
      <x:c r="O32" s="42" t="str">
        <x:f>IF(AND($A32="",$B32="",$C32=""),"",IF(AND($A32&lt;&gt;"",COUNTIF('Quotations'!$A$8:$A$107,$A32)=1,COUNTIF('Leads'!$A$8:$A$107,$B32)=1,$L32&lt;&gt;"",IFERROR(INDEX('Leads'!$BA$8:$BA$107,MATCH($B32,'Leads'!$A$8:$A$107,0)),0)=1,$C32&lt;&gt;"",ISNUMBER($D32),$D32&gt;=1,ISNUMBER($E32),$E32&gt;0,OR($I32="Yes",$I32="No"),$J32&lt;&gt;"",COUNTIFS('Quotations'!$B$8:$B$107,$B32,'Quotations'!$C$8:$C$107,$C32,'Quotations'!$D$8:$D$107,$D32)=1,IF($I32="Yes",COUNTIFS('Quotations'!$B$8:$B$107,$B32,'Quotations'!$C$8:$C$107,$C32,'Quotations'!$I$8:$I$107,"Yes")=1,TRUE)),1,0))</x:f>
      </x:c>
      <x:c r="P32" s="42" t="str">
        <x:f>IF($O32="","",IF(AND($O32=1,ISNUMBER($F32),$F32&gt;=0,$G32&lt;&gt;"",OR($H32="รวม VAT",$H32="ไม่รวม VAT")),1,0))</x:f>
      </x:c>
    </x:row>
    <x:row r="33" ht="30" customHeight="1">
      <x:c r="A33" s="96"/>
      <x:c r="B33" s="96"/>
      <x:c r="C33" s="96"/>
      <x:c r="D33" s="36"/>
      <x:c r="E33" s="82"/>
      <x:c r="F33" s="84"/>
      <x:c r="G33" s="36"/>
      <x:c r="H33" s="36"/>
      <x:c r="I33" s="36"/>
      <x:c r="J33" s="96"/>
      <x:c r="K33" s="36"/>
      <x:c r="L33" s="98" t="str">
        <x:f>IF($B33="","",IFERROR(IF(INDEX('Leads'!$AE$8:$AE$107,MATCH($B33,'Leads'!$A$8:$A$107,0))="","",INDEX('Leads'!$AE$8:$AE$107,MATCH($B33,'Leads'!$A$8:$A$107,0))),""))</x:f>
      </x:c>
      <x:c r="M33" s="42" t="str">
        <x:f>IF($B33="","",IFERROR(IF(INDEX('Leads'!$AA$8:$AA$107,MATCH($B33,'Leads'!$A$8:$A$107,0))="","",INDEX('Leads'!$AA$8:$AA$107,MATCH($B33,'Leads'!$A$8:$A$107,0))),""))</x:f>
      </x:c>
      <x:c r="N33" s="42" t="str">
        <x:f>IF(AND($A33="",$B33="",$C33=""),"",IF(AND($O33=1,$P33=1),"ครบ", IF($A33="","ขาด ID เอกสาร; ","")&amp;IF(AND($A33&lt;&gt;"",COUNTIF('Quotations'!$A$8:$A$107,$A33)&gt;1),"ID เอกสารซ้ำ; ","")&amp;IF(COUNTIF('Leads'!$A$8:$A$107,$B33)&lt;&gt;1,"ตรวจรหัส Lead; ","")&amp;IF(AND($B33&lt;&gt;"",IFERROR(INDEX('Leads'!$BA$8:$BA$107,MATCH($B33,'Leads'!$A$8:$A$107,0)),0)&lt;&gt;1),"Lead ยังไม่นับผลจริง; ","")&amp;IF(OR($C33="",NOT(ISNUMBER($D33)),NOT(ISNUMBER($E33))),"ขาดเลข/รุ่น/วันส่ง; ","")&amp;IF($J33="","ขาดหลักฐาน; ","")&amp;IF(NOT(OR($I33="Yes",$I33="No")),"เลือก Yes/No; ","")&amp;IF(AND($I33="Yes",COUNTIFS('Quotations'!$B$8:$B$107,$B33,'Quotations'!$C$8:$C$107,$C33,'Quotations'!$I$8:$I$107,"Yes")&gt;1),"ฉบับปัจจุบันซ้อน; ","")&amp;IF(COUNTIFS('Quotations'!$B$8:$B$107,$B33,'Quotations'!$C$8:$C$107,$C33,'Quotations'!$D$8:$D$107,$D33)&gt;1,"เลข/รุ่นซ้ำ; ","")&amp;IF(OR(NOT(ISNUMBER($F33)),$G33="",$H33="",$H33="ไม่ทราบ"),"ตรวจมูลค่า/สกุล/ฐาน VAT; ","")))</x:f>
      </x:c>
      <x:c r="O33" s="42" t="str">
        <x:f>IF(AND($A33="",$B33="",$C33=""),"",IF(AND($A33&lt;&gt;"",COUNTIF('Quotations'!$A$8:$A$107,$A33)=1,COUNTIF('Leads'!$A$8:$A$107,$B33)=1,$L33&lt;&gt;"",IFERROR(INDEX('Leads'!$BA$8:$BA$107,MATCH($B33,'Leads'!$A$8:$A$107,0)),0)=1,$C33&lt;&gt;"",ISNUMBER($D33),$D33&gt;=1,ISNUMBER($E33),$E33&gt;0,OR($I33="Yes",$I33="No"),$J33&lt;&gt;"",COUNTIFS('Quotations'!$B$8:$B$107,$B33,'Quotations'!$C$8:$C$107,$C33,'Quotations'!$D$8:$D$107,$D33)=1,IF($I33="Yes",COUNTIFS('Quotations'!$B$8:$B$107,$B33,'Quotations'!$C$8:$C$107,$C33,'Quotations'!$I$8:$I$107,"Yes")=1,TRUE)),1,0))</x:f>
      </x:c>
      <x:c r="P33" s="42" t="str">
        <x:f>IF($O33="","",IF(AND($O33=1,ISNUMBER($F33),$F33&gt;=0,$G33&lt;&gt;"",OR($H33="รวม VAT",$H33="ไม่รวม VAT")),1,0))</x:f>
      </x:c>
    </x:row>
    <x:row r="34" ht="30" customHeight="1">
      <x:c r="A34" s="96"/>
      <x:c r="B34" s="96"/>
      <x:c r="C34" s="96"/>
      <x:c r="D34" s="36"/>
      <x:c r="E34" s="82"/>
      <x:c r="F34" s="84"/>
      <x:c r="G34" s="36"/>
      <x:c r="H34" s="36"/>
      <x:c r="I34" s="36"/>
      <x:c r="J34" s="96"/>
      <x:c r="K34" s="36"/>
      <x:c r="L34" s="98" t="str">
        <x:f>IF($B34="","",IFERROR(IF(INDEX('Leads'!$AE$8:$AE$107,MATCH($B34,'Leads'!$A$8:$A$107,0))="","",INDEX('Leads'!$AE$8:$AE$107,MATCH($B34,'Leads'!$A$8:$A$107,0))),""))</x:f>
      </x:c>
      <x:c r="M34" s="42" t="str">
        <x:f>IF($B34="","",IFERROR(IF(INDEX('Leads'!$AA$8:$AA$107,MATCH($B34,'Leads'!$A$8:$A$107,0))="","",INDEX('Leads'!$AA$8:$AA$107,MATCH($B34,'Leads'!$A$8:$A$107,0))),""))</x:f>
      </x:c>
      <x:c r="N34" s="42" t="str">
        <x:f>IF(AND($A34="",$B34="",$C34=""),"",IF(AND($O34=1,$P34=1),"ครบ", IF($A34="","ขาด ID เอกสาร; ","")&amp;IF(AND($A34&lt;&gt;"",COUNTIF('Quotations'!$A$8:$A$107,$A34)&gt;1),"ID เอกสารซ้ำ; ","")&amp;IF(COUNTIF('Leads'!$A$8:$A$107,$B34)&lt;&gt;1,"ตรวจรหัส Lead; ","")&amp;IF(AND($B34&lt;&gt;"",IFERROR(INDEX('Leads'!$BA$8:$BA$107,MATCH($B34,'Leads'!$A$8:$A$107,0)),0)&lt;&gt;1),"Lead ยังไม่นับผลจริง; ","")&amp;IF(OR($C34="",NOT(ISNUMBER($D34)),NOT(ISNUMBER($E34))),"ขาดเลข/รุ่น/วันส่ง; ","")&amp;IF($J34="","ขาดหลักฐาน; ","")&amp;IF(NOT(OR($I34="Yes",$I34="No")),"เลือก Yes/No; ","")&amp;IF(AND($I34="Yes",COUNTIFS('Quotations'!$B$8:$B$107,$B34,'Quotations'!$C$8:$C$107,$C34,'Quotations'!$I$8:$I$107,"Yes")&gt;1),"ฉบับปัจจุบันซ้อน; ","")&amp;IF(COUNTIFS('Quotations'!$B$8:$B$107,$B34,'Quotations'!$C$8:$C$107,$C34,'Quotations'!$D$8:$D$107,$D34)&gt;1,"เลข/รุ่นซ้ำ; ","")&amp;IF(OR(NOT(ISNUMBER($F34)),$G34="",$H34="",$H34="ไม่ทราบ"),"ตรวจมูลค่า/สกุล/ฐาน VAT; ","")))</x:f>
      </x:c>
      <x:c r="O34" s="42" t="str">
        <x:f>IF(AND($A34="",$B34="",$C34=""),"",IF(AND($A34&lt;&gt;"",COUNTIF('Quotations'!$A$8:$A$107,$A34)=1,COUNTIF('Leads'!$A$8:$A$107,$B34)=1,$L34&lt;&gt;"",IFERROR(INDEX('Leads'!$BA$8:$BA$107,MATCH($B34,'Leads'!$A$8:$A$107,0)),0)=1,$C34&lt;&gt;"",ISNUMBER($D34),$D34&gt;=1,ISNUMBER($E34),$E34&gt;0,OR($I34="Yes",$I34="No"),$J34&lt;&gt;"",COUNTIFS('Quotations'!$B$8:$B$107,$B34,'Quotations'!$C$8:$C$107,$C34,'Quotations'!$D$8:$D$107,$D34)=1,IF($I34="Yes",COUNTIFS('Quotations'!$B$8:$B$107,$B34,'Quotations'!$C$8:$C$107,$C34,'Quotations'!$I$8:$I$107,"Yes")=1,TRUE)),1,0))</x:f>
      </x:c>
      <x:c r="P34" s="42" t="str">
        <x:f>IF($O34="","",IF(AND($O34=1,ISNUMBER($F34),$F34&gt;=0,$G34&lt;&gt;"",OR($H34="รวม VAT",$H34="ไม่รวม VAT")),1,0))</x:f>
      </x:c>
    </x:row>
    <x:row r="35" ht="30" customHeight="1">
      <x:c r="A35" s="96"/>
      <x:c r="B35" s="96"/>
      <x:c r="C35" s="96"/>
      <x:c r="D35" s="36"/>
      <x:c r="E35" s="82"/>
      <x:c r="F35" s="84"/>
      <x:c r="G35" s="36"/>
      <x:c r="H35" s="36"/>
      <x:c r="I35" s="36"/>
      <x:c r="J35" s="96"/>
      <x:c r="K35" s="36"/>
      <x:c r="L35" s="98" t="str">
        <x:f>IF($B35="","",IFERROR(IF(INDEX('Leads'!$AE$8:$AE$107,MATCH($B35,'Leads'!$A$8:$A$107,0))="","",INDEX('Leads'!$AE$8:$AE$107,MATCH($B35,'Leads'!$A$8:$A$107,0))),""))</x:f>
      </x:c>
      <x:c r="M35" s="42" t="str">
        <x:f>IF($B35="","",IFERROR(IF(INDEX('Leads'!$AA$8:$AA$107,MATCH($B35,'Leads'!$A$8:$A$107,0))="","",INDEX('Leads'!$AA$8:$AA$107,MATCH($B35,'Leads'!$A$8:$A$107,0))),""))</x:f>
      </x:c>
      <x:c r="N35" s="42" t="str">
        <x:f>IF(AND($A35="",$B35="",$C35=""),"",IF(AND($O35=1,$P35=1),"ครบ", IF($A35="","ขาด ID เอกสาร; ","")&amp;IF(AND($A35&lt;&gt;"",COUNTIF('Quotations'!$A$8:$A$107,$A35)&gt;1),"ID เอกสารซ้ำ; ","")&amp;IF(COUNTIF('Leads'!$A$8:$A$107,$B35)&lt;&gt;1,"ตรวจรหัส Lead; ","")&amp;IF(AND($B35&lt;&gt;"",IFERROR(INDEX('Leads'!$BA$8:$BA$107,MATCH($B35,'Leads'!$A$8:$A$107,0)),0)&lt;&gt;1),"Lead ยังไม่นับผลจริง; ","")&amp;IF(OR($C35="",NOT(ISNUMBER($D35)),NOT(ISNUMBER($E35))),"ขาดเลข/รุ่น/วันส่ง; ","")&amp;IF($J35="","ขาดหลักฐาน; ","")&amp;IF(NOT(OR($I35="Yes",$I35="No")),"เลือก Yes/No; ","")&amp;IF(AND($I35="Yes",COUNTIFS('Quotations'!$B$8:$B$107,$B35,'Quotations'!$C$8:$C$107,$C35,'Quotations'!$I$8:$I$107,"Yes")&gt;1),"ฉบับปัจจุบันซ้อน; ","")&amp;IF(COUNTIFS('Quotations'!$B$8:$B$107,$B35,'Quotations'!$C$8:$C$107,$C35,'Quotations'!$D$8:$D$107,$D35)&gt;1,"เลข/รุ่นซ้ำ; ","")&amp;IF(OR(NOT(ISNUMBER($F35)),$G35="",$H35="",$H35="ไม่ทราบ"),"ตรวจมูลค่า/สกุล/ฐาน VAT; ","")))</x:f>
      </x:c>
      <x:c r="O35" s="42" t="str">
        <x:f>IF(AND($A35="",$B35="",$C35=""),"",IF(AND($A35&lt;&gt;"",COUNTIF('Quotations'!$A$8:$A$107,$A35)=1,COUNTIF('Leads'!$A$8:$A$107,$B35)=1,$L35&lt;&gt;"",IFERROR(INDEX('Leads'!$BA$8:$BA$107,MATCH($B35,'Leads'!$A$8:$A$107,0)),0)=1,$C35&lt;&gt;"",ISNUMBER($D35),$D35&gt;=1,ISNUMBER($E35),$E35&gt;0,OR($I35="Yes",$I35="No"),$J35&lt;&gt;"",COUNTIFS('Quotations'!$B$8:$B$107,$B35,'Quotations'!$C$8:$C$107,$C35,'Quotations'!$D$8:$D$107,$D35)=1,IF($I35="Yes",COUNTIFS('Quotations'!$B$8:$B$107,$B35,'Quotations'!$C$8:$C$107,$C35,'Quotations'!$I$8:$I$107,"Yes")=1,TRUE)),1,0))</x:f>
      </x:c>
      <x:c r="P35" s="42" t="str">
        <x:f>IF($O35="","",IF(AND($O35=1,ISNUMBER($F35),$F35&gt;=0,$G35&lt;&gt;"",OR($H35="รวม VAT",$H35="ไม่รวม VAT")),1,0))</x:f>
      </x:c>
    </x:row>
    <x:row r="36" ht="30" customHeight="1">
      <x:c r="A36" s="96"/>
      <x:c r="B36" s="96"/>
      <x:c r="C36" s="96"/>
      <x:c r="D36" s="36"/>
      <x:c r="E36" s="82"/>
      <x:c r="F36" s="84"/>
      <x:c r="G36" s="36"/>
      <x:c r="H36" s="36"/>
      <x:c r="I36" s="36"/>
      <x:c r="J36" s="96"/>
      <x:c r="K36" s="36"/>
      <x:c r="L36" s="98" t="str">
        <x:f>IF($B36="","",IFERROR(IF(INDEX('Leads'!$AE$8:$AE$107,MATCH($B36,'Leads'!$A$8:$A$107,0))="","",INDEX('Leads'!$AE$8:$AE$107,MATCH($B36,'Leads'!$A$8:$A$107,0))),""))</x:f>
      </x:c>
      <x:c r="M36" s="42" t="str">
        <x:f>IF($B36="","",IFERROR(IF(INDEX('Leads'!$AA$8:$AA$107,MATCH($B36,'Leads'!$A$8:$A$107,0))="","",INDEX('Leads'!$AA$8:$AA$107,MATCH($B36,'Leads'!$A$8:$A$107,0))),""))</x:f>
      </x:c>
      <x:c r="N36" s="42" t="str">
        <x:f>IF(AND($A36="",$B36="",$C36=""),"",IF(AND($O36=1,$P36=1),"ครบ", IF($A36="","ขาด ID เอกสาร; ","")&amp;IF(AND($A36&lt;&gt;"",COUNTIF('Quotations'!$A$8:$A$107,$A36)&gt;1),"ID เอกสารซ้ำ; ","")&amp;IF(COUNTIF('Leads'!$A$8:$A$107,$B36)&lt;&gt;1,"ตรวจรหัส Lead; ","")&amp;IF(AND($B36&lt;&gt;"",IFERROR(INDEX('Leads'!$BA$8:$BA$107,MATCH($B36,'Leads'!$A$8:$A$107,0)),0)&lt;&gt;1),"Lead ยังไม่นับผลจริง; ","")&amp;IF(OR($C36="",NOT(ISNUMBER($D36)),NOT(ISNUMBER($E36))),"ขาดเลข/รุ่น/วันส่ง; ","")&amp;IF($J36="","ขาดหลักฐาน; ","")&amp;IF(NOT(OR($I36="Yes",$I36="No")),"เลือก Yes/No; ","")&amp;IF(AND($I36="Yes",COUNTIFS('Quotations'!$B$8:$B$107,$B36,'Quotations'!$C$8:$C$107,$C36,'Quotations'!$I$8:$I$107,"Yes")&gt;1),"ฉบับปัจจุบันซ้อน; ","")&amp;IF(COUNTIFS('Quotations'!$B$8:$B$107,$B36,'Quotations'!$C$8:$C$107,$C36,'Quotations'!$D$8:$D$107,$D36)&gt;1,"เลข/รุ่นซ้ำ; ","")&amp;IF(OR(NOT(ISNUMBER($F36)),$G36="",$H36="",$H36="ไม่ทราบ"),"ตรวจมูลค่า/สกุล/ฐาน VAT; ","")))</x:f>
      </x:c>
      <x:c r="O36" s="42" t="str">
        <x:f>IF(AND($A36="",$B36="",$C36=""),"",IF(AND($A36&lt;&gt;"",COUNTIF('Quotations'!$A$8:$A$107,$A36)=1,COUNTIF('Leads'!$A$8:$A$107,$B36)=1,$L36&lt;&gt;"",IFERROR(INDEX('Leads'!$BA$8:$BA$107,MATCH($B36,'Leads'!$A$8:$A$107,0)),0)=1,$C36&lt;&gt;"",ISNUMBER($D36),$D36&gt;=1,ISNUMBER($E36),$E36&gt;0,OR($I36="Yes",$I36="No"),$J36&lt;&gt;"",COUNTIFS('Quotations'!$B$8:$B$107,$B36,'Quotations'!$C$8:$C$107,$C36,'Quotations'!$D$8:$D$107,$D36)=1,IF($I36="Yes",COUNTIFS('Quotations'!$B$8:$B$107,$B36,'Quotations'!$C$8:$C$107,$C36,'Quotations'!$I$8:$I$107,"Yes")=1,TRUE)),1,0))</x:f>
      </x:c>
      <x:c r="P36" s="42" t="str">
        <x:f>IF($O36="","",IF(AND($O36=1,ISNUMBER($F36),$F36&gt;=0,$G36&lt;&gt;"",OR($H36="รวม VAT",$H36="ไม่รวม VAT")),1,0))</x:f>
      </x:c>
    </x:row>
    <x:row r="37" ht="30" customHeight="1">
      <x:c r="A37" s="96"/>
      <x:c r="B37" s="96"/>
      <x:c r="C37" s="96"/>
      <x:c r="D37" s="36"/>
      <x:c r="E37" s="82"/>
      <x:c r="F37" s="84"/>
      <x:c r="G37" s="36"/>
      <x:c r="H37" s="36"/>
      <x:c r="I37" s="36"/>
      <x:c r="J37" s="96"/>
      <x:c r="K37" s="36"/>
      <x:c r="L37" s="98" t="str">
        <x:f>IF($B37="","",IFERROR(IF(INDEX('Leads'!$AE$8:$AE$107,MATCH($B37,'Leads'!$A$8:$A$107,0))="","",INDEX('Leads'!$AE$8:$AE$107,MATCH($B37,'Leads'!$A$8:$A$107,0))),""))</x:f>
      </x:c>
      <x:c r="M37" s="42" t="str">
        <x:f>IF($B37="","",IFERROR(IF(INDEX('Leads'!$AA$8:$AA$107,MATCH($B37,'Leads'!$A$8:$A$107,0))="","",INDEX('Leads'!$AA$8:$AA$107,MATCH($B37,'Leads'!$A$8:$A$107,0))),""))</x:f>
      </x:c>
      <x:c r="N37" s="42" t="str">
        <x:f>IF(AND($A37="",$B37="",$C37=""),"",IF(AND($O37=1,$P37=1),"ครบ", IF($A37="","ขาด ID เอกสาร; ","")&amp;IF(AND($A37&lt;&gt;"",COUNTIF('Quotations'!$A$8:$A$107,$A37)&gt;1),"ID เอกสารซ้ำ; ","")&amp;IF(COUNTIF('Leads'!$A$8:$A$107,$B37)&lt;&gt;1,"ตรวจรหัส Lead; ","")&amp;IF(AND($B37&lt;&gt;"",IFERROR(INDEX('Leads'!$BA$8:$BA$107,MATCH($B37,'Leads'!$A$8:$A$107,0)),0)&lt;&gt;1),"Lead ยังไม่นับผลจริง; ","")&amp;IF(OR($C37="",NOT(ISNUMBER($D37)),NOT(ISNUMBER($E37))),"ขาดเลข/รุ่น/วันส่ง; ","")&amp;IF($J37="","ขาดหลักฐาน; ","")&amp;IF(NOT(OR($I37="Yes",$I37="No")),"เลือก Yes/No; ","")&amp;IF(AND($I37="Yes",COUNTIFS('Quotations'!$B$8:$B$107,$B37,'Quotations'!$C$8:$C$107,$C37,'Quotations'!$I$8:$I$107,"Yes")&gt;1),"ฉบับปัจจุบันซ้อน; ","")&amp;IF(COUNTIFS('Quotations'!$B$8:$B$107,$B37,'Quotations'!$C$8:$C$107,$C37,'Quotations'!$D$8:$D$107,$D37)&gt;1,"เลข/รุ่นซ้ำ; ","")&amp;IF(OR(NOT(ISNUMBER($F37)),$G37="",$H37="",$H37="ไม่ทราบ"),"ตรวจมูลค่า/สกุล/ฐาน VAT; ","")))</x:f>
      </x:c>
      <x:c r="O37" s="42" t="str">
        <x:f>IF(AND($A37="",$B37="",$C37=""),"",IF(AND($A37&lt;&gt;"",COUNTIF('Quotations'!$A$8:$A$107,$A37)=1,COUNTIF('Leads'!$A$8:$A$107,$B37)=1,$L37&lt;&gt;"",IFERROR(INDEX('Leads'!$BA$8:$BA$107,MATCH($B37,'Leads'!$A$8:$A$107,0)),0)=1,$C37&lt;&gt;"",ISNUMBER($D37),$D37&gt;=1,ISNUMBER($E37),$E37&gt;0,OR($I37="Yes",$I37="No"),$J37&lt;&gt;"",COUNTIFS('Quotations'!$B$8:$B$107,$B37,'Quotations'!$C$8:$C$107,$C37,'Quotations'!$D$8:$D$107,$D37)=1,IF($I37="Yes",COUNTIFS('Quotations'!$B$8:$B$107,$B37,'Quotations'!$C$8:$C$107,$C37,'Quotations'!$I$8:$I$107,"Yes")=1,TRUE)),1,0))</x:f>
      </x:c>
      <x:c r="P37" s="42" t="str">
        <x:f>IF($O37="","",IF(AND($O37=1,ISNUMBER($F37),$F37&gt;=0,$G37&lt;&gt;"",OR($H37="รวม VAT",$H37="ไม่รวม VAT")),1,0))</x:f>
      </x:c>
    </x:row>
    <x:row r="38" ht="30" customHeight="1">
      <x:c r="A38" s="96"/>
      <x:c r="B38" s="96"/>
      <x:c r="C38" s="96"/>
      <x:c r="D38" s="36"/>
      <x:c r="E38" s="82"/>
      <x:c r="F38" s="84"/>
      <x:c r="G38" s="36"/>
      <x:c r="H38" s="36"/>
      <x:c r="I38" s="36"/>
      <x:c r="J38" s="96"/>
      <x:c r="K38" s="36"/>
      <x:c r="L38" s="98" t="str">
        <x:f>IF($B38="","",IFERROR(IF(INDEX('Leads'!$AE$8:$AE$107,MATCH($B38,'Leads'!$A$8:$A$107,0))="","",INDEX('Leads'!$AE$8:$AE$107,MATCH($B38,'Leads'!$A$8:$A$107,0))),""))</x:f>
      </x:c>
      <x:c r="M38" s="42" t="str">
        <x:f>IF($B38="","",IFERROR(IF(INDEX('Leads'!$AA$8:$AA$107,MATCH($B38,'Leads'!$A$8:$A$107,0))="","",INDEX('Leads'!$AA$8:$AA$107,MATCH($B38,'Leads'!$A$8:$A$107,0))),""))</x:f>
      </x:c>
      <x:c r="N38" s="42" t="str">
        <x:f>IF(AND($A38="",$B38="",$C38=""),"",IF(AND($O38=1,$P38=1),"ครบ", IF($A38="","ขาด ID เอกสาร; ","")&amp;IF(AND($A38&lt;&gt;"",COUNTIF('Quotations'!$A$8:$A$107,$A38)&gt;1),"ID เอกสารซ้ำ; ","")&amp;IF(COUNTIF('Leads'!$A$8:$A$107,$B38)&lt;&gt;1,"ตรวจรหัส Lead; ","")&amp;IF(AND($B38&lt;&gt;"",IFERROR(INDEX('Leads'!$BA$8:$BA$107,MATCH($B38,'Leads'!$A$8:$A$107,0)),0)&lt;&gt;1),"Lead ยังไม่นับผลจริง; ","")&amp;IF(OR($C38="",NOT(ISNUMBER($D38)),NOT(ISNUMBER($E38))),"ขาดเลข/รุ่น/วันส่ง; ","")&amp;IF($J38="","ขาดหลักฐาน; ","")&amp;IF(NOT(OR($I38="Yes",$I38="No")),"เลือก Yes/No; ","")&amp;IF(AND($I38="Yes",COUNTIFS('Quotations'!$B$8:$B$107,$B38,'Quotations'!$C$8:$C$107,$C38,'Quotations'!$I$8:$I$107,"Yes")&gt;1),"ฉบับปัจจุบันซ้อน; ","")&amp;IF(COUNTIFS('Quotations'!$B$8:$B$107,$B38,'Quotations'!$C$8:$C$107,$C38,'Quotations'!$D$8:$D$107,$D38)&gt;1,"เลข/รุ่นซ้ำ; ","")&amp;IF(OR(NOT(ISNUMBER($F38)),$G38="",$H38="",$H38="ไม่ทราบ"),"ตรวจมูลค่า/สกุล/ฐาน VAT; ","")))</x:f>
      </x:c>
      <x:c r="O38" s="42" t="str">
        <x:f>IF(AND($A38="",$B38="",$C38=""),"",IF(AND($A38&lt;&gt;"",COUNTIF('Quotations'!$A$8:$A$107,$A38)=1,COUNTIF('Leads'!$A$8:$A$107,$B38)=1,$L38&lt;&gt;"",IFERROR(INDEX('Leads'!$BA$8:$BA$107,MATCH($B38,'Leads'!$A$8:$A$107,0)),0)=1,$C38&lt;&gt;"",ISNUMBER($D38),$D38&gt;=1,ISNUMBER($E38),$E38&gt;0,OR($I38="Yes",$I38="No"),$J38&lt;&gt;"",COUNTIFS('Quotations'!$B$8:$B$107,$B38,'Quotations'!$C$8:$C$107,$C38,'Quotations'!$D$8:$D$107,$D38)=1,IF($I38="Yes",COUNTIFS('Quotations'!$B$8:$B$107,$B38,'Quotations'!$C$8:$C$107,$C38,'Quotations'!$I$8:$I$107,"Yes")=1,TRUE)),1,0))</x:f>
      </x:c>
      <x:c r="P38" s="42" t="str">
        <x:f>IF($O38="","",IF(AND($O38=1,ISNUMBER($F38),$F38&gt;=0,$G38&lt;&gt;"",OR($H38="รวม VAT",$H38="ไม่รวม VAT")),1,0))</x:f>
      </x:c>
    </x:row>
    <x:row r="39" ht="30" customHeight="1">
      <x:c r="A39" s="96"/>
      <x:c r="B39" s="96"/>
      <x:c r="C39" s="96"/>
      <x:c r="D39" s="36"/>
      <x:c r="E39" s="82"/>
      <x:c r="F39" s="84"/>
      <x:c r="G39" s="36"/>
      <x:c r="H39" s="36"/>
      <x:c r="I39" s="36"/>
      <x:c r="J39" s="96"/>
      <x:c r="K39" s="36"/>
      <x:c r="L39" s="98" t="str">
        <x:f>IF($B39="","",IFERROR(IF(INDEX('Leads'!$AE$8:$AE$107,MATCH($B39,'Leads'!$A$8:$A$107,0))="","",INDEX('Leads'!$AE$8:$AE$107,MATCH($B39,'Leads'!$A$8:$A$107,0))),""))</x:f>
      </x:c>
      <x:c r="M39" s="42" t="str">
        <x:f>IF($B39="","",IFERROR(IF(INDEX('Leads'!$AA$8:$AA$107,MATCH($B39,'Leads'!$A$8:$A$107,0))="","",INDEX('Leads'!$AA$8:$AA$107,MATCH($B39,'Leads'!$A$8:$A$107,0))),""))</x:f>
      </x:c>
      <x:c r="N39" s="42" t="str">
        <x:f>IF(AND($A39="",$B39="",$C39=""),"",IF(AND($O39=1,$P39=1),"ครบ", IF($A39="","ขาด ID เอกสาร; ","")&amp;IF(AND($A39&lt;&gt;"",COUNTIF('Quotations'!$A$8:$A$107,$A39)&gt;1),"ID เอกสารซ้ำ; ","")&amp;IF(COUNTIF('Leads'!$A$8:$A$107,$B39)&lt;&gt;1,"ตรวจรหัส Lead; ","")&amp;IF(AND($B39&lt;&gt;"",IFERROR(INDEX('Leads'!$BA$8:$BA$107,MATCH($B39,'Leads'!$A$8:$A$107,0)),0)&lt;&gt;1),"Lead ยังไม่นับผลจริง; ","")&amp;IF(OR($C39="",NOT(ISNUMBER($D39)),NOT(ISNUMBER($E39))),"ขาดเลข/รุ่น/วันส่ง; ","")&amp;IF($J39="","ขาดหลักฐาน; ","")&amp;IF(NOT(OR($I39="Yes",$I39="No")),"เลือก Yes/No; ","")&amp;IF(AND($I39="Yes",COUNTIFS('Quotations'!$B$8:$B$107,$B39,'Quotations'!$C$8:$C$107,$C39,'Quotations'!$I$8:$I$107,"Yes")&gt;1),"ฉบับปัจจุบันซ้อน; ","")&amp;IF(COUNTIFS('Quotations'!$B$8:$B$107,$B39,'Quotations'!$C$8:$C$107,$C39,'Quotations'!$D$8:$D$107,$D39)&gt;1,"เลข/รุ่นซ้ำ; ","")&amp;IF(OR(NOT(ISNUMBER($F39)),$G39="",$H39="",$H39="ไม่ทราบ"),"ตรวจมูลค่า/สกุล/ฐาน VAT; ","")))</x:f>
      </x:c>
      <x:c r="O39" s="42" t="str">
        <x:f>IF(AND($A39="",$B39="",$C39=""),"",IF(AND($A39&lt;&gt;"",COUNTIF('Quotations'!$A$8:$A$107,$A39)=1,COUNTIF('Leads'!$A$8:$A$107,$B39)=1,$L39&lt;&gt;"",IFERROR(INDEX('Leads'!$BA$8:$BA$107,MATCH($B39,'Leads'!$A$8:$A$107,0)),0)=1,$C39&lt;&gt;"",ISNUMBER($D39),$D39&gt;=1,ISNUMBER($E39),$E39&gt;0,OR($I39="Yes",$I39="No"),$J39&lt;&gt;"",COUNTIFS('Quotations'!$B$8:$B$107,$B39,'Quotations'!$C$8:$C$107,$C39,'Quotations'!$D$8:$D$107,$D39)=1,IF($I39="Yes",COUNTIFS('Quotations'!$B$8:$B$107,$B39,'Quotations'!$C$8:$C$107,$C39,'Quotations'!$I$8:$I$107,"Yes")=1,TRUE)),1,0))</x:f>
      </x:c>
      <x:c r="P39" s="42" t="str">
        <x:f>IF($O39="","",IF(AND($O39=1,ISNUMBER($F39),$F39&gt;=0,$G39&lt;&gt;"",OR($H39="รวม VAT",$H39="ไม่รวม VAT")),1,0))</x:f>
      </x:c>
    </x:row>
    <x:row r="40" ht="30" customHeight="1">
      <x:c r="A40" s="96"/>
      <x:c r="B40" s="96"/>
      <x:c r="C40" s="96"/>
      <x:c r="D40" s="36"/>
      <x:c r="E40" s="82"/>
      <x:c r="F40" s="84"/>
      <x:c r="G40" s="36"/>
      <x:c r="H40" s="36"/>
      <x:c r="I40" s="36"/>
      <x:c r="J40" s="96"/>
      <x:c r="K40" s="36"/>
      <x:c r="L40" s="98" t="str">
        <x:f>IF($B40="","",IFERROR(IF(INDEX('Leads'!$AE$8:$AE$107,MATCH($B40,'Leads'!$A$8:$A$107,0))="","",INDEX('Leads'!$AE$8:$AE$107,MATCH($B40,'Leads'!$A$8:$A$107,0))),""))</x:f>
      </x:c>
      <x:c r="M40" s="42" t="str">
        <x:f>IF($B40="","",IFERROR(IF(INDEX('Leads'!$AA$8:$AA$107,MATCH($B40,'Leads'!$A$8:$A$107,0))="","",INDEX('Leads'!$AA$8:$AA$107,MATCH($B40,'Leads'!$A$8:$A$107,0))),""))</x:f>
      </x:c>
      <x:c r="N40" s="42" t="str">
        <x:f>IF(AND($A40="",$B40="",$C40=""),"",IF(AND($O40=1,$P40=1),"ครบ", IF($A40="","ขาด ID เอกสาร; ","")&amp;IF(AND($A40&lt;&gt;"",COUNTIF('Quotations'!$A$8:$A$107,$A40)&gt;1),"ID เอกสารซ้ำ; ","")&amp;IF(COUNTIF('Leads'!$A$8:$A$107,$B40)&lt;&gt;1,"ตรวจรหัส Lead; ","")&amp;IF(AND($B40&lt;&gt;"",IFERROR(INDEX('Leads'!$BA$8:$BA$107,MATCH($B40,'Leads'!$A$8:$A$107,0)),0)&lt;&gt;1),"Lead ยังไม่นับผลจริง; ","")&amp;IF(OR($C40="",NOT(ISNUMBER($D40)),NOT(ISNUMBER($E40))),"ขาดเลข/รุ่น/วันส่ง; ","")&amp;IF($J40="","ขาดหลักฐาน; ","")&amp;IF(NOT(OR($I40="Yes",$I40="No")),"เลือก Yes/No; ","")&amp;IF(AND($I40="Yes",COUNTIFS('Quotations'!$B$8:$B$107,$B40,'Quotations'!$C$8:$C$107,$C40,'Quotations'!$I$8:$I$107,"Yes")&gt;1),"ฉบับปัจจุบันซ้อน; ","")&amp;IF(COUNTIFS('Quotations'!$B$8:$B$107,$B40,'Quotations'!$C$8:$C$107,$C40,'Quotations'!$D$8:$D$107,$D40)&gt;1,"เลข/รุ่นซ้ำ; ","")&amp;IF(OR(NOT(ISNUMBER($F40)),$G40="",$H40="",$H40="ไม่ทราบ"),"ตรวจมูลค่า/สกุล/ฐาน VAT; ","")))</x:f>
      </x:c>
      <x:c r="O40" s="42" t="str">
        <x:f>IF(AND($A40="",$B40="",$C40=""),"",IF(AND($A40&lt;&gt;"",COUNTIF('Quotations'!$A$8:$A$107,$A40)=1,COUNTIF('Leads'!$A$8:$A$107,$B40)=1,$L40&lt;&gt;"",IFERROR(INDEX('Leads'!$BA$8:$BA$107,MATCH($B40,'Leads'!$A$8:$A$107,0)),0)=1,$C40&lt;&gt;"",ISNUMBER($D40),$D40&gt;=1,ISNUMBER($E40),$E40&gt;0,OR($I40="Yes",$I40="No"),$J40&lt;&gt;"",COUNTIFS('Quotations'!$B$8:$B$107,$B40,'Quotations'!$C$8:$C$107,$C40,'Quotations'!$D$8:$D$107,$D40)=1,IF($I40="Yes",COUNTIFS('Quotations'!$B$8:$B$107,$B40,'Quotations'!$C$8:$C$107,$C40,'Quotations'!$I$8:$I$107,"Yes")=1,TRUE)),1,0))</x:f>
      </x:c>
      <x:c r="P40" s="42" t="str">
        <x:f>IF($O40="","",IF(AND($O40=1,ISNUMBER($F40),$F40&gt;=0,$G40&lt;&gt;"",OR($H40="รวม VAT",$H40="ไม่รวม VAT")),1,0))</x:f>
      </x:c>
    </x:row>
    <x:row r="41" ht="30" customHeight="1">
      <x:c r="A41" s="96"/>
      <x:c r="B41" s="96"/>
      <x:c r="C41" s="96"/>
      <x:c r="D41" s="36"/>
      <x:c r="E41" s="82"/>
      <x:c r="F41" s="84"/>
      <x:c r="G41" s="36"/>
      <x:c r="H41" s="36"/>
      <x:c r="I41" s="36"/>
      <x:c r="J41" s="96"/>
      <x:c r="K41" s="36"/>
      <x:c r="L41" s="98" t="str">
        <x:f>IF($B41="","",IFERROR(IF(INDEX('Leads'!$AE$8:$AE$107,MATCH($B41,'Leads'!$A$8:$A$107,0))="","",INDEX('Leads'!$AE$8:$AE$107,MATCH($B41,'Leads'!$A$8:$A$107,0))),""))</x:f>
      </x:c>
      <x:c r="M41" s="42" t="str">
        <x:f>IF($B41="","",IFERROR(IF(INDEX('Leads'!$AA$8:$AA$107,MATCH($B41,'Leads'!$A$8:$A$107,0))="","",INDEX('Leads'!$AA$8:$AA$107,MATCH($B41,'Leads'!$A$8:$A$107,0))),""))</x:f>
      </x:c>
      <x:c r="N41" s="42" t="str">
        <x:f>IF(AND($A41="",$B41="",$C41=""),"",IF(AND($O41=1,$P41=1),"ครบ", IF($A41="","ขาด ID เอกสาร; ","")&amp;IF(AND($A41&lt;&gt;"",COUNTIF('Quotations'!$A$8:$A$107,$A41)&gt;1),"ID เอกสารซ้ำ; ","")&amp;IF(COUNTIF('Leads'!$A$8:$A$107,$B41)&lt;&gt;1,"ตรวจรหัส Lead; ","")&amp;IF(AND($B41&lt;&gt;"",IFERROR(INDEX('Leads'!$BA$8:$BA$107,MATCH($B41,'Leads'!$A$8:$A$107,0)),0)&lt;&gt;1),"Lead ยังไม่นับผลจริง; ","")&amp;IF(OR($C41="",NOT(ISNUMBER($D41)),NOT(ISNUMBER($E41))),"ขาดเลข/รุ่น/วันส่ง; ","")&amp;IF($J41="","ขาดหลักฐาน; ","")&amp;IF(NOT(OR($I41="Yes",$I41="No")),"เลือก Yes/No; ","")&amp;IF(AND($I41="Yes",COUNTIFS('Quotations'!$B$8:$B$107,$B41,'Quotations'!$C$8:$C$107,$C41,'Quotations'!$I$8:$I$107,"Yes")&gt;1),"ฉบับปัจจุบันซ้อน; ","")&amp;IF(COUNTIFS('Quotations'!$B$8:$B$107,$B41,'Quotations'!$C$8:$C$107,$C41,'Quotations'!$D$8:$D$107,$D41)&gt;1,"เลข/รุ่นซ้ำ; ","")&amp;IF(OR(NOT(ISNUMBER($F41)),$G41="",$H41="",$H41="ไม่ทราบ"),"ตรวจมูลค่า/สกุล/ฐาน VAT; ","")))</x:f>
      </x:c>
      <x:c r="O41" s="42" t="str">
        <x:f>IF(AND($A41="",$B41="",$C41=""),"",IF(AND($A41&lt;&gt;"",COUNTIF('Quotations'!$A$8:$A$107,$A41)=1,COUNTIF('Leads'!$A$8:$A$107,$B41)=1,$L41&lt;&gt;"",IFERROR(INDEX('Leads'!$BA$8:$BA$107,MATCH($B41,'Leads'!$A$8:$A$107,0)),0)=1,$C41&lt;&gt;"",ISNUMBER($D41),$D41&gt;=1,ISNUMBER($E41),$E41&gt;0,OR($I41="Yes",$I41="No"),$J41&lt;&gt;"",COUNTIFS('Quotations'!$B$8:$B$107,$B41,'Quotations'!$C$8:$C$107,$C41,'Quotations'!$D$8:$D$107,$D41)=1,IF($I41="Yes",COUNTIFS('Quotations'!$B$8:$B$107,$B41,'Quotations'!$C$8:$C$107,$C41,'Quotations'!$I$8:$I$107,"Yes")=1,TRUE)),1,0))</x:f>
      </x:c>
      <x:c r="P41" s="42" t="str">
        <x:f>IF($O41="","",IF(AND($O41=1,ISNUMBER($F41),$F41&gt;=0,$G41&lt;&gt;"",OR($H41="รวม VAT",$H41="ไม่รวม VAT")),1,0))</x:f>
      </x:c>
    </x:row>
    <x:row r="42" ht="30" customHeight="1">
      <x:c r="A42" s="96"/>
      <x:c r="B42" s="96"/>
      <x:c r="C42" s="96"/>
      <x:c r="D42" s="36"/>
      <x:c r="E42" s="82"/>
      <x:c r="F42" s="84"/>
      <x:c r="G42" s="36"/>
      <x:c r="H42" s="36"/>
      <x:c r="I42" s="36"/>
      <x:c r="J42" s="96"/>
      <x:c r="K42" s="36"/>
      <x:c r="L42" s="98" t="str">
        <x:f>IF($B42="","",IFERROR(IF(INDEX('Leads'!$AE$8:$AE$107,MATCH($B42,'Leads'!$A$8:$A$107,0))="","",INDEX('Leads'!$AE$8:$AE$107,MATCH($B42,'Leads'!$A$8:$A$107,0))),""))</x:f>
      </x:c>
      <x:c r="M42" s="42" t="str">
        <x:f>IF($B42="","",IFERROR(IF(INDEX('Leads'!$AA$8:$AA$107,MATCH($B42,'Leads'!$A$8:$A$107,0))="","",INDEX('Leads'!$AA$8:$AA$107,MATCH($B42,'Leads'!$A$8:$A$107,0))),""))</x:f>
      </x:c>
      <x:c r="N42" s="42" t="str">
        <x:f>IF(AND($A42="",$B42="",$C42=""),"",IF(AND($O42=1,$P42=1),"ครบ", IF($A42="","ขาด ID เอกสาร; ","")&amp;IF(AND($A42&lt;&gt;"",COUNTIF('Quotations'!$A$8:$A$107,$A42)&gt;1),"ID เอกสารซ้ำ; ","")&amp;IF(COUNTIF('Leads'!$A$8:$A$107,$B42)&lt;&gt;1,"ตรวจรหัส Lead; ","")&amp;IF(AND($B42&lt;&gt;"",IFERROR(INDEX('Leads'!$BA$8:$BA$107,MATCH($B42,'Leads'!$A$8:$A$107,0)),0)&lt;&gt;1),"Lead ยังไม่นับผลจริง; ","")&amp;IF(OR($C42="",NOT(ISNUMBER($D42)),NOT(ISNUMBER($E42))),"ขาดเลข/รุ่น/วันส่ง; ","")&amp;IF($J42="","ขาดหลักฐาน; ","")&amp;IF(NOT(OR($I42="Yes",$I42="No")),"เลือก Yes/No; ","")&amp;IF(AND($I42="Yes",COUNTIFS('Quotations'!$B$8:$B$107,$B42,'Quotations'!$C$8:$C$107,$C42,'Quotations'!$I$8:$I$107,"Yes")&gt;1),"ฉบับปัจจุบันซ้อน; ","")&amp;IF(COUNTIFS('Quotations'!$B$8:$B$107,$B42,'Quotations'!$C$8:$C$107,$C42,'Quotations'!$D$8:$D$107,$D42)&gt;1,"เลข/รุ่นซ้ำ; ","")&amp;IF(OR(NOT(ISNUMBER($F42)),$G42="",$H42="",$H42="ไม่ทราบ"),"ตรวจมูลค่า/สกุล/ฐาน VAT; ","")))</x:f>
      </x:c>
      <x:c r="O42" s="42" t="str">
        <x:f>IF(AND($A42="",$B42="",$C42=""),"",IF(AND($A42&lt;&gt;"",COUNTIF('Quotations'!$A$8:$A$107,$A42)=1,COUNTIF('Leads'!$A$8:$A$107,$B42)=1,$L42&lt;&gt;"",IFERROR(INDEX('Leads'!$BA$8:$BA$107,MATCH($B42,'Leads'!$A$8:$A$107,0)),0)=1,$C42&lt;&gt;"",ISNUMBER($D42),$D42&gt;=1,ISNUMBER($E42),$E42&gt;0,OR($I42="Yes",$I42="No"),$J42&lt;&gt;"",COUNTIFS('Quotations'!$B$8:$B$107,$B42,'Quotations'!$C$8:$C$107,$C42,'Quotations'!$D$8:$D$107,$D42)=1,IF($I42="Yes",COUNTIFS('Quotations'!$B$8:$B$107,$B42,'Quotations'!$C$8:$C$107,$C42,'Quotations'!$I$8:$I$107,"Yes")=1,TRUE)),1,0))</x:f>
      </x:c>
      <x:c r="P42" s="42" t="str">
        <x:f>IF($O42="","",IF(AND($O42=1,ISNUMBER($F42),$F42&gt;=0,$G42&lt;&gt;"",OR($H42="รวม VAT",$H42="ไม่รวม VAT")),1,0))</x:f>
      </x:c>
    </x:row>
    <x:row r="43" ht="30" customHeight="1">
      <x:c r="A43" s="96"/>
      <x:c r="B43" s="96"/>
      <x:c r="C43" s="96"/>
      <x:c r="D43" s="36"/>
      <x:c r="E43" s="82"/>
      <x:c r="F43" s="84"/>
      <x:c r="G43" s="36"/>
      <x:c r="H43" s="36"/>
      <x:c r="I43" s="36"/>
      <x:c r="J43" s="96"/>
      <x:c r="K43" s="36"/>
      <x:c r="L43" s="98" t="str">
        <x:f>IF($B43="","",IFERROR(IF(INDEX('Leads'!$AE$8:$AE$107,MATCH($B43,'Leads'!$A$8:$A$107,0))="","",INDEX('Leads'!$AE$8:$AE$107,MATCH($B43,'Leads'!$A$8:$A$107,0))),""))</x:f>
      </x:c>
      <x:c r="M43" s="42" t="str">
        <x:f>IF($B43="","",IFERROR(IF(INDEX('Leads'!$AA$8:$AA$107,MATCH($B43,'Leads'!$A$8:$A$107,0))="","",INDEX('Leads'!$AA$8:$AA$107,MATCH($B43,'Leads'!$A$8:$A$107,0))),""))</x:f>
      </x:c>
      <x:c r="N43" s="42" t="str">
        <x:f>IF(AND($A43="",$B43="",$C43=""),"",IF(AND($O43=1,$P43=1),"ครบ", IF($A43="","ขาด ID เอกสาร; ","")&amp;IF(AND($A43&lt;&gt;"",COUNTIF('Quotations'!$A$8:$A$107,$A43)&gt;1),"ID เอกสารซ้ำ; ","")&amp;IF(COUNTIF('Leads'!$A$8:$A$107,$B43)&lt;&gt;1,"ตรวจรหัส Lead; ","")&amp;IF(AND($B43&lt;&gt;"",IFERROR(INDEX('Leads'!$BA$8:$BA$107,MATCH($B43,'Leads'!$A$8:$A$107,0)),0)&lt;&gt;1),"Lead ยังไม่นับผลจริง; ","")&amp;IF(OR($C43="",NOT(ISNUMBER($D43)),NOT(ISNUMBER($E43))),"ขาดเลข/รุ่น/วันส่ง; ","")&amp;IF($J43="","ขาดหลักฐาน; ","")&amp;IF(NOT(OR($I43="Yes",$I43="No")),"เลือก Yes/No; ","")&amp;IF(AND($I43="Yes",COUNTIFS('Quotations'!$B$8:$B$107,$B43,'Quotations'!$C$8:$C$107,$C43,'Quotations'!$I$8:$I$107,"Yes")&gt;1),"ฉบับปัจจุบันซ้อน; ","")&amp;IF(COUNTIFS('Quotations'!$B$8:$B$107,$B43,'Quotations'!$C$8:$C$107,$C43,'Quotations'!$D$8:$D$107,$D43)&gt;1,"เลข/รุ่นซ้ำ; ","")&amp;IF(OR(NOT(ISNUMBER($F43)),$G43="",$H43="",$H43="ไม่ทราบ"),"ตรวจมูลค่า/สกุล/ฐาน VAT; ","")))</x:f>
      </x:c>
      <x:c r="O43" s="42" t="str">
        <x:f>IF(AND($A43="",$B43="",$C43=""),"",IF(AND($A43&lt;&gt;"",COUNTIF('Quotations'!$A$8:$A$107,$A43)=1,COUNTIF('Leads'!$A$8:$A$107,$B43)=1,$L43&lt;&gt;"",IFERROR(INDEX('Leads'!$BA$8:$BA$107,MATCH($B43,'Leads'!$A$8:$A$107,0)),0)=1,$C43&lt;&gt;"",ISNUMBER($D43),$D43&gt;=1,ISNUMBER($E43),$E43&gt;0,OR($I43="Yes",$I43="No"),$J43&lt;&gt;"",COUNTIFS('Quotations'!$B$8:$B$107,$B43,'Quotations'!$C$8:$C$107,$C43,'Quotations'!$D$8:$D$107,$D43)=1,IF($I43="Yes",COUNTIFS('Quotations'!$B$8:$B$107,$B43,'Quotations'!$C$8:$C$107,$C43,'Quotations'!$I$8:$I$107,"Yes")=1,TRUE)),1,0))</x:f>
      </x:c>
      <x:c r="P43" s="42" t="str">
        <x:f>IF($O43="","",IF(AND($O43=1,ISNUMBER($F43),$F43&gt;=0,$G43&lt;&gt;"",OR($H43="รวม VAT",$H43="ไม่รวม VAT")),1,0))</x:f>
      </x:c>
    </x:row>
    <x:row r="44" ht="30" customHeight="1">
      <x:c r="A44" s="96"/>
      <x:c r="B44" s="96"/>
      <x:c r="C44" s="96"/>
      <x:c r="D44" s="36"/>
      <x:c r="E44" s="82"/>
      <x:c r="F44" s="84"/>
      <x:c r="G44" s="36"/>
      <x:c r="H44" s="36"/>
      <x:c r="I44" s="36"/>
      <x:c r="J44" s="96"/>
      <x:c r="K44" s="36"/>
      <x:c r="L44" s="98" t="str">
        <x:f>IF($B44="","",IFERROR(IF(INDEX('Leads'!$AE$8:$AE$107,MATCH($B44,'Leads'!$A$8:$A$107,0))="","",INDEX('Leads'!$AE$8:$AE$107,MATCH($B44,'Leads'!$A$8:$A$107,0))),""))</x:f>
      </x:c>
      <x:c r="M44" s="42" t="str">
        <x:f>IF($B44="","",IFERROR(IF(INDEX('Leads'!$AA$8:$AA$107,MATCH($B44,'Leads'!$A$8:$A$107,0))="","",INDEX('Leads'!$AA$8:$AA$107,MATCH($B44,'Leads'!$A$8:$A$107,0))),""))</x:f>
      </x:c>
      <x:c r="N44" s="42" t="str">
        <x:f>IF(AND($A44="",$B44="",$C44=""),"",IF(AND($O44=1,$P44=1),"ครบ", IF($A44="","ขาด ID เอกสาร; ","")&amp;IF(AND($A44&lt;&gt;"",COUNTIF('Quotations'!$A$8:$A$107,$A44)&gt;1),"ID เอกสารซ้ำ; ","")&amp;IF(COUNTIF('Leads'!$A$8:$A$107,$B44)&lt;&gt;1,"ตรวจรหัส Lead; ","")&amp;IF(AND($B44&lt;&gt;"",IFERROR(INDEX('Leads'!$BA$8:$BA$107,MATCH($B44,'Leads'!$A$8:$A$107,0)),0)&lt;&gt;1),"Lead ยังไม่นับผลจริง; ","")&amp;IF(OR($C44="",NOT(ISNUMBER($D44)),NOT(ISNUMBER($E44))),"ขาดเลข/รุ่น/วันส่ง; ","")&amp;IF($J44="","ขาดหลักฐาน; ","")&amp;IF(NOT(OR($I44="Yes",$I44="No")),"เลือก Yes/No; ","")&amp;IF(AND($I44="Yes",COUNTIFS('Quotations'!$B$8:$B$107,$B44,'Quotations'!$C$8:$C$107,$C44,'Quotations'!$I$8:$I$107,"Yes")&gt;1),"ฉบับปัจจุบันซ้อน; ","")&amp;IF(COUNTIFS('Quotations'!$B$8:$B$107,$B44,'Quotations'!$C$8:$C$107,$C44,'Quotations'!$D$8:$D$107,$D44)&gt;1,"เลข/รุ่นซ้ำ; ","")&amp;IF(OR(NOT(ISNUMBER($F44)),$G44="",$H44="",$H44="ไม่ทราบ"),"ตรวจมูลค่า/สกุล/ฐาน VAT; ","")))</x:f>
      </x:c>
      <x:c r="O44" s="42" t="str">
        <x:f>IF(AND($A44="",$B44="",$C44=""),"",IF(AND($A44&lt;&gt;"",COUNTIF('Quotations'!$A$8:$A$107,$A44)=1,COUNTIF('Leads'!$A$8:$A$107,$B44)=1,$L44&lt;&gt;"",IFERROR(INDEX('Leads'!$BA$8:$BA$107,MATCH($B44,'Leads'!$A$8:$A$107,0)),0)=1,$C44&lt;&gt;"",ISNUMBER($D44),$D44&gt;=1,ISNUMBER($E44),$E44&gt;0,OR($I44="Yes",$I44="No"),$J44&lt;&gt;"",COUNTIFS('Quotations'!$B$8:$B$107,$B44,'Quotations'!$C$8:$C$107,$C44,'Quotations'!$D$8:$D$107,$D44)=1,IF($I44="Yes",COUNTIFS('Quotations'!$B$8:$B$107,$B44,'Quotations'!$C$8:$C$107,$C44,'Quotations'!$I$8:$I$107,"Yes")=1,TRUE)),1,0))</x:f>
      </x:c>
      <x:c r="P44" s="42" t="str">
        <x:f>IF($O44="","",IF(AND($O44=1,ISNUMBER($F44),$F44&gt;=0,$G44&lt;&gt;"",OR($H44="รวม VAT",$H44="ไม่รวม VAT")),1,0))</x:f>
      </x:c>
    </x:row>
    <x:row r="45" ht="30" customHeight="1">
      <x:c r="A45" s="96"/>
      <x:c r="B45" s="96"/>
      <x:c r="C45" s="96"/>
      <x:c r="D45" s="36"/>
      <x:c r="E45" s="82"/>
      <x:c r="F45" s="84"/>
      <x:c r="G45" s="36"/>
      <x:c r="H45" s="36"/>
      <x:c r="I45" s="36"/>
      <x:c r="J45" s="96"/>
      <x:c r="K45" s="36"/>
      <x:c r="L45" s="98" t="str">
        <x:f>IF($B45="","",IFERROR(IF(INDEX('Leads'!$AE$8:$AE$107,MATCH($B45,'Leads'!$A$8:$A$107,0))="","",INDEX('Leads'!$AE$8:$AE$107,MATCH($B45,'Leads'!$A$8:$A$107,0))),""))</x:f>
      </x:c>
      <x:c r="M45" s="42" t="str">
        <x:f>IF($B45="","",IFERROR(IF(INDEX('Leads'!$AA$8:$AA$107,MATCH($B45,'Leads'!$A$8:$A$107,0))="","",INDEX('Leads'!$AA$8:$AA$107,MATCH($B45,'Leads'!$A$8:$A$107,0))),""))</x:f>
      </x:c>
      <x:c r="N45" s="42" t="str">
        <x:f>IF(AND($A45="",$B45="",$C45=""),"",IF(AND($O45=1,$P45=1),"ครบ", IF($A45="","ขาด ID เอกสาร; ","")&amp;IF(AND($A45&lt;&gt;"",COUNTIF('Quotations'!$A$8:$A$107,$A45)&gt;1),"ID เอกสารซ้ำ; ","")&amp;IF(COUNTIF('Leads'!$A$8:$A$107,$B45)&lt;&gt;1,"ตรวจรหัส Lead; ","")&amp;IF(AND($B45&lt;&gt;"",IFERROR(INDEX('Leads'!$BA$8:$BA$107,MATCH($B45,'Leads'!$A$8:$A$107,0)),0)&lt;&gt;1),"Lead ยังไม่นับผลจริง; ","")&amp;IF(OR($C45="",NOT(ISNUMBER($D45)),NOT(ISNUMBER($E45))),"ขาดเลข/รุ่น/วันส่ง; ","")&amp;IF($J45="","ขาดหลักฐาน; ","")&amp;IF(NOT(OR($I45="Yes",$I45="No")),"เลือก Yes/No; ","")&amp;IF(AND($I45="Yes",COUNTIFS('Quotations'!$B$8:$B$107,$B45,'Quotations'!$C$8:$C$107,$C45,'Quotations'!$I$8:$I$107,"Yes")&gt;1),"ฉบับปัจจุบันซ้อน; ","")&amp;IF(COUNTIFS('Quotations'!$B$8:$B$107,$B45,'Quotations'!$C$8:$C$107,$C45,'Quotations'!$D$8:$D$107,$D45)&gt;1,"เลข/รุ่นซ้ำ; ","")&amp;IF(OR(NOT(ISNUMBER($F45)),$G45="",$H45="",$H45="ไม่ทราบ"),"ตรวจมูลค่า/สกุล/ฐาน VAT; ","")))</x:f>
      </x:c>
      <x:c r="O45" s="42" t="str">
        <x:f>IF(AND($A45="",$B45="",$C45=""),"",IF(AND($A45&lt;&gt;"",COUNTIF('Quotations'!$A$8:$A$107,$A45)=1,COUNTIF('Leads'!$A$8:$A$107,$B45)=1,$L45&lt;&gt;"",IFERROR(INDEX('Leads'!$BA$8:$BA$107,MATCH($B45,'Leads'!$A$8:$A$107,0)),0)=1,$C45&lt;&gt;"",ISNUMBER($D45),$D45&gt;=1,ISNUMBER($E45),$E45&gt;0,OR($I45="Yes",$I45="No"),$J45&lt;&gt;"",COUNTIFS('Quotations'!$B$8:$B$107,$B45,'Quotations'!$C$8:$C$107,$C45,'Quotations'!$D$8:$D$107,$D45)=1,IF($I45="Yes",COUNTIFS('Quotations'!$B$8:$B$107,$B45,'Quotations'!$C$8:$C$107,$C45,'Quotations'!$I$8:$I$107,"Yes")=1,TRUE)),1,0))</x:f>
      </x:c>
      <x:c r="P45" s="42" t="str">
        <x:f>IF($O45="","",IF(AND($O45=1,ISNUMBER($F45),$F45&gt;=0,$G45&lt;&gt;"",OR($H45="รวม VAT",$H45="ไม่รวม VAT")),1,0))</x:f>
      </x:c>
    </x:row>
    <x:row r="46" ht="30" customHeight="1">
      <x:c r="A46" s="96"/>
      <x:c r="B46" s="96"/>
      <x:c r="C46" s="96"/>
      <x:c r="D46" s="36"/>
      <x:c r="E46" s="82"/>
      <x:c r="F46" s="84"/>
      <x:c r="G46" s="36"/>
      <x:c r="H46" s="36"/>
      <x:c r="I46" s="36"/>
      <x:c r="J46" s="96"/>
      <x:c r="K46" s="36"/>
      <x:c r="L46" s="98" t="str">
        <x:f>IF($B46="","",IFERROR(IF(INDEX('Leads'!$AE$8:$AE$107,MATCH($B46,'Leads'!$A$8:$A$107,0))="","",INDEX('Leads'!$AE$8:$AE$107,MATCH($B46,'Leads'!$A$8:$A$107,0))),""))</x:f>
      </x:c>
      <x:c r="M46" s="42" t="str">
        <x:f>IF($B46="","",IFERROR(IF(INDEX('Leads'!$AA$8:$AA$107,MATCH($B46,'Leads'!$A$8:$A$107,0))="","",INDEX('Leads'!$AA$8:$AA$107,MATCH($B46,'Leads'!$A$8:$A$107,0))),""))</x:f>
      </x:c>
      <x:c r="N46" s="42" t="str">
        <x:f>IF(AND($A46="",$B46="",$C46=""),"",IF(AND($O46=1,$P46=1),"ครบ", IF($A46="","ขาด ID เอกสาร; ","")&amp;IF(AND($A46&lt;&gt;"",COUNTIF('Quotations'!$A$8:$A$107,$A46)&gt;1),"ID เอกสารซ้ำ; ","")&amp;IF(COUNTIF('Leads'!$A$8:$A$107,$B46)&lt;&gt;1,"ตรวจรหัส Lead; ","")&amp;IF(AND($B46&lt;&gt;"",IFERROR(INDEX('Leads'!$BA$8:$BA$107,MATCH($B46,'Leads'!$A$8:$A$107,0)),0)&lt;&gt;1),"Lead ยังไม่นับผลจริง; ","")&amp;IF(OR($C46="",NOT(ISNUMBER($D46)),NOT(ISNUMBER($E46))),"ขาดเลข/รุ่น/วันส่ง; ","")&amp;IF($J46="","ขาดหลักฐาน; ","")&amp;IF(NOT(OR($I46="Yes",$I46="No")),"เลือก Yes/No; ","")&amp;IF(AND($I46="Yes",COUNTIFS('Quotations'!$B$8:$B$107,$B46,'Quotations'!$C$8:$C$107,$C46,'Quotations'!$I$8:$I$107,"Yes")&gt;1),"ฉบับปัจจุบันซ้อน; ","")&amp;IF(COUNTIFS('Quotations'!$B$8:$B$107,$B46,'Quotations'!$C$8:$C$107,$C46,'Quotations'!$D$8:$D$107,$D46)&gt;1,"เลข/รุ่นซ้ำ; ","")&amp;IF(OR(NOT(ISNUMBER($F46)),$G46="",$H46="",$H46="ไม่ทราบ"),"ตรวจมูลค่า/สกุล/ฐาน VAT; ","")))</x:f>
      </x:c>
      <x:c r="O46" s="42" t="str">
        <x:f>IF(AND($A46="",$B46="",$C46=""),"",IF(AND($A46&lt;&gt;"",COUNTIF('Quotations'!$A$8:$A$107,$A46)=1,COUNTIF('Leads'!$A$8:$A$107,$B46)=1,$L46&lt;&gt;"",IFERROR(INDEX('Leads'!$BA$8:$BA$107,MATCH($B46,'Leads'!$A$8:$A$107,0)),0)=1,$C46&lt;&gt;"",ISNUMBER($D46),$D46&gt;=1,ISNUMBER($E46),$E46&gt;0,OR($I46="Yes",$I46="No"),$J46&lt;&gt;"",COUNTIFS('Quotations'!$B$8:$B$107,$B46,'Quotations'!$C$8:$C$107,$C46,'Quotations'!$D$8:$D$107,$D46)=1,IF($I46="Yes",COUNTIFS('Quotations'!$B$8:$B$107,$B46,'Quotations'!$C$8:$C$107,$C46,'Quotations'!$I$8:$I$107,"Yes")=1,TRUE)),1,0))</x:f>
      </x:c>
      <x:c r="P46" s="42" t="str">
        <x:f>IF($O46="","",IF(AND($O46=1,ISNUMBER($F46),$F46&gt;=0,$G46&lt;&gt;"",OR($H46="รวม VAT",$H46="ไม่รวม VAT")),1,0))</x:f>
      </x:c>
    </x:row>
    <x:row r="47" ht="30" customHeight="1">
      <x:c r="A47" s="96"/>
      <x:c r="B47" s="96"/>
      <x:c r="C47" s="96"/>
      <x:c r="D47" s="36"/>
      <x:c r="E47" s="82"/>
      <x:c r="F47" s="84"/>
      <x:c r="G47" s="36"/>
      <x:c r="H47" s="36"/>
      <x:c r="I47" s="36"/>
      <x:c r="J47" s="96"/>
      <x:c r="K47" s="36"/>
      <x:c r="L47" s="98" t="str">
        <x:f>IF($B47="","",IFERROR(IF(INDEX('Leads'!$AE$8:$AE$107,MATCH($B47,'Leads'!$A$8:$A$107,0))="","",INDEX('Leads'!$AE$8:$AE$107,MATCH($B47,'Leads'!$A$8:$A$107,0))),""))</x:f>
      </x:c>
      <x:c r="M47" s="42" t="str">
        <x:f>IF($B47="","",IFERROR(IF(INDEX('Leads'!$AA$8:$AA$107,MATCH($B47,'Leads'!$A$8:$A$107,0))="","",INDEX('Leads'!$AA$8:$AA$107,MATCH($B47,'Leads'!$A$8:$A$107,0))),""))</x:f>
      </x:c>
      <x:c r="N47" s="42" t="str">
        <x:f>IF(AND($A47="",$B47="",$C47=""),"",IF(AND($O47=1,$P47=1),"ครบ", IF($A47="","ขาด ID เอกสาร; ","")&amp;IF(AND($A47&lt;&gt;"",COUNTIF('Quotations'!$A$8:$A$107,$A47)&gt;1),"ID เอกสารซ้ำ; ","")&amp;IF(COUNTIF('Leads'!$A$8:$A$107,$B47)&lt;&gt;1,"ตรวจรหัส Lead; ","")&amp;IF(AND($B47&lt;&gt;"",IFERROR(INDEX('Leads'!$BA$8:$BA$107,MATCH($B47,'Leads'!$A$8:$A$107,0)),0)&lt;&gt;1),"Lead ยังไม่นับผลจริง; ","")&amp;IF(OR($C47="",NOT(ISNUMBER($D47)),NOT(ISNUMBER($E47))),"ขาดเลข/รุ่น/วันส่ง; ","")&amp;IF($J47="","ขาดหลักฐาน; ","")&amp;IF(NOT(OR($I47="Yes",$I47="No")),"เลือก Yes/No; ","")&amp;IF(AND($I47="Yes",COUNTIFS('Quotations'!$B$8:$B$107,$B47,'Quotations'!$C$8:$C$107,$C47,'Quotations'!$I$8:$I$107,"Yes")&gt;1),"ฉบับปัจจุบันซ้อน; ","")&amp;IF(COUNTIFS('Quotations'!$B$8:$B$107,$B47,'Quotations'!$C$8:$C$107,$C47,'Quotations'!$D$8:$D$107,$D47)&gt;1,"เลข/รุ่นซ้ำ; ","")&amp;IF(OR(NOT(ISNUMBER($F47)),$G47="",$H47="",$H47="ไม่ทราบ"),"ตรวจมูลค่า/สกุล/ฐาน VAT; ","")))</x:f>
      </x:c>
      <x:c r="O47" s="42" t="str">
        <x:f>IF(AND($A47="",$B47="",$C47=""),"",IF(AND($A47&lt;&gt;"",COUNTIF('Quotations'!$A$8:$A$107,$A47)=1,COUNTIF('Leads'!$A$8:$A$107,$B47)=1,$L47&lt;&gt;"",IFERROR(INDEX('Leads'!$BA$8:$BA$107,MATCH($B47,'Leads'!$A$8:$A$107,0)),0)=1,$C47&lt;&gt;"",ISNUMBER($D47),$D47&gt;=1,ISNUMBER($E47),$E47&gt;0,OR($I47="Yes",$I47="No"),$J47&lt;&gt;"",COUNTIFS('Quotations'!$B$8:$B$107,$B47,'Quotations'!$C$8:$C$107,$C47,'Quotations'!$D$8:$D$107,$D47)=1,IF($I47="Yes",COUNTIFS('Quotations'!$B$8:$B$107,$B47,'Quotations'!$C$8:$C$107,$C47,'Quotations'!$I$8:$I$107,"Yes")=1,TRUE)),1,0))</x:f>
      </x:c>
      <x:c r="P47" s="42" t="str">
        <x:f>IF($O47="","",IF(AND($O47=1,ISNUMBER($F47),$F47&gt;=0,$G47&lt;&gt;"",OR($H47="รวม VAT",$H47="ไม่รวม VAT")),1,0))</x:f>
      </x:c>
    </x:row>
    <x:row r="48" ht="30" customHeight="1">
      <x:c r="A48" s="96"/>
      <x:c r="B48" s="96"/>
      <x:c r="C48" s="96"/>
      <x:c r="D48" s="36"/>
      <x:c r="E48" s="82"/>
      <x:c r="F48" s="84"/>
      <x:c r="G48" s="36"/>
      <x:c r="H48" s="36"/>
      <x:c r="I48" s="36"/>
      <x:c r="J48" s="96"/>
      <x:c r="K48" s="36"/>
      <x:c r="L48" s="98" t="str">
        <x:f>IF($B48="","",IFERROR(IF(INDEX('Leads'!$AE$8:$AE$107,MATCH($B48,'Leads'!$A$8:$A$107,0))="","",INDEX('Leads'!$AE$8:$AE$107,MATCH($B48,'Leads'!$A$8:$A$107,0))),""))</x:f>
      </x:c>
      <x:c r="M48" s="42" t="str">
        <x:f>IF($B48="","",IFERROR(IF(INDEX('Leads'!$AA$8:$AA$107,MATCH($B48,'Leads'!$A$8:$A$107,0))="","",INDEX('Leads'!$AA$8:$AA$107,MATCH($B48,'Leads'!$A$8:$A$107,0))),""))</x:f>
      </x:c>
      <x:c r="N48" s="42" t="str">
        <x:f>IF(AND($A48="",$B48="",$C48=""),"",IF(AND($O48=1,$P48=1),"ครบ", IF($A48="","ขาด ID เอกสาร; ","")&amp;IF(AND($A48&lt;&gt;"",COUNTIF('Quotations'!$A$8:$A$107,$A48)&gt;1),"ID เอกสารซ้ำ; ","")&amp;IF(COUNTIF('Leads'!$A$8:$A$107,$B48)&lt;&gt;1,"ตรวจรหัส Lead; ","")&amp;IF(AND($B48&lt;&gt;"",IFERROR(INDEX('Leads'!$BA$8:$BA$107,MATCH($B48,'Leads'!$A$8:$A$107,0)),0)&lt;&gt;1),"Lead ยังไม่นับผลจริง; ","")&amp;IF(OR($C48="",NOT(ISNUMBER($D48)),NOT(ISNUMBER($E48))),"ขาดเลข/รุ่น/วันส่ง; ","")&amp;IF($J48="","ขาดหลักฐาน; ","")&amp;IF(NOT(OR($I48="Yes",$I48="No")),"เลือก Yes/No; ","")&amp;IF(AND($I48="Yes",COUNTIFS('Quotations'!$B$8:$B$107,$B48,'Quotations'!$C$8:$C$107,$C48,'Quotations'!$I$8:$I$107,"Yes")&gt;1),"ฉบับปัจจุบันซ้อน; ","")&amp;IF(COUNTIFS('Quotations'!$B$8:$B$107,$B48,'Quotations'!$C$8:$C$107,$C48,'Quotations'!$D$8:$D$107,$D48)&gt;1,"เลข/รุ่นซ้ำ; ","")&amp;IF(OR(NOT(ISNUMBER($F48)),$G48="",$H48="",$H48="ไม่ทราบ"),"ตรวจมูลค่า/สกุล/ฐาน VAT; ","")))</x:f>
      </x:c>
      <x:c r="O48" s="42" t="str">
        <x:f>IF(AND($A48="",$B48="",$C48=""),"",IF(AND($A48&lt;&gt;"",COUNTIF('Quotations'!$A$8:$A$107,$A48)=1,COUNTIF('Leads'!$A$8:$A$107,$B48)=1,$L48&lt;&gt;"",IFERROR(INDEX('Leads'!$BA$8:$BA$107,MATCH($B48,'Leads'!$A$8:$A$107,0)),0)=1,$C48&lt;&gt;"",ISNUMBER($D48),$D48&gt;=1,ISNUMBER($E48),$E48&gt;0,OR($I48="Yes",$I48="No"),$J48&lt;&gt;"",COUNTIFS('Quotations'!$B$8:$B$107,$B48,'Quotations'!$C$8:$C$107,$C48,'Quotations'!$D$8:$D$107,$D48)=1,IF($I48="Yes",COUNTIFS('Quotations'!$B$8:$B$107,$B48,'Quotations'!$C$8:$C$107,$C48,'Quotations'!$I$8:$I$107,"Yes")=1,TRUE)),1,0))</x:f>
      </x:c>
      <x:c r="P48" s="42" t="str">
        <x:f>IF($O48="","",IF(AND($O48=1,ISNUMBER($F48),$F48&gt;=0,$G48&lt;&gt;"",OR($H48="รวม VAT",$H48="ไม่รวม VAT")),1,0))</x:f>
      </x:c>
    </x:row>
    <x:row r="49" ht="30" customHeight="1">
      <x:c r="A49" s="96"/>
      <x:c r="B49" s="96"/>
      <x:c r="C49" s="96"/>
      <x:c r="D49" s="36"/>
      <x:c r="E49" s="82"/>
      <x:c r="F49" s="84"/>
      <x:c r="G49" s="36"/>
      <x:c r="H49" s="36"/>
      <x:c r="I49" s="36"/>
      <x:c r="J49" s="96"/>
      <x:c r="K49" s="36"/>
      <x:c r="L49" s="98" t="str">
        <x:f>IF($B49="","",IFERROR(IF(INDEX('Leads'!$AE$8:$AE$107,MATCH($B49,'Leads'!$A$8:$A$107,0))="","",INDEX('Leads'!$AE$8:$AE$107,MATCH($B49,'Leads'!$A$8:$A$107,0))),""))</x:f>
      </x:c>
      <x:c r="M49" s="42" t="str">
        <x:f>IF($B49="","",IFERROR(IF(INDEX('Leads'!$AA$8:$AA$107,MATCH($B49,'Leads'!$A$8:$A$107,0))="","",INDEX('Leads'!$AA$8:$AA$107,MATCH($B49,'Leads'!$A$8:$A$107,0))),""))</x:f>
      </x:c>
      <x:c r="N49" s="42" t="str">
        <x:f>IF(AND($A49="",$B49="",$C49=""),"",IF(AND($O49=1,$P49=1),"ครบ", IF($A49="","ขาด ID เอกสาร; ","")&amp;IF(AND($A49&lt;&gt;"",COUNTIF('Quotations'!$A$8:$A$107,$A49)&gt;1),"ID เอกสารซ้ำ; ","")&amp;IF(COUNTIF('Leads'!$A$8:$A$107,$B49)&lt;&gt;1,"ตรวจรหัส Lead; ","")&amp;IF(AND($B49&lt;&gt;"",IFERROR(INDEX('Leads'!$BA$8:$BA$107,MATCH($B49,'Leads'!$A$8:$A$107,0)),0)&lt;&gt;1),"Lead ยังไม่นับผลจริง; ","")&amp;IF(OR($C49="",NOT(ISNUMBER($D49)),NOT(ISNUMBER($E49))),"ขาดเลข/รุ่น/วันส่ง; ","")&amp;IF($J49="","ขาดหลักฐาน; ","")&amp;IF(NOT(OR($I49="Yes",$I49="No")),"เลือก Yes/No; ","")&amp;IF(AND($I49="Yes",COUNTIFS('Quotations'!$B$8:$B$107,$B49,'Quotations'!$C$8:$C$107,$C49,'Quotations'!$I$8:$I$107,"Yes")&gt;1),"ฉบับปัจจุบันซ้อน; ","")&amp;IF(COUNTIFS('Quotations'!$B$8:$B$107,$B49,'Quotations'!$C$8:$C$107,$C49,'Quotations'!$D$8:$D$107,$D49)&gt;1,"เลข/รุ่นซ้ำ; ","")&amp;IF(OR(NOT(ISNUMBER($F49)),$G49="",$H49="",$H49="ไม่ทราบ"),"ตรวจมูลค่า/สกุล/ฐาน VAT; ","")))</x:f>
      </x:c>
      <x:c r="O49" s="42" t="str">
        <x:f>IF(AND($A49="",$B49="",$C49=""),"",IF(AND($A49&lt;&gt;"",COUNTIF('Quotations'!$A$8:$A$107,$A49)=1,COUNTIF('Leads'!$A$8:$A$107,$B49)=1,$L49&lt;&gt;"",IFERROR(INDEX('Leads'!$BA$8:$BA$107,MATCH($B49,'Leads'!$A$8:$A$107,0)),0)=1,$C49&lt;&gt;"",ISNUMBER($D49),$D49&gt;=1,ISNUMBER($E49),$E49&gt;0,OR($I49="Yes",$I49="No"),$J49&lt;&gt;"",COUNTIFS('Quotations'!$B$8:$B$107,$B49,'Quotations'!$C$8:$C$107,$C49,'Quotations'!$D$8:$D$107,$D49)=1,IF($I49="Yes",COUNTIFS('Quotations'!$B$8:$B$107,$B49,'Quotations'!$C$8:$C$107,$C49,'Quotations'!$I$8:$I$107,"Yes")=1,TRUE)),1,0))</x:f>
      </x:c>
      <x:c r="P49" s="42" t="str">
        <x:f>IF($O49="","",IF(AND($O49=1,ISNUMBER($F49),$F49&gt;=0,$G49&lt;&gt;"",OR($H49="รวม VAT",$H49="ไม่รวม VAT")),1,0))</x:f>
      </x:c>
    </x:row>
    <x:row r="50" ht="30" customHeight="1">
      <x:c r="A50" s="96"/>
      <x:c r="B50" s="96"/>
      <x:c r="C50" s="96"/>
      <x:c r="D50" s="36"/>
      <x:c r="E50" s="82"/>
      <x:c r="F50" s="84"/>
      <x:c r="G50" s="36"/>
      <x:c r="H50" s="36"/>
      <x:c r="I50" s="36"/>
      <x:c r="J50" s="96"/>
      <x:c r="K50" s="36"/>
      <x:c r="L50" s="98" t="str">
        <x:f>IF($B50="","",IFERROR(IF(INDEX('Leads'!$AE$8:$AE$107,MATCH($B50,'Leads'!$A$8:$A$107,0))="","",INDEX('Leads'!$AE$8:$AE$107,MATCH($B50,'Leads'!$A$8:$A$107,0))),""))</x:f>
      </x:c>
      <x:c r="M50" s="42" t="str">
        <x:f>IF($B50="","",IFERROR(IF(INDEX('Leads'!$AA$8:$AA$107,MATCH($B50,'Leads'!$A$8:$A$107,0))="","",INDEX('Leads'!$AA$8:$AA$107,MATCH($B50,'Leads'!$A$8:$A$107,0))),""))</x:f>
      </x:c>
      <x:c r="N50" s="42" t="str">
        <x:f>IF(AND($A50="",$B50="",$C50=""),"",IF(AND($O50=1,$P50=1),"ครบ", IF($A50="","ขาด ID เอกสาร; ","")&amp;IF(AND($A50&lt;&gt;"",COUNTIF('Quotations'!$A$8:$A$107,$A50)&gt;1),"ID เอกสารซ้ำ; ","")&amp;IF(COUNTIF('Leads'!$A$8:$A$107,$B50)&lt;&gt;1,"ตรวจรหัส Lead; ","")&amp;IF(AND($B50&lt;&gt;"",IFERROR(INDEX('Leads'!$BA$8:$BA$107,MATCH($B50,'Leads'!$A$8:$A$107,0)),0)&lt;&gt;1),"Lead ยังไม่นับผลจริง; ","")&amp;IF(OR($C50="",NOT(ISNUMBER($D50)),NOT(ISNUMBER($E50))),"ขาดเลข/รุ่น/วันส่ง; ","")&amp;IF($J50="","ขาดหลักฐาน; ","")&amp;IF(NOT(OR($I50="Yes",$I50="No")),"เลือก Yes/No; ","")&amp;IF(AND($I50="Yes",COUNTIFS('Quotations'!$B$8:$B$107,$B50,'Quotations'!$C$8:$C$107,$C50,'Quotations'!$I$8:$I$107,"Yes")&gt;1),"ฉบับปัจจุบันซ้อน; ","")&amp;IF(COUNTIFS('Quotations'!$B$8:$B$107,$B50,'Quotations'!$C$8:$C$107,$C50,'Quotations'!$D$8:$D$107,$D50)&gt;1,"เลข/รุ่นซ้ำ; ","")&amp;IF(OR(NOT(ISNUMBER($F50)),$G50="",$H50="",$H50="ไม่ทราบ"),"ตรวจมูลค่า/สกุล/ฐาน VAT; ","")))</x:f>
      </x:c>
      <x:c r="O50" s="42" t="str">
        <x:f>IF(AND($A50="",$B50="",$C50=""),"",IF(AND($A50&lt;&gt;"",COUNTIF('Quotations'!$A$8:$A$107,$A50)=1,COUNTIF('Leads'!$A$8:$A$107,$B50)=1,$L50&lt;&gt;"",IFERROR(INDEX('Leads'!$BA$8:$BA$107,MATCH($B50,'Leads'!$A$8:$A$107,0)),0)=1,$C50&lt;&gt;"",ISNUMBER($D50),$D50&gt;=1,ISNUMBER($E50),$E50&gt;0,OR($I50="Yes",$I50="No"),$J50&lt;&gt;"",COUNTIFS('Quotations'!$B$8:$B$107,$B50,'Quotations'!$C$8:$C$107,$C50,'Quotations'!$D$8:$D$107,$D50)=1,IF($I50="Yes",COUNTIFS('Quotations'!$B$8:$B$107,$B50,'Quotations'!$C$8:$C$107,$C50,'Quotations'!$I$8:$I$107,"Yes")=1,TRUE)),1,0))</x:f>
      </x:c>
      <x:c r="P50" s="42" t="str">
        <x:f>IF($O50="","",IF(AND($O50=1,ISNUMBER($F50),$F50&gt;=0,$G50&lt;&gt;"",OR($H50="รวม VAT",$H50="ไม่รวม VAT")),1,0))</x:f>
      </x:c>
    </x:row>
    <x:row r="51" ht="30" customHeight="1">
      <x:c r="A51" s="96"/>
      <x:c r="B51" s="96"/>
      <x:c r="C51" s="96"/>
      <x:c r="D51" s="36"/>
      <x:c r="E51" s="82"/>
      <x:c r="F51" s="84"/>
      <x:c r="G51" s="36"/>
      <x:c r="H51" s="36"/>
      <x:c r="I51" s="36"/>
      <x:c r="J51" s="96"/>
      <x:c r="K51" s="36"/>
      <x:c r="L51" s="98" t="str">
        <x:f>IF($B51="","",IFERROR(IF(INDEX('Leads'!$AE$8:$AE$107,MATCH($B51,'Leads'!$A$8:$A$107,0))="","",INDEX('Leads'!$AE$8:$AE$107,MATCH($B51,'Leads'!$A$8:$A$107,0))),""))</x:f>
      </x:c>
      <x:c r="M51" s="42" t="str">
        <x:f>IF($B51="","",IFERROR(IF(INDEX('Leads'!$AA$8:$AA$107,MATCH($B51,'Leads'!$A$8:$A$107,0))="","",INDEX('Leads'!$AA$8:$AA$107,MATCH($B51,'Leads'!$A$8:$A$107,0))),""))</x:f>
      </x:c>
      <x:c r="N51" s="42" t="str">
        <x:f>IF(AND($A51="",$B51="",$C51=""),"",IF(AND($O51=1,$P51=1),"ครบ", IF($A51="","ขาด ID เอกสาร; ","")&amp;IF(AND($A51&lt;&gt;"",COUNTIF('Quotations'!$A$8:$A$107,$A51)&gt;1),"ID เอกสารซ้ำ; ","")&amp;IF(COUNTIF('Leads'!$A$8:$A$107,$B51)&lt;&gt;1,"ตรวจรหัส Lead; ","")&amp;IF(AND($B51&lt;&gt;"",IFERROR(INDEX('Leads'!$BA$8:$BA$107,MATCH($B51,'Leads'!$A$8:$A$107,0)),0)&lt;&gt;1),"Lead ยังไม่นับผลจริง; ","")&amp;IF(OR($C51="",NOT(ISNUMBER($D51)),NOT(ISNUMBER($E51))),"ขาดเลข/รุ่น/วันส่ง; ","")&amp;IF($J51="","ขาดหลักฐาน; ","")&amp;IF(NOT(OR($I51="Yes",$I51="No")),"เลือก Yes/No; ","")&amp;IF(AND($I51="Yes",COUNTIFS('Quotations'!$B$8:$B$107,$B51,'Quotations'!$C$8:$C$107,$C51,'Quotations'!$I$8:$I$107,"Yes")&gt;1),"ฉบับปัจจุบันซ้อน; ","")&amp;IF(COUNTIFS('Quotations'!$B$8:$B$107,$B51,'Quotations'!$C$8:$C$107,$C51,'Quotations'!$D$8:$D$107,$D51)&gt;1,"เลข/รุ่นซ้ำ; ","")&amp;IF(OR(NOT(ISNUMBER($F51)),$G51="",$H51="",$H51="ไม่ทราบ"),"ตรวจมูลค่า/สกุล/ฐาน VAT; ","")))</x:f>
      </x:c>
      <x:c r="O51" s="42" t="str">
        <x:f>IF(AND($A51="",$B51="",$C51=""),"",IF(AND($A51&lt;&gt;"",COUNTIF('Quotations'!$A$8:$A$107,$A51)=1,COUNTIF('Leads'!$A$8:$A$107,$B51)=1,$L51&lt;&gt;"",IFERROR(INDEX('Leads'!$BA$8:$BA$107,MATCH($B51,'Leads'!$A$8:$A$107,0)),0)=1,$C51&lt;&gt;"",ISNUMBER($D51),$D51&gt;=1,ISNUMBER($E51),$E51&gt;0,OR($I51="Yes",$I51="No"),$J51&lt;&gt;"",COUNTIFS('Quotations'!$B$8:$B$107,$B51,'Quotations'!$C$8:$C$107,$C51,'Quotations'!$D$8:$D$107,$D51)=1,IF($I51="Yes",COUNTIFS('Quotations'!$B$8:$B$107,$B51,'Quotations'!$C$8:$C$107,$C51,'Quotations'!$I$8:$I$107,"Yes")=1,TRUE)),1,0))</x:f>
      </x:c>
      <x:c r="P51" s="42" t="str">
        <x:f>IF($O51="","",IF(AND($O51=1,ISNUMBER($F51),$F51&gt;=0,$G51&lt;&gt;"",OR($H51="รวม VAT",$H51="ไม่รวม VAT")),1,0))</x:f>
      </x:c>
    </x:row>
    <x:row r="52" ht="30" customHeight="1">
      <x:c r="A52" s="96"/>
      <x:c r="B52" s="96"/>
      <x:c r="C52" s="96"/>
      <x:c r="D52" s="36"/>
      <x:c r="E52" s="82"/>
      <x:c r="F52" s="84"/>
      <x:c r="G52" s="36"/>
      <x:c r="H52" s="36"/>
      <x:c r="I52" s="36"/>
      <x:c r="J52" s="96"/>
      <x:c r="K52" s="36"/>
      <x:c r="L52" s="98" t="str">
        <x:f>IF($B52="","",IFERROR(IF(INDEX('Leads'!$AE$8:$AE$107,MATCH($B52,'Leads'!$A$8:$A$107,0))="","",INDEX('Leads'!$AE$8:$AE$107,MATCH($B52,'Leads'!$A$8:$A$107,0))),""))</x:f>
      </x:c>
      <x:c r="M52" s="42" t="str">
        <x:f>IF($B52="","",IFERROR(IF(INDEX('Leads'!$AA$8:$AA$107,MATCH($B52,'Leads'!$A$8:$A$107,0))="","",INDEX('Leads'!$AA$8:$AA$107,MATCH($B52,'Leads'!$A$8:$A$107,0))),""))</x:f>
      </x:c>
      <x:c r="N52" s="42" t="str">
        <x:f>IF(AND($A52="",$B52="",$C52=""),"",IF(AND($O52=1,$P52=1),"ครบ", IF($A52="","ขาด ID เอกสาร; ","")&amp;IF(AND($A52&lt;&gt;"",COUNTIF('Quotations'!$A$8:$A$107,$A52)&gt;1),"ID เอกสารซ้ำ; ","")&amp;IF(COUNTIF('Leads'!$A$8:$A$107,$B52)&lt;&gt;1,"ตรวจรหัส Lead; ","")&amp;IF(AND($B52&lt;&gt;"",IFERROR(INDEX('Leads'!$BA$8:$BA$107,MATCH($B52,'Leads'!$A$8:$A$107,0)),0)&lt;&gt;1),"Lead ยังไม่นับผลจริง; ","")&amp;IF(OR($C52="",NOT(ISNUMBER($D52)),NOT(ISNUMBER($E52))),"ขาดเลข/รุ่น/วันส่ง; ","")&amp;IF($J52="","ขาดหลักฐาน; ","")&amp;IF(NOT(OR($I52="Yes",$I52="No")),"เลือก Yes/No; ","")&amp;IF(AND($I52="Yes",COUNTIFS('Quotations'!$B$8:$B$107,$B52,'Quotations'!$C$8:$C$107,$C52,'Quotations'!$I$8:$I$107,"Yes")&gt;1),"ฉบับปัจจุบันซ้อน; ","")&amp;IF(COUNTIFS('Quotations'!$B$8:$B$107,$B52,'Quotations'!$C$8:$C$107,$C52,'Quotations'!$D$8:$D$107,$D52)&gt;1,"เลข/รุ่นซ้ำ; ","")&amp;IF(OR(NOT(ISNUMBER($F52)),$G52="",$H52="",$H52="ไม่ทราบ"),"ตรวจมูลค่า/สกุล/ฐาน VAT; ","")))</x:f>
      </x:c>
      <x:c r="O52" s="42" t="str">
        <x:f>IF(AND($A52="",$B52="",$C52=""),"",IF(AND($A52&lt;&gt;"",COUNTIF('Quotations'!$A$8:$A$107,$A52)=1,COUNTIF('Leads'!$A$8:$A$107,$B52)=1,$L52&lt;&gt;"",IFERROR(INDEX('Leads'!$BA$8:$BA$107,MATCH($B52,'Leads'!$A$8:$A$107,0)),0)=1,$C52&lt;&gt;"",ISNUMBER($D52),$D52&gt;=1,ISNUMBER($E52),$E52&gt;0,OR($I52="Yes",$I52="No"),$J52&lt;&gt;"",COUNTIFS('Quotations'!$B$8:$B$107,$B52,'Quotations'!$C$8:$C$107,$C52,'Quotations'!$D$8:$D$107,$D52)=1,IF($I52="Yes",COUNTIFS('Quotations'!$B$8:$B$107,$B52,'Quotations'!$C$8:$C$107,$C52,'Quotations'!$I$8:$I$107,"Yes")=1,TRUE)),1,0))</x:f>
      </x:c>
      <x:c r="P52" s="42" t="str">
        <x:f>IF($O52="","",IF(AND($O52=1,ISNUMBER($F52),$F52&gt;=0,$G52&lt;&gt;"",OR($H52="รวม VAT",$H52="ไม่รวม VAT")),1,0))</x:f>
      </x:c>
    </x:row>
    <x:row r="53" ht="30" customHeight="1">
      <x:c r="A53" s="96"/>
      <x:c r="B53" s="96"/>
      <x:c r="C53" s="96"/>
      <x:c r="D53" s="36"/>
      <x:c r="E53" s="82"/>
      <x:c r="F53" s="84"/>
      <x:c r="G53" s="36"/>
      <x:c r="H53" s="36"/>
      <x:c r="I53" s="36"/>
      <x:c r="J53" s="96"/>
      <x:c r="K53" s="36"/>
      <x:c r="L53" s="98" t="str">
        <x:f>IF($B53="","",IFERROR(IF(INDEX('Leads'!$AE$8:$AE$107,MATCH($B53,'Leads'!$A$8:$A$107,0))="","",INDEX('Leads'!$AE$8:$AE$107,MATCH($B53,'Leads'!$A$8:$A$107,0))),""))</x:f>
      </x:c>
      <x:c r="M53" s="42" t="str">
        <x:f>IF($B53="","",IFERROR(IF(INDEX('Leads'!$AA$8:$AA$107,MATCH($B53,'Leads'!$A$8:$A$107,0))="","",INDEX('Leads'!$AA$8:$AA$107,MATCH($B53,'Leads'!$A$8:$A$107,0))),""))</x:f>
      </x:c>
      <x:c r="N53" s="42" t="str">
        <x:f>IF(AND($A53="",$B53="",$C53=""),"",IF(AND($O53=1,$P53=1),"ครบ", IF($A53="","ขาด ID เอกสาร; ","")&amp;IF(AND($A53&lt;&gt;"",COUNTIF('Quotations'!$A$8:$A$107,$A53)&gt;1),"ID เอกสารซ้ำ; ","")&amp;IF(COUNTIF('Leads'!$A$8:$A$107,$B53)&lt;&gt;1,"ตรวจรหัส Lead; ","")&amp;IF(AND($B53&lt;&gt;"",IFERROR(INDEX('Leads'!$BA$8:$BA$107,MATCH($B53,'Leads'!$A$8:$A$107,0)),0)&lt;&gt;1),"Lead ยังไม่นับผลจริง; ","")&amp;IF(OR($C53="",NOT(ISNUMBER($D53)),NOT(ISNUMBER($E53))),"ขาดเลข/รุ่น/วันส่ง; ","")&amp;IF($J53="","ขาดหลักฐาน; ","")&amp;IF(NOT(OR($I53="Yes",$I53="No")),"เลือก Yes/No; ","")&amp;IF(AND($I53="Yes",COUNTIFS('Quotations'!$B$8:$B$107,$B53,'Quotations'!$C$8:$C$107,$C53,'Quotations'!$I$8:$I$107,"Yes")&gt;1),"ฉบับปัจจุบันซ้อน; ","")&amp;IF(COUNTIFS('Quotations'!$B$8:$B$107,$B53,'Quotations'!$C$8:$C$107,$C53,'Quotations'!$D$8:$D$107,$D53)&gt;1,"เลข/รุ่นซ้ำ; ","")&amp;IF(OR(NOT(ISNUMBER($F53)),$G53="",$H53="",$H53="ไม่ทราบ"),"ตรวจมูลค่า/สกุล/ฐาน VAT; ","")))</x:f>
      </x:c>
      <x:c r="O53" s="42" t="str">
        <x:f>IF(AND($A53="",$B53="",$C53=""),"",IF(AND($A53&lt;&gt;"",COUNTIF('Quotations'!$A$8:$A$107,$A53)=1,COUNTIF('Leads'!$A$8:$A$107,$B53)=1,$L53&lt;&gt;"",IFERROR(INDEX('Leads'!$BA$8:$BA$107,MATCH($B53,'Leads'!$A$8:$A$107,0)),0)=1,$C53&lt;&gt;"",ISNUMBER($D53),$D53&gt;=1,ISNUMBER($E53),$E53&gt;0,OR($I53="Yes",$I53="No"),$J53&lt;&gt;"",COUNTIFS('Quotations'!$B$8:$B$107,$B53,'Quotations'!$C$8:$C$107,$C53,'Quotations'!$D$8:$D$107,$D53)=1,IF($I53="Yes",COUNTIFS('Quotations'!$B$8:$B$107,$B53,'Quotations'!$C$8:$C$107,$C53,'Quotations'!$I$8:$I$107,"Yes")=1,TRUE)),1,0))</x:f>
      </x:c>
      <x:c r="P53" s="42" t="str">
        <x:f>IF($O53="","",IF(AND($O53=1,ISNUMBER($F53),$F53&gt;=0,$G53&lt;&gt;"",OR($H53="รวม VAT",$H53="ไม่รวม VAT")),1,0))</x:f>
      </x:c>
    </x:row>
    <x:row r="54" ht="30" customHeight="1">
      <x:c r="A54" s="96"/>
      <x:c r="B54" s="96"/>
      <x:c r="C54" s="96"/>
      <x:c r="D54" s="36"/>
      <x:c r="E54" s="82"/>
      <x:c r="F54" s="84"/>
      <x:c r="G54" s="36"/>
      <x:c r="H54" s="36"/>
      <x:c r="I54" s="36"/>
      <x:c r="J54" s="96"/>
      <x:c r="K54" s="36"/>
      <x:c r="L54" s="98" t="str">
        <x:f>IF($B54="","",IFERROR(IF(INDEX('Leads'!$AE$8:$AE$107,MATCH($B54,'Leads'!$A$8:$A$107,0))="","",INDEX('Leads'!$AE$8:$AE$107,MATCH($B54,'Leads'!$A$8:$A$107,0))),""))</x:f>
      </x:c>
      <x:c r="M54" s="42" t="str">
        <x:f>IF($B54="","",IFERROR(IF(INDEX('Leads'!$AA$8:$AA$107,MATCH($B54,'Leads'!$A$8:$A$107,0))="","",INDEX('Leads'!$AA$8:$AA$107,MATCH($B54,'Leads'!$A$8:$A$107,0))),""))</x:f>
      </x:c>
      <x:c r="N54" s="42" t="str">
        <x:f>IF(AND($A54="",$B54="",$C54=""),"",IF(AND($O54=1,$P54=1),"ครบ", IF($A54="","ขาด ID เอกสาร; ","")&amp;IF(AND($A54&lt;&gt;"",COUNTIF('Quotations'!$A$8:$A$107,$A54)&gt;1),"ID เอกสารซ้ำ; ","")&amp;IF(COUNTIF('Leads'!$A$8:$A$107,$B54)&lt;&gt;1,"ตรวจรหัส Lead; ","")&amp;IF(AND($B54&lt;&gt;"",IFERROR(INDEX('Leads'!$BA$8:$BA$107,MATCH($B54,'Leads'!$A$8:$A$107,0)),0)&lt;&gt;1),"Lead ยังไม่นับผลจริง; ","")&amp;IF(OR($C54="",NOT(ISNUMBER($D54)),NOT(ISNUMBER($E54))),"ขาดเลข/รุ่น/วันส่ง; ","")&amp;IF($J54="","ขาดหลักฐาน; ","")&amp;IF(NOT(OR($I54="Yes",$I54="No")),"เลือก Yes/No; ","")&amp;IF(AND($I54="Yes",COUNTIFS('Quotations'!$B$8:$B$107,$B54,'Quotations'!$C$8:$C$107,$C54,'Quotations'!$I$8:$I$107,"Yes")&gt;1),"ฉบับปัจจุบันซ้อน; ","")&amp;IF(COUNTIFS('Quotations'!$B$8:$B$107,$B54,'Quotations'!$C$8:$C$107,$C54,'Quotations'!$D$8:$D$107,$D54)&gt;1,"เลข/รุ่นซ้ำ; ","")&amp;IF(OR(NOT(ISNUMBER($F54)),$G54="",$H54="",$H54="ไม่ทราบ"),"ตรวจมูลค่า/สกุล/ฐาน VAT; ","")))</x:f>
      </x:c>
      <x:c r="O54" s="42" t="str">
        <x:f>IF(AND($A54="",$B54="",$C54=""),"",IF(AND($A54&lt;&gt;"",COUNTIF('Quotations'!$A$8:$A$107,$A54)=1,COUNTIF('Leads'!$A$8:$A$107,$B54)=1,$L54&lt;&gt;"",IFERROR(INDEX('Leads'!$BA$8:$BA$107,MATCH($B54,'Leads'!$A$8:$A$107,0)),0)=1,$C54&lt;&gt;"",ISNUMBER($D54),$D54&gt;=1,ISNUMBER($E54),$E54&gt;0,OR($I54="Yes",$I54="No"),$J54&lt;&gt;"",COUNTIFS('Quotations'!$B$8:$B$107,$B54,'Quotations'!$C$8:$C$107,$C54,'Quotations'!$D$8:$D$107,$D54)=1,IF($I54="Yes",COUNTIFS('Quotations'!$B$8:$B$107,$B54,'Quotations'!$C$8:$C$107,$C54,'Quotations'!$I$8:$I$107,"Yes")=1,TRUE)),1,0))</x:f>
      </x:c>
      <x:c r="P54" s="42" t="str">
        <x:f>IF($O54="","",IF(AND($O54=1,ISNUMBER($F54),$F54&gt;=0,$G54&lt;&gt;"",OR($H54="รวม VAT",$H54="ไม่รวม VAT")),1,0))</x:f>
      </x:c>
    </x:row>
    <x:row r="55" ht="30" customHeight="1">
      <x:c r="A55" s="96"/>
      <x:c r="B55" s="96"/>
      <x:c r="C55" s="96"/>
      <x:c r="D55" s="36"/>
      <x:c r="E55" s="82"/>
      <x:c r="F55" s="84"/>
      <x:c r="G55" s="36"/>
      <x:c r="H55" s="36"/>
      <x:c r="I55" s="36"/>
      <x:c r="J55" s="96"/>
      <x:c r="K55" s="36"/>
      <x:c r="L55" s="98" t="str">
        <x:f>IF($B55="","",IFERROR(IF(INDEX('Leads'!$AE$8:$AE$107,MATCH($B55,'Leads'!$A$8:$A$107,0))="","",INDEX('Leads'!$AE$8:$AE$107,MATCH($B55,'Leads'!$A$8:$A$107,0))),""))</x:f>
      </x:c>
      <x:c r="M55" s="42" t="str">
        <x:f>IF($B55="","",IFERROR(IF(INDEX('Leads'!$AA$8:$AA$107,MATCH($B55,'Leads'!$A$8:$A$107,0))="","",INDEX('Leads'!$AA$8:$AA$107,MATCH($B55,'Leads'!$A$8:$A$107,0))),""))</x:f>
      </x:c>
      <x:c r="N55" s="42" t="str">
        <x:f>IF(AND($A55="",$B55="",$C55=""),"",IF(AND($O55=1,$P55=1),"ครบ", IF($A55="","ขาด ID เอกสาร; ","")&amp;IF(AND($A55&lt;&gt;"",COUNTIF('Quotations'!$A$8:$A$107,$A55)&gt;1),"ID เอกสารซ้ำ; ","")&amp;IF(COUNTIF('Leads'!$A$8:$A$107,$B55)&lt;&gt;1,"ตรวจรหัส Lead; ","")&amp;IF(AND($B55&lt;&gt;"",IFERROR(INDEX('Leads'!$BA$8:$BA$107,MATCH($B55,'Leads'!$A$8:$A$107,0)),0)&lt;&gt;1),"Lead ยังไม่นับผลจริง; ","")&amp;IF(OR($C55="",NOT(ISNUMBER($D55)),NOT(ISNUMBER($E55))),"ขาดเลข/รุ่น/วันส่ง; ","")&amp;IF($J55="","ขาดหลักฐาน; ","")&amp;IF(NOT(OR($I55="Yes",$I55="No")),"เลือก Yes/No; ","")&amp;IF(AND($I55="Yes",COUNTIFS('Quotations'!$B$8:$B$107,$B55,'Quotations'!$C$8:$C$107,$C55,'Quotations'!$I$8:$I$107,"Yes")&gt;1),"ฉบับปัจจุบันซ้อน; ","")&amp;IF(COUNTIFS('Quotations'!$B$8:$B$107,$B55,'Quotations'!$C$8:$C$107,$C55,'Quotations'!$D$8:$D$107,$D55)&gt;1,"เลข/รุ่นซ้ำ; ","")&amp;IF(OR(NOT(ISNUMBER($F55)),$G55="",$H55="",$H55="ไม่ทราบ"),"ตรวจมูลค่า/สกุล/ฐาน VAT; ","")))</x:f>
      </x:c>
      <x:c r="O55" s="42" t="str">
        <x:f>IF(AND($A55="",$B55="",$C55=""),"",IF(AND($A55&lt;&gt;"",COUNTIF('Quotations'!$A$8:$A$107,$A55)=1,COUNTIF('Leads'!$A$8:$A$107,$B55)=1,$L55&lt;&gt;"",IFERROR(INDEX('Leads'!$BA$8:$BA$107,MATCH($B55,'Leads'!$A$8:$A$107,0)),0)=1,$C55&lt;&gt;"",ISNUMBER($D55),$D55&gt;=1,ISNUMBER($E55),$E55&gt;0,OR($I55="Yes",$I55="No"),$J55&lt;&gt;"",COUNTIFS('Quotations'!$B$8:$B$107,$B55,'Quotations'!$C$8:$C$107,$C55,'Quotations'!$D$8:$D$107,$D55)=1,IF($I55="Yes",COUNTIFS('Quotations'!$B$8:$B$107,$B55,'Quotations'!$C$8:$C$107,$C55,'Quotations'!$I$8:$I$107,"Yes")=1,TRUE)),1,0))</x:f>
      </x:c>
      <x:c r="P55" s="42" t="str">
        <x:f>IF($O55="","",IF(AND($O55=1,ISNUMBER($F55),$F55&gt;=0,$G55&lt;&gt;"",OR($H55="รวม VAT",$H55="ไม่รวม VAT")),1,0))</x:f>
      </x:c>
    </x:row>
    <x:row r="56" ht="30" customHeight="1">
      <x:c r="A56" s="96"/>
      <x:c r="B56" s="96"/>
      <x:c r="C56" s="96"/>
      <x:c r="D56" s="36"/>
      <x:c r="E56" s="82"/>
      <x:c r="F56" s="84"/>
      <x:c r="G56" s="36"/>
      <x:c r="H56" s="36"/>
      <x:c r="I56" s="36"/>
      <x:c r="J56" s="96"/>
      <x:c r="K56" s="36"/>
      <x:c r="L56" s="98" t="str">
        <x:f>IF($B56="","",IFERROR(IF(INDEX('Leads'!$AE$8:$AE$107,MATCH($B56,'Leads'!$A$8:$A$107,0))="","",INDEX('Leads'!$AE$8:$AE$107,MATCH($B56,'Leads'!$A$8:$A$107,0))),""))</x:f>
      </x:c>
      <x:c r="M56" s="42" t="str">
        <x:f>IF($B56="","",IFERROR(IF(INDEX('Leads'!$AA$8:$AA$107,MATCH($B56,'Leads'!$A$8:$A$107,0))="","",INDEX('Leads'!$AA$8:$AA$107,MATCH($B56,'Leads'!$A$8:$A$107,0))),""))</x:f>
      </x:c>
      <x:c r="N56" s="42" t="str">
        <x:f>IF(AND($A56="",$B56="",$C56=""),"",IF(AND($O56=1,$P56=1),"ครบ", IF($A56="","ขาด ID เอกสาร; ","")&amp;IF(AND($A56&lt;&gt;"",COUNTIF('Quotations'!$A$8:$A$107,$A56)&gt;1),"ID เอกสารซ้ำ; ","")&amp;IF(COUNTIF('Leads'!$A$8:$A$107,$B56)&lt;&gt;1,"ตรวจรหัส Lead; ","")&amp;IF(AND($B56&lt;&gt;"",IFERROR(INDEX('Leads'!$BA$8:$BA$107,MATCH($B56,'Leads'!$A$8:$A$107,0)),0)&lt;&gt;1),"Lead ยังไม่นับผลจริง; ","")&amp;IF(OR($C56="",NOT(ISNUMBER($D56)),NOT(ISNUMBER($E56))),"ขาดเลข/รุ่น/วันส่ง; ","")&amp;IF($J56="","ขาดหลักฐาน; ","")&amp;IF(NOT(OR($I56="Yes",$I56="No")),"เลือก Yes/No; ","")&amp;IF(AND($I56="Yes",COUNTIFS('Quotations'!$B$8:$B$107,$B56,'Quotations'!$C$8:$C$107,$C56,'Quotations'!$I$8:$I$107,"Yes")&gt;1),"ฉบับปัจจุบันซ้อน; ","")&amp;IF(COUNTIFS('Quotations'!$B$8:$B$107,$B56,'Quotations'!$C$8:$C$107,$C56,'Quotations'!$D$8:$D$107,$D56)&gt;1,"เลข/รุ่นซ้ำ; ","")&amp;IF(OR(NOT(ISNUMBER($F56)),$G56="",$H56="",$H56="ไม่ทราบ"),"ตรวจมูลค่า/สกุล/ฐาน VAT; ","")))</x:f>
      </x:c>
      <x:c r="O56" s="42" t="str">
        <x:f>IF(AND($A56="",$B56="",$C56=""),"",IF(AND($A56&lt;&gt;"",COUNTIF('Quotations'!$A$8:$A$107,$A56)=1,COUNTIF('Leads'!$A$8:$A$107,$B56)=1,$L56&lt;&gt;"",IFERROR(INDEX('Leads'!$BA$8:$BA$107,MATCH($B56,'Leads'!$A$8:$A$107,0)),0)=1,$C56&lt;&gt;"",ISNUMBER($D56),$D56&gt;=1,ISNUMBER($E56),$E56&gt;0,OR($I56="Yes",$I56="No"),$J56&lt;&gt;"",COUNTIFS('Quotations'!$B$8:$B$107,$B56,'Quotations'!$C$8:$C$107,$C56,'Quotations'!$D$8:$D$107,$D56)=1,IF($I56="Yes",COUNTIFS('Quotations'!$B$8:$B$107,$B56,'Quotations'!$C$8:$C$107,$C56,'Quotations'!$I$8:$I$107,"Yes")=1,TRUE)),1,0))</x:f>
      </x:c>
      <x:c r="P56" s="42" t="str">
        <x:f>IF($O56="","",IF(AND($O56=1,ISNUMBER($F56),$F56&gt;=0,$G56&lt;&gt;"",OR($H56="รวม VAT",$H56="ไม่รวม VAT")),1,0))</x:f>
      </x:c>
    </x:row>
    <x:row r="57" ht="30" customHeight="1">
      <x:c r="A57" s="96"/>
      <x:c r="B57" s="96"/>
      <x:c r="C57" s="96"/>
      <x:c r="D57" s="36"/>
      <x:c r="E57" s="82"/>
      <x:c r="F57" s="84"/>
      <x:c r="G57" s="36"/>
      <x:c r="H57" s="36"/>
      <x:c r="I57" s="36"/>
      <x:c r="J57" s="96"/>
      <x:c r="K57" s="36"/>
      <x:c r="L57" s="98" t="str">
        <x:f>IF($B57="","",IFERROR(IF(INDEX('Leads'!$AE$8:$AE$107,MATCH($B57,'Leads'!$A$8:$A$107,0))="","",INDEX('Leads'!$AE$8:$AE$107,MATCH($B57,'Leads'!$A$8:$A$107,0))),""))</x:f>
      </x:c>
      <x:c r="M57" s="42" t="str">
        <x:f>IF($B57="","",IFERROR(IF(INDEX('Leads'!$AA$8:$AA$107,MATCH($B57,'Leads'!$A$8:$A$107,0))="","",INDEX('Leads'!$AA$8:$AA$107,MATCH($B57,'Leads'!$A$8:$A$107,0))),""))</x:f>
      </x:c>
      <x:c r="N57" s="42" t="str">
        <x:f>IF(AND($A57="",$B57="",$C57=""),"",IF(AND($O57=1,$P57=1),"ครบ", IF($A57="","ขาด ID เอกสาร; ","")&amp;IF(AND($A57&lt;&gt;"",COUNTIF('Quotations'!$A$8:$A$107,$A57)&gt;1),"ID เอกสารซ้ำ; ","")&amp;IF(COUNTIF('Leads'!$A$8:$A$107,$B57)&lt;&gt;1,"ตรวจรหัส Lead; ","")&amp;IF(AND($B57&lt;&gt;"",IFERROR(INDEX('Leads'!$BA$8:$BA$107,MATCH($B57,'Leads'!$A$8:$A$107,0)),0)&lt;&gt;1),"Lead ยังไม่นับผลจริง; ","")&amp;IF(OR($C57="",NOT(ISNUMBER($D57)),NOT(ISNUMBER($E57))),"ขาดเลข/รุ่น/วันส่ง; ","")&amp;IF($J57="","ขาดหลักฐาน; ","")&amp;IF(NOT(OR($I57="Yes",$I57="No")),"เลือก Yes/No; ","")&amp;IF(AND($I57="Yes",COUNTIFS('Quotations'!$B$8:$B$107,$B57,'Quotations'!$C$8:$C$107,$C57,'Quotations'!$I$8:$I$107,"Yes")&gt;1),"ฉบับปัจจุบันซ้อน; ","")&amp;IF(COUNTIFS('Quotations'!$B$8:$B$107,$B57,'Quotations'!$C$8:$C$107,$C57,'Quotations'!$D$8:$D$107,$D57)&gt;1,"เลข/รุ่นซ้ำ; ","")&amp;IF(OR(NOT(ISNUMBER($F57)),$G57="",$H57="",$H57="ไม่ทราบ"),"ตรวจมูลค่า/สกุล/ฐาน VAT; ","")))</x:f>
      </x:c>
      <x:c r="O57" s="42" t="str">
        <x:f>IF(AND($A57="",$B57="",$C57=""),"",IF(AND($A57&lt;&gt;"",COUNTIF('Quotations'!$A$8:$A$107,$A57)=1,COUNTIF('Leads'!$A$8:$A$107,$B57)=1,$L57&lt;&gt;"",IFERROR(INDEX('Leads'!$BA$8:$BA$107,MATCH($B57,'Leads'!$A$8:$A$107,0)),0)=1,$C57&lt;&gt;"",ISNUMBER($D57),$D57&gt;=1,ISNUMBER($E57),$E57&gt;0,OR($I57="Yes",$I57="No"),$J57&lt;&gt;"",COUNTIFS('Quotations'!$B$8:$B$107,$B57,'Quotations'!$C$8:$C$107,$C57,'Quotations'!$D$8:$D$107,$D57)=1,IF($I57="Yes",COUNTIFS('Quotations'!$B$8:$B$107,$B57,'Quotations'!$C$8:$C$107,$C57,'Quotations'!$I$8:$I$107,"Yes")=1,TRUE)),1,0))</x:f>
      </x:c>
      <x:c r="P57" s="42" t="str">
        <x:f>IF($O57="","",IF(AND($O57=1,ISNUMBER($F57),$F57&gt;=0,$G57&lt;&gt;"",OR($H57="รวม VAT",$H57="ไม่รวม VAT")),1,0))</x:f>
      </x:c>
    </x:row>
    <x:row r="58" ht="30" customHeight="1">
      <x:c r="A58" s="96"/>
      <x:c r="B58" s="96"/>
      <x:c r="C58" s="96"/>
      <x:c r="D58" s="36"/>
      <x:c r="E58" s="82"/>
      <x:c r="F58" s="84"/>
      <x:c r="G58" s="36"/>
      <x:c r="H58" s="36"/>
      <x:c r="I58" s="36"/>
      <x:c r="J58" s="96"/>
      <x:c r="K58" s="36"/>
      <x:c r="L58" s="98" t="str">
        <x:f>IF($B58="","",IFERROR(IF(INDEX('Leads'!$AE$8:$AE$107,MATCH($B58,'Leads'!$A$8:$A$107,0))="","",INDEX('Leads'!$AE$8:$AE$107,MATCH($B58,'Leads'!$A$8:$A$107,0))),""))</x:f>
      </x:c>
      <x:c r="M58" s="42" t="str">
        <x:f>IF($B58="","",IFERROR(IF(INDEX('Leads'!$AA$8:$AA$107,MATCH($B58,'Leads'!$A$8:$A$107,0))="","",INDEX('Leads'!$AA$8:$AA$107,MATCH($B58,'Leads'!$A$8:$A$107,0))),""))</x:f>
      </x:c>
      <x:c r="N58" s="42" t="str">
        <x:f>IF(AND($A58="",$B58="",$C58=""),"",IF(AND($O58=1,$P58=1),"ครบ", IF($A58="","ขาด ID เอกสาร; ","")&amp;IF(AND($A58&lt;&gt;"",COUNTIF('Quotations'!$A$8:$A$107,$A58)&gt;1),"ID เอกสารซ้ำ; ","")&amp;IF(COUNTIF('Leads'!$A$8:$A$107,$B58)&lt;&gt;1,"ตรวจรหัส Lead; ","")&amp;IF(AND($B58&lt;&gt;"",IFERROR(INDEX('Leads'!$BA$8:$BA$107,MATCH($B58,'Leads'!$A$8:$A$107,0)),0)&lt;&gt;1),"Lead ยังไม่นับผลจริง; ","")&amp;IF(OR($C58="",NOT(ISNUMBER($D58)),NOT(ISNUMBER($E58))),"ขาดเลข/รุ่น/วันส่ง; ","")&amp;IF($J58="","ขาดหลักฐาน; ","")&amp;IF(NOT(OR($I58="Yes",$I58="No")),"เลือก Yes/No; ","")&amp;IF(AND($I58="Yes",COUNTIFS('Quotations'!$B$8:$B$107,$B58,'Quotations'!$C$8:$C$107,$C58,'Quotations'!$I$8:$I$107,"Yes")&gt;1),"ฉบับปัจจุบันซ้อน; ","")&amp;IF(COUNTIFS('Quotations'!$B$8:$B$107,$B58,'Quotations'!$C$8:$C$107,$C58,'Quotations'!$D$8:$D$107,$D58)&gt;1,"เลข/รุ่นซ้ำ; ","")&amp;IF(OR(NOT(ISNUMBER($F58)),$G58="",$H58="",$H58="ไม่ทราบ"),"ตรวจมูลค่า/สกุล/ฐาน VAT; ","")))</x:f>
      </x:c>
      <x:c r="O58" s="42" t="str">
        <x:f>IF(AND($A58="",$B58="",$C58=""),"",IF(AND($A58&lt;&gt;"",COUNTIF('Quotations'!$A$8:$A$107,$A58)=1,COUNTIF('Leads'!$A$8:$A$107,$B58)=1,$L58&lt;&gt;"",IFERROR(INDEX('Leads'!$BA$8:$BA$107,MATCH($B58,'Leads'!$A$8:$A$107,0)),0)=1,$C58&lt;&gt;"",ISNUMBER($D58),$D58&gt;=1,ISNUMBER($E58),$E58&gt;0,OR($I58="Yes",$I58="No"),$J58&lt;&gt;"",COUNTIFS('Quotations'!$B$8:$B$107,$B58,'Quotations'!$C$8:$C$107,$C58,'Quotations'!$D$8:$D$107,$D58)=1,IF($I58="Yes",COUNTIFS('Quotations'!$B$8:$B$107,$B58,'Quotations'!$C$8:$C$107,$C58,'Quotations'!$I$8:$I$107,"Yes")=1,TRUE)),1,0))</x:f>
      </x:c>
      <x:c r="P58" s="42" t="str">
        <x:f>IF($O58="","",IF(AND($O58=1,ISNUMBER($F58),$F58&gt;=0,$G58&lt;&gt;"",OR($H58="รวม VAT",$H58="ไม่รวม VAT")),1,0))</x:f>
      </x:c>
    </x:row>
    <x:row r="59" ht="30" customHeight="1">
      <x:c r="A59" s="96"/>
      <x:c r="B59" s="96"/>
      <x:c r="C59" s="96"/>
      <x:c r="D59" s="36"/>
      <x:c r="E59" s="82"/>
      <x:c r="F59" s="84"/>
      <x:c r="G59" s="36"/>
      <x:c r="H59" s="36"/>
      <x:c r="I59" s="36"/>
      <x:c r="J59" s="96"/>
      <x:c r="K59" s="36"/>
      <x:c r="L59" s="98" t="str">
        <x:f>IF($B59="","",IFERROR(IF(INDEX('Leads'!$AE$8:$AE$107,MATCH($B59,'Leads'!$A$8:$A$107,0))="","",INDEX('Leads'!$AE$8:$AE$107,MATCH($B59,'Leads'!$A$8:$A$107,0))),""))</x:f>
      </x:c>
      <x:c r="M59" s="42" t="str">
        <x:f>IF($B59="","",IFERROR(IF(INDEX('Leads'!$AA$8:$AA$107,MATCH($B59,'Leads'!$A$8:$A$107,0))="","",INDEX('Leads'!$AA$8:$AA$107,MATCH($B59,'Leads'!$A$8:$A$107,0))),""))</x:f>
      </x:c>
      <x:c r="N59" s="42" t="str">
        <x:f>IF(AND($A59="",$B59="",$C59=""),"",IF(AND($O59=1,$P59=1),"ครบ", IF($A59="","ขาด ID เอกสาร; ","")&amp;IF(AND($A59&lt;&gt;"",COUNTIF('Quotations'!$A$8:$A$107,$A59)&gt;1),"ID เอกสารซ้ำ; ","")&amp;IF(COUNTIF('Leads'!$A$8:$A$107,$B59)&lt;&gt;1,"ตรวจรหัส Lead; ","")&amp;IF(AND($B59&lt;&gt;"",IFERROR(INDEX('Leads'!$BA$8:$BA$107,MATCH($B59,'Leads'!$A$8:$A$107,0)),0)&lt;&gt;1),"Lead ยังไม่นับผลจริง; ","")&amp;IF(OR($C59="",NOT(ISNUMBER($D59)),NOT(ISNUMBER($E59))),"ขาดเลข/รุ่น/วันส่ง; ","")&amp;IF($J59="","ขาดหลักฐาน; ","")&amp;IF(NOT(OR($I59="Yes",$I59="No")),"เลือก Yes/No; ","")&amp;IF(AND($I59="Yes",COUNTIFS('Quotations'!$B$8:$B$107,$B59,'Quotations'!$C$8:$C$107,$C59,'Quotations'!$I$8:$I$107,"Yes")&gt;1),"ฉบับปัจจุบันซ้อน; ","")&amp;IF(COUNTIFS('Quotations'!$B$8:$B$107,$B59,'Quotations'!$C$8:$C$107,$C59,'Quotations'!$D$8:$D$107,$D59)&gt;1,"เลข/รุ่นซ้ำ; ","")&amp;IF(OR(NOT(ISNUMBER($F59)),$G59="",$H59="",$H59="ไม่ทราบ"),"ตรวจมูลค่า/สกุล/ฐาน VAT; ","")))</x:f>
      </x:c>
      <x:c r="O59" s="42" t="str">
        <x:f>IF(AND($A59="",$B59="",$C59=""),"",IF(AND($A59&lt;&gt;"",COUNTIF('Quotations'!$A$8:$A$107,$A59)=1,COUNTIF('Leads'!$A$8:$A$107,$B59)=1,$L59&lt;&gt;"",IFERROR(INDEX('Leads'!$BA$8:$BA$107,MATCH($B59,'Leads'!$A$8:$A$107,0)),0)=1,$C59&lt;&gt;"",ISNUMBER($D59),$D59&gt;=1,ISNUMBER($E59),$E59&gt;0,OR($I59="Yes",$I59="No"),$J59&lt;&gt;"",COUNTIFS('Quotations'!$B$8:$B$107,$B59,'Quotations'!$C$8:$C$107,$C59,'Quotations'!$D$8:$D$107,$D59)=1,IF($I59="Yes",COUNTIFS('Quotations'!$B$8:$B$107,$B59,'Quotations'!$C$8:$C$107,$C59,'Quotations'!$I$8:$I$107,"Yes")=1,TRUE)),1,0))</x:f>
      </x:c>
      <x:c r="P59" s="42" t="str">
        <x:f>IF($O59="","",IF(AND($O59=1,ISNUMBER($F59),$F59&gt;=0,$G59&lt;&gt;"",OR($H59="รวม VAT",$H59="ไม่รวม VAT")),1,0))</x:f>
      </x:c>
    </x:row>
    <x:row r="60" ht="30" customHeight="1">
      <x:c r="A60" s="96"/>
      <x:c r="B60" s="96"/>
      <x:c r="C60" s="96"/>
      <x:c r="D60" s="36"/>
      <x:c r="E60" s="82"/>
      <x:c r="F60" s="84"/>
      <x:c r="G60" s="36"/>
      <x:c r="H60" s="36"/>
      <x:c r="I60" s="36"/>
      <x:c r="J60" s="96"/>
      <x:c r="K60" s="36"/>
      <x:c r="L60" s="98" t="str">
        <x:f>IF($B60="","",IFERROR(IF(INDEX('Leads'!$AE$8:$AE$107,MATCH($B60,'Leads'!$A$8:$A$107,0))="","",INDEX('Leads'!$AE$8:$AE$107,MATCH($B60,'Leads'!$A$8:$A$107,0))),""))</x:f>
      </x:c>
      <x:c r="M60" s="42" t="str">
        <x:f>IF($B60="","",IFERROR(IF(INDEX('Leads'!$AA$8:$AA$107,MATCH($B60,'Leads'!$A$8:$A$107,0))="","",INDEX('Leads'!$AA$8:$AA$107,MATCH($B60,'Leads'!$A$8:$A$107,0))),""))</x:f>
      </x:c>
      <x:c r="N60" s="42" t="str">
        <x:f>IF(AND($A60="",$B60="",$C60=""),"",IF(AND($O60=1,$P60=1),"ครบ", IF($A60="","ขาด ID เอกสาร; ","")&amp;IF(AND($A60&lt;&gt;"",COUNTIF('Quotations'!$A$8:$A$107,$A60)&gt;1),"ID เอกสารซ้ำ; ","")&amp;IF(COUNTIF('Leads'!$A$8:$A$107,$B60)&lt;&gt;1,"ตรวจรหัส Lead; ","")&amp;IF(AND($B60&lt;&gt;"",IFERROR(INDEX('Leads'!$BA$8:$BA$107,MATCH($B60,'Leads'!$A$8:$A$107,0)),0)&lt;&gt;1),"Lead ยังไม่นับผลจริง; ","")&amp;IF(OR($C60="",NOT(ISNUMBER($D60)),NOT(ISNUMBER($E60))),"ขาดเลข/รุ่น/วันส่ง; ","")&amp;IF($J60="","ขาดหลักฐาน; ","")&amp;IF(NOT(OR($I60="Yes",$I60="No")),"เลือก Yes/No; ","")&amp;IF(AND($I60="Yes",COUNTIFS('Quotations'!$B$8:$B$107,$B60,'Quotations'!$C$8:$C$107,$C60,'Quotations'!$I$8:$I$107,"Yes")&gt;1),"ฉบับปัจจุบันซ้อน; ","")&amp;IF(COUNTIFS('Quotations'!$B$8:$B$107,$B60,'Quotations'!$C$8:$C$107,$C60,'Quotations'!$D$8:$D$107,$D60)&gt;1,"เลข/รุ่นซ้ำ; ","")&amp;IF(OR(NOT(ISNUMBER($F60)),$G60="",$H60="",$H60="ไม่ทราบ"),"ตรวจมูลค่า/สกุล/ฐาน VAT; ","")))</x:f>
      </x:c>
      <x:c r="O60" s="42" t="str">
        <x:f>IF(AND($A60="",$B60="",$C60=""),"",IF(AND($A60&lt;&gt;"",COUNTIF('Quotations'!$A$8:$A$107,$A60)=1,COUNTIF('Leads'!$A$8:$A$107,$B60)=1,$L60&lt;&gt;"",IFERROR(INDEX('Leads'!$BA$8:$BA$107,MATCH($B60,'Leads'!$A$8:$A$107,0)),0)=1,$C60&lt;&gt;"",ISNUMBER($D60),$D60&gt;=1,ISNUMBER($E60),$E60&gt;0,OR($I60="Yes",$I60="No"),$J60&lt;&gt;"",COUNTIFS('Quotations'!$B$8:$B$107,$B60,'Quotations'!$C$8:$C$107,$C60,'Quotations'!$D$8:$D$107,$D60)=1,IF($I60="Yes",COUNTIFS('Quotations'!$B$8:$B$107,$B60,'Quotations'!$C$8:$C$107,$C60,'Quotations'!$I$8:$I$107,"Yes")=1,TRUE)),1,0))</x:f>
      </x:c>
      <x:c r="P60" s="42" t="str">
        <x:f>IF($O60="","",IF(AND($O60=1,ISNUMBER($F60),$F60&gt;=0,$G60&lt;&gt;"",OR($H60="รวม VAT",$H60="ไม่รวม VAT")),1,0))</x:f>
      </x:c>
    </x:row>
    <x:row r="61" ht="30" customHeight="1">
      <x:c r="A61" s="96"/>
      <x:c r="B61" s="96"/>
      <x:c r="C61" s="96"/>
      <x:c r="D61" s="36"/>
      <x:c r="E61" s="82"/>
      <x:c r="F61" s="84"/>
      <x:c r="G61" s="36"/>
      <x:c r="H61" s="36"/>
      <x:c r="I61" s="36"/>
      <x:c r="J61" s="96"/>
      <x:c r="K61" s="36"/>
      <x:c r="L61" s="98" t="str">
        <x:f>IF($B61="","",IFERROR(IF(INDEX('Leads'!$AE$8:$AE$107,MATCH($B61,'Leads'!$A$8:$A$107,0))="","",INDEX('Leads'!$AE$8:$AE$107,MATCH($B61,'Leads'!$A$8:$A$107,0))),""))</x:f>
      </x:c>
      <x:c r="M61" s="42" t="str">
        <x:f>IF($B61="","",IFERROR(IF(INDEX('Leads'!$AA$8:$AA$107,MATCH($B61,'Leads'!$A$8:$A$107,0))="","",INDEX('Leads'!$AA$8:$AA$107,MATCH($B61,'Leads'!$A$8:$A$107,0))),""))</x:f>
      </x:c>
      <x:c r="N61" s="42" t="str">
        <x:f>IF(AND($A61="",$B61="",$C61=""),"",IF(AND($O61=1,$P61=1),"ครบ", IF($A61="","ขาด ID เอกสาร; ","")&amp;IF(AND($A61&lt;&gt;"",COUNTIF('Quotations'!$A$8:$A$107,$A61)&gt;1),"ID เอกสารซ้ำ; ","")&amp;IF(COUNTIF('Leads'!$A$8:$A$107,$B61)&lt;&gt;1,"ตรวจรหัส Lead; ","")&amp;IF(AND($B61&lt;&gt;"",IFERROR(INDEX('Leads'!$BA$8:$BA$107,MATCH($B61,'Leads'!$A$8:$A$107,0)),0)&lt;&gt;1),"Lead ยังไม่นับผลจริง; ","")&amp;IF(OR($C61="",NOT(ISNUMBER($D61)),NOT(ISNUMBER($E61))),"ขาดเลข/รุ่น/วันส่ง; ","")&amp;IF($J61="","ขาดหลักฐาน; ","")&amp;IF(NOT(OR($I61="Yes",$I61="No")),"เลือก Yes/No; ","")&amp;IF(AND($I61="Yes",COUNTIFS('Quotations'!$B$8:$B$107,$B61,'Quotations'!$C$8:$C$107,$C61,'Quotations'!$I$8:$I$107,"Yes")&gt;1),"ฉบับปัจจุบันซ้อน; ","")&amp;IF(COUNTIFS('Quotations'!$B$8:$B$107,$B61,'Quotations'!$C$8:$C$107,$C61,'Quotations'!$D$8:$D$107,$D61)&gt;1,"เลข/รุ่นซ้ำ; ","")&amp;IF(OR(NOT(ISNUMBER($F61)),$G61="",$H61="",$H61="ไม่ทราบ"),"ตรวจมูลค่า/สกุล/ฐาน VAT; ","")))</x:f>
      </x:c>
      <x:c r="O61" s="42" t="str">
        <x:f>IF(AND($A61="",$B61="",$C61=""),"",IF(AND($A61&lt;&gt;"",COUNTIF('Quotations'!$A$8:$A$107,$A61)=1,COUNTIF('Leads'!$A$8:$A$107,$B61)=1,$L61&lt;&gt;"",IFERROR(INDEX('Leads'!$BA$8:$BA$107,MATCH($B61,'Leads'!$A$8:$A$107,0)),0)=1,$C61&lt;&gt;"",ISNUMBER($D61),$D61&gt;=1,ISNUMBER($E61),$E61&gt;0,OR($I61="Yes",$I61="No"),$J61&lt;&gt;"",COUNTIFS('Quotations'!$B$8:$B$107,$B61,'Quotations'!$C$8:$C$107,$C61,'Quotations'!$D$8:$D$107,$D61)=1,IF($I61="Yes",COUNTIFS('Quotations'!$B$8:$B$107,$B61,'Quotations'!$C$8:$C$107,$C61,'Quotations'!$I$8:$I$107,"Yes")=1,TRUE)),1,0))</x:f>
      </x:c>
      <x:c r="P61" s="42" t="str">
        <x:f>IF($O61="","",IF(AND($O61=1,ISNUMBER($F61),$F61&gt;=0,$G61&lt;&gt;"",OR($H61="รวม VAT",$H61="ไม่รวม VAT")),1,0))</x:f>
      </x:c>
    </x:row>
    <x:row r="62" ht="30" customHeight="1">
      <x:c r="A62" s="96"/>
      <x:c r="B62" s="96"/>
      <x:c r="C62" s="96"/>
      <x:c r="D62" s="36"/>
      <x:c r="E62" s="82"/>
      <x:c r="F62" s="84"/>
      <x:c r="G62" s="36"/>
      <x:c r="H62" s="36"/>
      <x:c r="I62" s="36"/>
      <x:c r="J62" s="96"/>
      <x:c r="K62" s="36"/>
      <x:c r="L62" s="98" t="str">
        <x:f>IF($B62="","",IFERROR(IF(INDEX('Leads'!$AE$8:$AE$107,MATCH($B62,'Leads'!$A$8:$A$107,0))="","",INDEX('Leads'!$AE$8:$AE$107,MATCH($B62,'Leads'!$A$8:$A$107,0))),""))</x:f>
      </x:c>
      <x:c r="M62" s="42" t="str">
        <x:f>IF($B62="","",IFERROR(IF(INDEX('Leads'!$AA$8:$AA$107,MATCH($B62,'Leads'!$A$8:$A$107,0))="","",INDEX('Leads'!$AA$8:$AA$107,MATCH($B62,'Leads'!$A$8:$A$107,0))),""))</x:f>
      </x:c>
      <x:c r="N62" s="42" t="str">
        <x:f>IF(AND($A62="",$B62="",$C62=""),"",IF(AND($O62=1,$P62=1),"ครบ", IF($A62="","ขาด ID เอกสาร; ","")&amp;IF(AND($A62&lt;&gt;"",COUNTIF('Quotations'!$A$8:$A$107,$A62)&gt;1),"ID เอกสารซ้ำ; ","")&amp;IF(COUNTIF('Leads'!$A$8:$A$107,$B62)&lt;&gt;1,"ตรวจรหัส Lead; ","")&amp;IF(AND($B62&lt;&gt;"",IFERROR(INDEX('Leads'!$BA$8:$BA$107,MATCH($B62,'Leads'!$A$8:$A$107,0)),0)&lt;&gt;1),"Lead ยังไม่นับผลจริง; ","")&amp;IF(OR($C62="",NOT(ISNUMBER($D62)),NOT(ISNUMBER($E62))),"ขาดเลข/รุ่น/วันส่ง; ","")&amp;IF($J62="","ขาดหลักฐาน; ","")&amp;IF(NOT(OR($I62="Yes",$I62="No")),"เลือก Yes/No; ","")&amp;IF(AND($I62="Yes",COUNTIFS('Quotations'!$B$8:$B$107,$B62,'Quotations'!$C$8:$C$107,$C62,'Quotations'!$I$8:$I$107,"Yes")&gt;1),"ฉบับปัจจุบันซ้อน; ","")&amp;IF(COUNTIFS('Quotations'!$B$8:$B$107,$B62,'Quotations'!$C$8:$C$107,$C62,'Quotations'!$D$8:$D$107,$D62)&gt;1,"เลข/รุ่นซ้ำ; ","")&amp;IF(OR(NOT(ISNUMBER($F62)),$G62="",$H62="",$H62="ไม่ทราบ"),"ตรวจมูลค่า/สกุล/ฐาน VAT; ","")))</x:f>
      </x:c>
      <x:c r="O62" s="42" t="str">
        <x:f>IF(AND($A62="",$B62="",$C62=""),"",IF(AND($A62&lt;&gt;"",COUNTIF('Quotations'!$A$8:$A$107,$A62)=1,COUNTIF('Leads'!$A$8:$A$107,$B62)=1,$L62&lt;&gt;"",IFERROR(INDEX('Leads'!$BA$8:$BA$107,MATCH($B62,'Leads'!$A$8:$A$107,0)),0)=1,$C62&lt;&gt;"",ISNUMBER($D62),$D62&gt;=1,ISNUMBER($E62),$E62&gt;0,OR($I62="Yes",$I62="No"),$J62&lt;&gt;"",COUNTIFS('Quotations'!$B$8:$B$107,$B62,'Quotations'!$C$8:$C$107,$C62,'Quotations'!$D$8:$D$107,$D62)=1,IF($I62="Yes",COUNTIFS('Quotations'!$B$8:$B$107,$B62,'Quotations'!$C$8:$C$107,$C62,'Quotations'!$I$8:$I$107,"Yes")=1,TRUE)),1,0))</x:f>
      </x:c>
      <x:c r="P62" s="42" t="str">
        <x:f>IF($O62="","",IF(AND($O62=1,ISNUMBER($F62),$F62&gt;=0,$G62&lt;&gt;"",OR($H62="รวม VAT",$H62="ไม่รวม VAT")),1,0))</x:f>
      </x:c>
    </x:row>
    <x:row r="63" ht="30" customHeight="1">
      <x:c r="A63" s="96"/>
      <x:c r="B63" s="96"/>
      <x:c r="C63" s="96"/>
      <x:c r="D63" s="36"/>
      <x:c r="E63" s="82"/>
      <x:c r="F63" s="84"/>
      <x:c r="G63" s="36"/>
      <x:c r="H63" s="36"/>
      <x:c r="I63" s="36"/>
      <x:c r="J63" s="96"/>
      <x:c r="K63" s="36"/>
      <x:c r="L63" s="98" t="str">
        <x:f>IF($B63="","",IFERROR(IF(INDEX('Leads'!$AE$8:$AE$107,MATCH($B63,'Leads'!$A$8:$A$107,0))="","",INDEX('Leads'!$AE$8:$AE$107,MATCH($B63,'Leads'!$A$8:$A$107,0))),""))</x:f>
      </x:c>
      <x:c r="M63" s="42" t="str">
        <x:f>IF($B63="","",IFERROR(IF(INDEX('Leads'!$AA$8:$AA$107,MATCH($B63,'Leads'!$A$8:$A$107,0))="","",INDEX('Leads'!$AA$8:$AA$107,MATCH($B63,'Leads'!$A$8:$A$107,0))),""))</x:f>
      </x:c>
      <x:c r="N63" s="42" t="str">
        <x:f>IF(AND($A63="",$B63="",$C63=""),"",IF(AND($O63=1,$P63=1),"ครบ", IF($A63="","ขาด ID เอกสาร; ","")&amp;IF(AND($A63&lt;&gt;"",COUNTIF('Quotations'!$A$8:$A$107,$A63)&gt;1),"ID เอกสารซ้ำ; ","")&amp;IF(COUNTIF('Leads'!$A$8:$A$107,$B63)&lt;&gt;1,"ตรวจรหัส Lead; ","")&amp;IF(AND($B63&lt;&gt;"",IFERROR(INDEX('Leads'!$BA$8:$BA$107,MATCH($B63,'Leads'!$A$8:$A$107,0)),0)&lt;&gt;1),"Lead ยังไม่นับผลจริง; ","")&amp;IF(OR($C63="",NOT(ISNUMBER($D63)),NOT(ISNUMBER($E63))),"ขาดเลข/รุ่น/วันส่ง; ","")&amp;IF($J63="","ขาดหลักฐาน; ","")&amp;IF(NOT(OR($I63="Yes",$I63="No")),"เลือก Yes/No; ","")&amp;IF(AND($I63="Yes",COUNTIFS('Quotations'!$B$8:$B$107,$B63,'Quotations'!$C$8:$C$107,$C63,'Quotations'!$I$8:$I$107,"Yes")&gt;1),"ฉบับปัจจุบันซ้อน; ","")&amp;IF(COUNTIFS('Quotations'!$B$8:$B$107,$B63,'Quotations'!$C$8:$C$107,$C63,'Quotations'!$D$8:$D$107,$D63)&gt;1,"เลข/รุ่นซ้ำ; ","")&amp;IF(OR(NOT(ISNUMBER($F63)),$G63="",$H63="",$H63="ไม่ทราบ"),"ตรวจมูลค่า/สกุล/ฐาน VAT; ","")))</x:f>
      </x:c>
      <x:c r="O63" s="42" t="str">
        <x:f>IF(AND($A63="",$B63="",$C63=""),"",IF(AND($A63&lt;&gt;"",COUNTIF('Quotations'!$A$8:$A$107,$A63)=1,COUNTIF('Leads'!$A$8:$A$107,$B63)=1,$L63&lt;&gt;"",IFERROR(INDEX('Leads'!$BA$8:$BA$107,MATCH($B63,'Leads'!$A$8:$A$107,0)),0)=1,$C63&lt;&gt;"",ISNUMBER($D63),$D63&gt;=1,ISNUMBER($E63),$E63&gt;0,OR($I63="Yes",$I63="No"),$J63&lt;&gt;"",COUNTIFS('Quotations'!$B$8:$B$107,$B63,'Quotations'!$C$8:$C$107,$C63,'Quotations'!$D$8:$D$107,$D63)=1,IF($I63="Yes",COUNTIFS('Quotations'!$B$8:$B$107,$B63,'Quotations'!$C$8:$C$107,$C63,'Quotations'!$I$8:$I$107,"Yes")=1,TRUE)),1,0))</x:f>
      </x:c>
      <x:c r="P63" s="42" t="str">
        <x:f>IF($O63="","",IF(AND($O63=1,ISNUMBER($F63),$F63&gt;=0,$G63&lt;&gt;"",OR($H63="รวม VAT",$H63="ไม่รวม VAT")),1,0))</x:f>
      </x:c>
    </x:row>
    <x:row r="64" ht="30" customHeight="1">
      <x:c r="A64" s="96"/>
      <x:c r="B64" s="96"/>
      <x:c r="C64" s="96"/>
      <x:c r="D64" s="36"/>
      <x:c r="E64" s="82"/>
      <x:c r="F64" s="84"/>
      <x:c r="G64" s="36"/>
      <x:c r="H64" s="36"/>
      <x:c r="I64" s="36"/>
      <x:c r="J64" s="96"/>
      <x:c r="K64" s="36"/>
      <x:c r="L64" s="98" t="str">
        <x:f>IF($B64="","",IFERROR(IF(INDEX('Leads'!$AE$8:$AE$107,MATCH($B64,'Leads'!$A$8:$A$107,0))="","",INDEX('Leads'!$AE$8:$AE$107,MATCH($B64,'Leads'!$A$8:$A$107,0))),""))</x:f>
      </x:c>
      <x:c r="M64" s="42" t="str">
        <x:f>IF($B64="","",IFERROR(IF(INDEX('Leads'!$AA$8:$AA$107,MATCH($B64,'Leads'!$A$8:$A$107,0))="","",INDEX('Leads'!$AA$8:$AA$107,MATCH($B64,'Leads'!$A$8:$A$107,0))),""))</x:f>
      </x:c>
      <x:c r="N64" s="42" t="str">
        <x:f>IF(AND($A64="",$B64="",$C64=""),"",IF(AND($O64=1,$P64=1),"ครบ", IF($A64="","ขาด ID เอกสาร; ","")&amp;IF(AND($A64&lt;&gt;"",COUNTIF('Quotations'!$A$8:$A$107,$A64)&gt;1),"ID เอกสารซ้ำ; ","")&amp;IF(COUNTIF('Leads'!$A$8:$A$107,$B64)&lt;&gt;1,"ตรวจรหัส Lead; ","")&amp;IF(AND($B64&lt;&gt;"",IFERROR(INDEX('Leads'!$BA$8:$BA$107,MATCH($B64,'Leads'!$A$8:$A$107,0)),0)&lt;&gt;1),"Lead ยังไม่นับผลจริง; ","")&amp;IF(OR($C64="",NOT(ISNUMBER($D64)),NOT(ISNUMBER($E64))),"ขาดเลข/รุ่น/วันส่ง; ","")&amp;IF($J64="","ขาดหลักฐาน; ","")&amp;IF(NOT(OR($I64="Yes",$I64="No")),"เลือก Yes/No; ","")&amp;IF(AND($I64="Yes",COUNTIFS('Quotations'!$B$8:$B$107,$B64,'Quotations'!$C$8:$C$107,$C64,'Quotations'!$I$8:$I$107,"Yes")&gt;1),"ฉบับปัจจุบันซ้อน; ","")&amp;IF(COUNTIFS('Quotations'!$B$8:$B$107,$B64,'Quotations'!$C$8:$C$107,$C64,'Quotations'!$D$8:$D$107,$D64)&gt;1,"เลข/รุ่นซ้ำ; ","")&amp;IF(OR(NOT(ISNUMBER($F64)),$G64="",$H64="",$H64="ไม่ทราบ"),"ตรวจมูลค่า/สกุล/ฐาน VAT; ","")))</x:f>
      </x:c>
      <x:c r="O64" s="42" t="str">
        <x:f>IF(AND($A64="",$B64="",$C64=""),"",IF(AND($A64&lt;&gt;"",COUNTIF('Quotations'!$A$8:$A$107,$A64)=1,COUNTIF('Leads'!$A$8:$A$107,$B64)=1,$L64&lt;&gt;"",IFERROR(INDEX('Leads'!$BA$8:$BA$107,MATCH($B64,'Leads'!$A$8:$A$107,0)),0)=1,$C64&lt;&gt;"",ISNUMBER($D64),$D64&gt;=1,ISNUMBER($E64),$E64&gt;0,OR($I64="Yes",$I64="No"),$J64&lt;&gt;"",COUNTIFS('Quotations'!$B$8:$B$107,$B64,'Quotations'!$C$8:$C$107,$C64,'Quotations'!$D$8:$D$107,$D64)=1,IF($I64="Yes",COUNTIFS('Quotations'!$B$8:$B$107,$B64,'Quotations'!$C$8:$C$107,$C64,'Quotations'!$I$8:$I$107,"Yes")=1,TRUE)),1,0))</x:f>
      </x:c>
      <x:c r="P64" s="42" t="str">
        <x:f>IF($O64="","",IF(AND($O64=1,ISNUMBER($F64),$F64&gt;=0,$G64&lt;&gt;"",OR($H64="รวม VAT",$H64="ไม่รวม VAT")),1,0))</x:f>
      </x:c>
    </x:row>
    <x:row r="65" ht="30" customHeight="1">
      <x:c r="A65" s="96"/>
      <x:c r="B65" s="96"/>
      <x:c r="C65" s="96"/>
      <x:c r="D65" s="36"/>
      <x:c r="E65" s="82"/>
      <x:c r="F65" s="84"/>
      <x:c r="G65" s="36"/>
      <x:c r="H65" s="36"/>
      <x:c r="I65" s="36"/>
      <x:c r="J65" s="96"/>
      <x:c r="K65" s="36"/>
      <x:c r="L65" s="98" t="str">
        <x:f>IF($B65="","",IFERROR(IF(INDEX('Leads'!$AE$8:$AE$107,MATCH($B65,'Leads'!$A$8:$A$107,0))="","",INDEX('Leads'!$AE$8:$AE$107,MATCH($B65,'Leads'!$A$8:$A$107,0))),""))</x:f>
      </x:c>
      <x:c r="M65" s="42" t="str">
        <x:f>IF($B65="","",IFERROR(IF(INDEX('Leads'!$AA$8:$AA$107,MATCH($B65,'Leads'!$A$8:$A$107,0))="","",INDEX('Leads'!$AA$8:$AA$107,MATCH($B65,'Leads'!$A$8:$A$107,0))),""))</x:f>
      </x:c>
      <x:c r="N65" s="42" t="str">
        <x:f>IF(AND($A65="",$B65="",$C65=""),"",IF(AND($O65=1,$P65=1),"ครบ", IF($A65="","ขาด ID เอกสาร; ","")&amp;IF(AND($A65&lt;&gt;"",COUNTIF('Quotations'!$A$8:$A$107,$A65)&gt;1),"ID เอกสารซ้ำ; ","")&amp;IF(COUNTIF('Leads'!$A$8:$A$107,$B65)&lt;&gt;1,"ตรวจรหัส Lead; ","")&amp;IF(AND($B65&lt;&gt;"",IFERROR(INDEX('Leads'!$BA$8:$BA$107,MATCH($B65,'Leads'!$A$8:$A$107,0)),0)&lt;&gt;1),"Lead ยังไม่นับผลจริง; ","")&amp;IF(OR($C65="",NOT(ISNUMBER($D65)),NOT(ISNUMBER($E65))),"ขาดเลข/รุ่น/วันส่ง; ","")&amp;IF($J65="","ขาดหลักฐาน; ","")&amp;IF(NOT(OR($I65="Yes",$I65="No")),"เลือก Yes/No; ","")&amp;IF(AND($I65="Yes",COUNTIFS('Quotations'!$B$8:$B$107,$B65,'Quotations'!$C$8:$C$107,$C65,'Quotations'!$I$8:$I$107,"Yes")&gt;1),"ฉบับปัจจุบันซ้อน; ","")&amp;IF(COUNTIFS('Quotations'!$B$8:$B$107,$B65,'Quotations'!$C$8:$C$107,$C65,'Quotations'!$D$8:$D$107,$D65)&gt;1,"เลข/รุ่นซ้ำ; ","")&amp;IF(OR(NOT(ISNUMBER($F65)),$G65="",$H65="",$H65="ไม่ทราบ"),"ตรวจมูลค่า/สกุล/ฐาน VAT; ","")))</x:f>
      </x:c>
      <x:c r="O65" s="42" t="str">
        <x:f>IF(AND($A65="",$B65="",$C65=""),"",IF(AND($A65&lt;&gt;"",COUNTIF('Quotations'!$A$8:$A$107,$A65)=1,COUNTIF('Leads'!$A$8:$A$107,$B65)=1,$L65&lt;&gt;"",IFERROR(INDEX('Leads'!$BA$8:$BA$107,MATCH($B65,'Leads'!$A$8:$A$107,0)),0)=1,$C65&lt;&gt;"",ISNUMBER($D65),$D65&gt;=1,ISNUMBER($E65),$E65&gt;0,OR($I65="Yes",$I65="No"),$J65&lt;&gt;"",COUNTIFS('Quotations'!$B$8:$B$107,$B65,'Quotations'!$C$8:$C$107,$C65,'Quotations'!$D$8:$D$107,$D65)=1,IF($I65="Yes",COUNTIFS('Quotations'!$B$8:$B$107,$B65,'Quotations'!$C$8:$C$107,$C65,'Quotations'!$I$8:$I$107,"Yes")=1,TRUE)),1,0))</x:f>
      </x:c>
      <x:c r="P65" s="42" t="str">
        <x:f>IF($O65="","",IF(AND($O65=1,ISNUMBER($F65),$F65&gt;=0,$G65&lt;&gt;"",OR($H65="รวม VAT",$H65="ไม่รวม VAT")),1,0))</x:f>
      </x:c>
    </x:row>
    <x:row r="66" ht="30" customHeight="1">
      <x:c r="A66" s="96"/>
      <x:c r="B66" s="96"/>
      <x:c r="C66" s="96"/>
      <x:c r="D66" s="36"/>
      <x:c r="E66" s="82"/>
      <x:c r="F66" s="84"/>
      <x:c r="G66" s="36"/>
      <x:c r="H66" s="36"/>
      <x:c r="I66" s="36"/>
      <x:c r="J66" s="96"/>
      <x:c r="K66" s="36"/>
      <x:c r="L66" s="98" t="str">
        <x:f>IF($B66="","",IFERROR(IF(INDEX('Leads'!$AE$8:$AE$107,MATCH($B66,'Leads'!$A$8:$A$107,0))="","",INDEX('Leads'!$AE$8:$AE$107,MATCH($B66,'Leads'!$A$8:$A$107,0))),""))</x:f>
      </x:c>
      <x:c r="M66" s="42" t="str">
        <x:f>IF($B66="","",IFERROR(IF(INDEX('Leads'!$AA$8:$AA$107,MATCH($B66,'Leads'!$A$8:$A$107,0))="","",INDEX('Leads'!$AA$8:$AA$107,MATCH($B66,'Leads'!$A$8:$A$107,0))),""))</x:f>
      </x:c>
      <x:c r="N66" s="42" t="str">
        <x:f>IF(AND($A66="",$B66="",$C66=""),"",IF(AND($O66=1,$P66=1),"ครบ", IF($A66="","ขาด ID เอกสาร; ","")&amp;IF(AND($A66&lt;&gt;"",COUNTIF('Quotations'!$A$8:$A$107,$A66)&gt;1),"ID เอกสารซ้ำ; ","")&amp;IF(COUNTIF('Leads'!$A$8:$A$107,$B66)&lt;&gt;1,"ตรวจรหัส Lead; ","")&amp;IF(AND($B66&lt;&gt;"",IFERROR(INDEX('Leads'!$BA$8:$BA$107,MATCH($B66,'Leads'!$A$8:$A$107,0)),0)&lt;&gt;1),"Lead ยังไม่นับผลจริง; ","")&amp;IF(OR($C66="",NOT(ISNUMBER($D66)),NOT(ISNUMBER($E66))),"ขาดเลข/รุ่น/วันส่ง; ","")&amp;IF($J66="","ขาดหลักฐาน; ","")&amp;IF(NOT(OR($I66="Yes",$I66="No")),"เลือก Yes/No; ","")&amp;IF(AND($I66="Yes",COUNTIFS('Quotations'!$B$8:$B$107,$B66,'Quotations'!$C$8:$C$107,$C66,'Quotations'!$I$8:$I$107,"Yes")&gt;1),"ฉบับปัจจุบันซ้อน; ","")&amp;IF(COUNTIFS('Quotations'!$B$8:$B$107,$B66,'Quotations'!$C$8:$C$107,$C66,'Quotations'!$D$8:$D$107,$D66)&gt;1,"เลข/รุ่นซ้ำ; ","")&amp;IF(OR(NOT(ISNUMBER($F66)),$G66="",$H66="",$H66="ไม่ทราบ"),"ตรวจมูลค่า/สกุล/ฐาน VAT; ","")))</x:f>
      </x:c>
      <x:c r="O66" s="42" t="str">
        <x:f>IF(AND($A66="",$B66="",$C66=""),"",IF(AND($A66&lt;&gt;"",COUNTIF('Quotations'!$A$8:$A$107,$A66)=1,COUNTIF('Leads'!$A$8:$A$107,$B66)=1,$L66&lt;&gt;"",IFERROR(INDEX('Leads'!$BA$8:$BA$107,MATCH($B66,'Leads'!$A$8:$A$107,0)),0)=1,$C66&lt;&gt;"",ISNUMBER($D66),$D66&gt;=1,ISNUMBER($E66),$E66&gt;0,OR($I66="Yes",$I66="No"),$J66&lt;&gt;"",COUNTIFS('Quotations'!$B$8:$B$107,$B66,'Quotations'!$C$8:$C$107,$C66,'Quotations'!$D$8:$D$107,$D66)=1,IF($I66="Yes",COUNTIFS('Quotations'!$B$8:$B$107,$B66,'Quotations'!$C$8:$C$107,$C66,'Quotations'!$I$8:$I$107,"Yes")=1,TRUE)),1,0))</x:f>
      </x:c>
      <x:c r="P66" s="42" t="str">
        <x:f>IF($O66="","",IF(AND($O66=1,ISNUMBER($F66),$F66&gt;=0,$G66&lt;&gt;"",OR($H66="รวม VAT",$H66="ไม่รวม VAT")),1,0))</x:f>
      </x:c>
    </x:row>
    <x:row r="67" ht="30" customHeight="1">
      <x:c r="A67" s="96"/>
      <x:c r="B67" s="96"/>
      <x:c r="C67" s="96"/>
      <x:c r="D67" s="36"/>
      <x:c r="E67" s="82"/>
      <x:c r="F67" s="84"/>
      <x:c r="G67" s="36"/>
      <x:c r="H67" s="36"/>
      <x:c r="I67" s="36"/>
      <x:c r="J67" s="96"/>
      <x:c r="K67" s="36"/>
      <x:c r="L67" s="98" t="str">
        <x:f>IF($B67="","",IFERROR(IF(INDEX('Leads'!$AE$8:$AE$107,MATCH($B67,'Leads'!$A$8:$A$107,0))="","",INDEX('Leads'!$AE$8:$AE$107,MATCH($B67,'Leads'!$A$8:$A$107,0))),""))</x:f>
      </x:c>
      <x:c r="M67" s="42" t="str">
        <x:f>IF($B67="","",IFERROR(IF(INDEX('Leads'!$AA$8:$AA$107,MATCH($B67,'Leads'!$A$8:$A$107,0))="","",INDEX('Leads'!$AA$8:$AA$107,MATCH($B67,'Leads'!$A$8:$A$107,0))),""))</x:f>
      </x:c>
      <x:c r="N67" s="42" t="str">
        <x:f>IF(AND($A67="",$B67="",$C67=""),"",IF(AND($O67=1,$P67=1),"ครบ", IF($A67="","ขาด ID เอกสาร; ","")&amp;IF(AND($A67&lt;&gt;"",COUNTIF('Quotations'!$A$8:$A$107,$A67)&gt;1),"ID เอกสารซ้ำ; ","")&amp;IF(COUNTIF('Leads'!$A$8:$A$107,$B67)&lt;&gt;1,"ตรวจรหัส Lead; ","")&amp;IF(AND($B67&lt;&gt;"",IFERROR(INDEX('Leads'!$BA$8:$BA$107,MATCH($B67,'Leads'!$A$8:$A$107,0)),0)&lt;&gt;1),"Lead ยังไม่นับผลจริง; ","")&amp;IF(OR($C67="",NOT(ISNUMBER($D67)),NOT(ISNUMBER($E67))),"ขาดเลข/รุ่น/วันส่ง; ","")&amp;IF($J67="","ขาดหลักฐาน; ","")&amp;IF(NOT(OR($I67="Yes",$I67="No")),"เลือก Yes/No; ","")&amp;IF(AND($I67="Yes",COUNTIFS('Quotations'!$B$8:$B$107,$B67,'Quotations'!$C$8:$C$107,$C67,'Quotations'!$I$8:$I$107,"Yes")&gt;1),"ฉบับปัจจุบันซ้อน; ","")&amp;IF(COUNTIFS('Quotations'!$B$8:$B$107,$B67,'Quotations'!$C$8:$C$107,$C67,'Quotations'!$D$8:$D$107,$D67)&gt;1,"เลข/รุ่นซ้ำ; ","")&amp;IF(OR(NOT(ISNUMBER($F67)),$G67="",$H67="",$H67="ไม่ทราบ"),"ตรวจมูลค่า/สกุล/ฐาน VAT; ","")))</x:f>
      </x:c>
      <x:c r="O67" s="42" t="str">
        <x:f>IF(AND($A67="",$B67="",$C67=""),"",IF(AND($A67&lt;&gt;"",COUNTIF('Quotations'!$A$8:$A$107,$A67)=1,COUNTIF('Leads'!$A$8:$A$107,$B67)=1,$L67&lt;&gt;"",IFERROR(INDEX('Leads'!$BA$8:$BA$107,MATCH($B67,'Leads'!$A$8:$A$107,0)),0)=1,$C67&lt;&gt;"",ISNUMBER($D67),$D67&gt;=1,ISNUMBER($E67),$E67&gt;0,OR($I67="Yes",$I67="No"),$J67&lt;&gt;"",COUNTIFS('Quotations'!$B$8:$B$107,$B67,'Quotations'!$C$8:$C$107,$C67,'Quotations'!$D$8:$D$107,$D67)=1,IF($I67="Yes",COUNTIFS('Quotations'!$B$8:$B$107,$B67,'Quotations'!$C$8:$C$107,$C67,'Quotations'!$I$8:$I$107,"Yes")=1,TRUE)),1,0))</x:f>
      </x:c>
      <x:c r="P67" s="42" t="str">
        <x:f>IF($O67="","",IF(AND($O67=1,ISNUMBER($F67),$F67&gt;=0,$G67&lt;&gt;"",OR($H67="รวม VAT",$H67="ไม่รวม VAT")),1,0))</x:f>
      </x:c>
    </x:row>
    <x:row r="68" ht="30" customHeight="1">
      <x:c r="A68" s="96"/>
      <x:c r="B68" s="96"/>
      <x:c r="C68" s="96"/>
      <x:c r="D68" s="36"/>
      <x:c r="E68" s="82"/>
      <x:c r="F68" s="84"/>
      <x:c r="G68" s="36"/>
      <x:c r="H68" s="36"/>
      <x:c r="I68" s="36"/>
      <x:c r="J68" s="96"/>
      <x:c r="K68" s="36"/>
      <x:c r="L68" s="98" t="str">
        <x:f>IF($B68="","",IFERROR(IF(INDEX('Leads'!$AE$8:$AE$107,MATCH($B68,'Leads'!$A$8:$A$107,0))="","",INDEX('Leads'!$AE$8:$AE$107,MATCH($B68,'Leads'!$A$8:$A$107,0))),""))</x:f>
      </x:c>
      <x:c r="M68" s="42" t="str">
        <x:f>IF($B68="","",IFERROR(IF(INDEX('Leads'!$AA$8:$AA$107,MATCH($B68,'Leads'!$A$8:$A$107,0))="","",INDEX('Leads'!$AA$8:$AA$107,MATCH($B68,'Leads'!$A$8:$A$107,0))),""))</x:f>
      </x:c>
      <x:c r="N68" s="42" t="str">
        <x:f>IF(AND($A68="",$B68="",$C68=""),"",IF(AND($O68=1,$P68=1),"ครบ", IF($A68="","ขาด ID เอกสาร; ","")&amp;IF(AND($A68&lt;&gt;"",COUNTIF('Quotations'!$A$8:$A$107,$A68)&gt;1),"ID เอกสารซ้ำ; ","")&amp;IF(COUNTIF('Leads'!$A$8:$A$107,$B68)&lt;&gt;1,"ตรวจรหัส Lead; ","")&amp;IF(AND($B68&lt;&gt;"",IFERROR(INDEX('Leads'!$BA$8:$BA$107,MATCH($B68,'Leads'!$A$8:$A$107,0)),0)&lt;&gt;1),"Lead ยังไม่นับผลจริง; ","")&amp;IF(OR($C68="",NOT(ISNUMBER($D68)),NOT(ISNUMBER($E68))),"ขาดเลข/รุ่น/วันส่ง; ","")&amp;IF($J68="","ขาดหลักฐาน; ","")&amp;IF(NOT(OR($I68="Yes",$I68="No")),"เลือก Yes/No; ","")&amp;IF(AND($I68="Yes",COUNTIFS('Quotations'!$B$8:$B$107,$B68,'Quotations'!$C$8:$C$107,$C68,'Quotations'!$I$8:$I$107,"Yes")&gt;1),"ฉบับปัจจุบันซ้อน; ","")&amp;IF(COUNTIFS('Quotations'!$B$8:$B$107,$B68,'Quotations'!$C$8:$C$107,$C68,'Quotations'!$D$8:$D$107,$D68)&gt;1,"เลข/รุ่นซ้ำ; ","")&amp;IF(OR(NOT(ISNUMBER($F68)),$G68="",$H68="",$H68="ไม่ทราบ"),"ตรวจมูลค่า/สกุล/ฐาน VAT; ","")))</x:f>
      </x:c>
      <x:c r="O68" s="42" t="str">
        <x:f>IF(AND($A68="",$B68="",$C68=""),"",IF(AND($A68&lt;&gt;"",COUNTIF('Quotations'!$A$8:$A$107,$A68)=1,COUNTIF('Leads'!$A$8:$A$107,$B68)=1,$L68&lt;&gt;"",IFERROR(INDEX('Leads'!$BA$8:$BA$107,MATCH($B68,'Leads'!$A$8:$A$107,0)),0)=1,$C68&lt;&gt;"",ISNUMBER($D68),$D68&gt;=1,ISNUMBER($E68),$E68&gt;0,OR($I68="Yes",$I68="No"),$J68&lt;&gt;"",COUNTIFS('Quotations'!$B$8:$B$107,$B68,'Quotations'!$C$8:$C$107,$C68,'Quotations'!$D$8:$D$107,$D68)=1,IF($I68="Yes",COUNTIFS('Quotations'!$B$8:$B$107,$B68,'Quotations'!$C$8:$C$107,$C68,'Quotations'!$I$8:$I$107,"Yes")=1,TRUE)),1,0))</x:f>
      </x:c>
      <x:c r="P68" s="42" t="str">
        <x:f>IF($O68="","",IF(AND($O68=1,ISNUMBER($F68),$F68&gt;=0,$G68&lt;&gt;"",OR($H68="รวม VAT",$H68="ไม่รวม VAT")),1,0))</x:f>
      </x:c>
    </x:row>
    <x:row r="69" ht="30" customHeight="1">
      <x:c r="A69" s="96"/>
      <x:c r="B69" s="96"/>
      <x:c r="C69" s="96"/>
      <x:c r="D69" s="36"/>
      <x:c r="E69" s="82"/>
      <x:c r="F69" s="84"/>
      <x:c r="G69" s="36"/>
      <x:c r="H69" s="36"/>
      <x:c r="I69" s="36"/>
      <x:c r="J69" s="96"/>
      <x:c r="K69" s="36"/>
      <x:c r="L69" s="98" t="str">
        <x:f>IF($B69="","",IFERROR(IF(INDEX('Leads'!$AE$8:$AE$107,MATCH($B69,'Leads'!$A$8:$A$107,0))="","",INDEX('Leads'!$AE$8:$AE$107,MATCH($B69,'Leads'!$A$8:$A$107,0))),""))</x:f>
      </x:c>
      <x:c r="M69" s="42" t="str">
        <x:f>IF($B69="","",IFERROR(IF(INDEX('Leads'!$AA$8:$AA$107,MATCH($B69,'Leads'!$A$8:$A$107,0))="","",INDEX('Leads'!$AA$8:$AA$107,MATCH($B69,'Leads'!$A$8:$A$107,0))),""))</x:f>
      </x:c>
      <x:c r="N69" s="42" t="str">
        <x:f>IF(AND($A69="",$B69="",$C69=""),"",IF(AND($O69=1,$P69=1),"ครบ", IF($A69="","ขาด ID เอกสาร; ","")&amp;IF(AND($A69&lt;&gt;"",COUNTIF('Quotations'!$A$8:$A$107,$A69)&gt;1),"ID เอกสารซ้ำ; ","")&amp;IF(COUNTIF('Leads'!$A$8:$A$107,$B69)&lt;&gt;1,"ตรวจรหัส Lead; ","")&amp;IF(AND($B69&lt;&gt;"",IFERROR(INDEX('Leads'!$BA$8:$BA$107,MATCH($B69,'Leads'!$A$8:$A$107,0)),0)&lt;&gt;1),"Lead ยังไม่นับผลจริง; ","")&amp;IF(OR($C69="",NOT(ISNUMBER($D69)),NOT(ISNUMBER($E69))),"ขาดเลข/รุ่น/วันส่ง; ","")&amp;IF($J69="","ขาดหลักฐาน; ","")&amp;IF(NOT(OR($I69="Yes",$I69="No")),"เลือก Yes/No; ","")&amp;IF(AND($I69="Yes",COUNTIFS('Quotations'!$B$8:$B$107,$B69,'Quotations'!$C$8:$C$107,$C69,'Quotations'!$I$8:$I$107,"Yes")&gt;1),"ฉบับปัจจุบันซ้อน; ","")&amp;IF(COUNTIFS('Quotations'!$B$8:$B$107,$B69,'Quotations'!$C$8:$C$107,$C69,'Quotations'!$D$8:$D$107,$D69)&gt;1,"เลข/รุ่นซ้ำ; ","")&amp;IF(OR(NOT(ISNUMBER($F69)),$G69="",$H69="",$H69="ไม่ทราบ"),"ตรวจมูลค่า/สกุล/ฐาน VAT; ","")))</x:f>
      </x:c>
      <x:c r="O69" s="42" t="str">
        <x:f>IF(AND($A69="",$B69="",$C69=""),"",IF(AND($A69&lt;&gt;"",COUNTIF('Quotations'!$A$8:$A$107,$A69)=1,COUNTIF('Leads'!$A$8:$A$107,$B69)=1,$L69&lt;&gt;"",IFERROR(INDEX('Leads'!$BA$8:$BA$107,MATCH($B69,'Leads'!$A$8:$A$107,0)),0)=1,$C69&lt;&gt;"",ISNUMBER($D69),$D69&gt;=1,ISNUMBER($E69),$E69&gt;0,OR($I69="Yes",$I69="No"),$J69&lt;&gt;"",COUNTIFS('Quotations'!$B$8:$B$107,$B69,'Quotations'!$C$8:$C$107,$C69,'Quotations'!$D$8:$D$107,$D69)=1,IF($I69="Yes",COUNTIFS('Quotations'!$B$8:$B$107,$B69,'Quotations'!$C$8:$C$107,$C69,'Quotations'!$I$8:$I$107,"Yes")=1,TRUE)),1,0))</x:f>
      </x:c>
      <x:c r="P69" s="42" t="str">
        <x:f>IF($O69="","",IF(AND($O69=1,ISNUMBER($F69),$F69&gt;=0,$G69&lt;&gt;"",OR($H69="รวม VAT",$H69="ไม่รวม VAT")),1,0))</x:f>
      </x:c>
    </x:row>
    <x:row r="70" ht="30" customHeight="1">
      <x:c r="A70" s="96"/>
      <x:c r="B70" s="96"/>
      <x:c r="C70" s="96"/>
      <x:c r="D70" s="36"/>
      <x:c r="E70" s="82"/>
      <x:c r="F70" s="84"/>
      <x:c r="G70" s="36"/>
      <x:c r="H70" s="36"/>
      <x:c r="I70" s="36"/>
      <x:c r="J70" s="96"/>
      <x:c r="K70" s="36"/>
      <x:c r="L70" s="98" t="str">
        <x:f>IF($B70="","",IFERROR(IF(INDEX('Leads'!$AE$8:$AE$107,MATCH($B70,'Leads'!$A$8:$A$107,0))="","",INDEX('Leads'!$AE$8:$AE$107,MATCH($B70,'Leads'!$A$8:$A$107,0))),""))</x:f>
      </x:c>
      <x:c r="M70" s="42" t="str">
        <x:f>IF($B70="","",IFERROR(IF(INDEX('Leads'!$AA$8:$AA$107,MATCH($B70,'Leads'!$A$8:$A$107,0))="","",INDEX('Leads'!$AA$8:$AA$107,MATCH($B70,'Leads'!$A$8:$A$107,0))),""))</x:f>
      </x:c>
      <x:c r="N70" s="42" t="str">
        <x:f>IF(AND($A70="",$B70="",$C70=""),"",IF(AND($O70=1,$P70=1),"ครบ", IF($A70="","ขาด ID เอกสาร; ","")&amp;IF(AND($A70&lt;&gt;"",COUNTIF('Quotations'!$A$8:$A$107,$A70)&gt;1),"ID เอกสารซ้ำ; ","")&amp;IF(COUNTIF('Leads'!$A$8:$A$107,$B70)&lt;&gt;1,"ตรวจรหัส Lead; ","")&amp;IF(AND($B70&lt;&gt;"",IFERROR(INDEX('Leads'!$BA$8:$BA$107,MATCH($B70,'Leads'!$A$8:$A$107,0)),0)&lt;&gt;1),"Lead ยังไม่นับผลจริง; ","")&amp;IF(OR($C70="",NOT(ISNUMBER($D70)),NOT(ISNUMBER($E70))),"ขาดเลข/รุ่น/วันส่ง; ","")&amp;IF($J70="","ขาดหลักฐาน; ","")&amp;IF(NOT(OR($I70="Yes",$I70="No")),"เลือก Yes/No; ","")&amp;IF(AND($I70="Yes",COUNTIFS('Quotations'!$B$8:$B$107,$B70,'Quotations'!$C$8:$C$107,$C70,'Quotations'!$I$8:$I$107,"Yes")&gt;1),"ฉบับปัจจุบันซ้อน; ","")&amp;IF(COUNTIFS('Quotations'!$B$8:$B$107,$B70,'Quotations'!$C$8:$C$107,$C70,'Quotations'!$D$8:$D$107,$D70)&gt;1,"เลข/รุ่นซ้ำ; ","")&amp;IF(OR(NOT(ISNUMBER($F70)),$G70="",$H70="",$H70="ไม่ทราบ"),"ตรวจมูลค่า/สกุล/ฐาน VAT; ","")))</x:f>
      </x:c>
      <x:c r="O70" s="42" t="str">
        <x:f>IF(AND($A70="",$B70="",$C70=""),"",IF(AND($A70&lt;&gt;"",COUNTIF('Quotations'!$A$8:$A$107,$A70)=1,COUNTIF('Leads'!$A$8:$A$107,$B70)=1,$L70&lt;&gt;"",IFERROR(INDEX('Leads'!$BA$8:$BA$107,MATCH($B70,'Leads'!$A$8:$A$107,0)),0)=1,$C70&lt;&gt;"",ISNUMBER($D70),$D70&gt;=1,ISNUMBER($E70),$E70&gt;0,OR($I70="Yes",$I70="No"),$J70&lt;&gt;"",COUNTIFS('Quotations'!$B$8:$B$107,$B70,'Quotations'!$C$8:$C$107,$C70,'Quotations'!$D$8:$D$107,$D70)=1,IF($I70="Yes",COUNTIFS('Quotations'!$B$8:$B$107,$B70,'Quotations'!$C$8:$C$107,$C70,'Quotations'!$I$8:$I$107,"Yes")=1,TRUE)),1,0))</x:f>
      </x:c>
      <x:c r="P70" s="42" t="str">
        <x:f>IF($O70="","",IF(AND($O70=1,ISNUMBER($F70),$F70&gt;=0,$G70&lt;&gt;"",OR($H70="รวม VAT",$H70="ไม่รวม VAT")),1,0))</x:f>
      </x:c>
    </x:row>
    <x:row r="71" ht="30" customHeight="1">
      <x:c r="A71" s="96"/>
      <x:c r="B71" s="96"/>
      <x:c r="C71" s="96"/>
      <x:c r="D71" s="36"/>
      <x:c r="E71" s="82"/>
      <x:c r="F71" s="84"/>
      <x:c r="G71" s="36"/>
      <x:c r="H71" s="36"/>
      <x:c r="I71" s="36"/>
      <x:c r="J71" s="96"/>
      <x:c r="K71" s="36"/>
      <x:c r="L71" s="98" t="str">
        <x:f>IF($B71="","",IFERROR(IF(INDEX('Leads'!$AE$8:$AE$107,MATCH($B71,'Leads'!$A$8:$A$107,0))="","",INDEX('Leads'!$AE$8:$AE$107,MATCH($B71,'Leads'!$A$8:$A$107,0))),""))</x:f>
      </x:c>
      <x:c r="M71" s="42" t="str">
        <x:f>IF($B71="","",IFERROR(IF(INDEX('Leads'!$AA$8:$AA$107,MATCH($B71,'Leads'!$A$8:$A$107,0))="","",INDEX('Leads'!$AA$8:$AA$107,MATCH($B71,'Leads'!$A$8:$A$107,0))),""))</x:f>
      </x:c>
      <x:c r="N71" s="42" t="str">
        <x:f>IF(AND($A71="",$B71="",$C71=""),"",IF(AND($O71=1,$P71=1),"ครบ", IF($A71="","ขาด ID เอกสาร; ","")&amp;IF(AND($A71&lt;&gt;"",COUNTIF('Quotations'!$A$8:$A$107,$A71)&gt;1),"ID เอกสารซ้ำ; ","")&amp;IF(COUNTIF('Leads'!$A$8:$A$107,$B71)&lt;&gt;1,"ตรวจรหัส Lead; ","")&amp;IF(AND($B71&lt;&gt;"",IFERROR(INDEX('Leads'!$BA$8:$BA$107,MATCH($B71,'Leads'!$A$8:$A$107,0)),0)&lt;&gt;1),"Lead ยังไม่นับผลจริง; ","")&amp;IF(OR($C71="",NOT(ISNUMBER($D71)),NOT(ISNUMBER($E71))),"ขาดเลข/รุ่น/วันส่ง; ","")&amp;IF($J71="","ขาดหลักฐาน; ","")&amp;IF(NOT(OR($I71="Yes",$I71="No")),"เลือก Yes/No; ","")&amp;IF(AND($I71="Yes",COUNTIFS('Quotations'!$B$8:$B$107,$B71,'Quotations'!$C$8:$C$107,$C71,'Quotations'!$I$8:$I$107,"Yes")&gt;1),"ฉบับปัจจุบันซ้อน; ","")&amp;IF(COUNTIFS('Quotations'!$B$8:$B$107,$B71,'Quotations'!$C$8:$C$107,$C71,'Quotations'!$D$8:$D$107,$D71)&gt;1,"เลข/รุ่นซ้ำ; ","")&amp;IF(OR(NOT(ISNUMBER($F71)),$G71="",$H71="",$H71="ไม่ทราบ"),"ตรวจมูลค่า/สกุล/ฐาน VAT; ","")))</x:f>
      </x:c>
      <x:c r="O71" s="42" t="str">
        <x:f>IF(AND($A71="",$B71="",$C71=""),"",IF(AND($A71&lt;&gt;"",COUNTIF('Quotations'!$A$8:$A$107,$A71)=1,COUNTIF('Leads'!$A$8:$A$107,$B71)=1,$L71&lt;&gt;"",IFERROR(INDEX('Leads'!$BA$8:$BA$107,MATCH($B71,'Leads'!$A$8:$A$107,0)),0)=1,$C71&lt;&gt;"",ISNUMBER($D71),$D71&gt;=1,ISNUMBER($E71),$E71&gt;0,OR($I71="Yes",$I71="No"),$J71&lt;&gt;"",COUNTIFS('Quotations'!$B$8:$B$107,$B71,'Quotations'!$C$8:$C$107,$C71,'Quotations'!$D$8:$D$107,$D71)=1,IF($I71="Yes",COUNTIFS('Quotations'!$B$8:$B$107,$B71,'Quotations'!$C$8:$C$107,$C71,'Quotations'!$I$8:$I$107,"Yes")=1,TRUE)),1,0))</x:f>
      </x:c>
      <x:c r="P71" s="42" t="str">
        <x:f>IF($O71="","",IF(AND($O71=1,ISNUMBER($F71),$F71&gt;=0,$G71&lt;&gt;"",OR($H71="รวม VAT",$H71="ไม่รวม VAT")),1,0))</x:f>
      </x:c>
    </x:row>
    <x:row r="72" ht="30" customHeight="1">
      <x:c r="A72" s="96"/>
      <x:c r="B72" s="96"/>
      <x:c r="C72" s="96"/>
      <x:c r="D72" s="36"/>
      <x:c r="E72" s="82"/>
      <x:c r="F72" s="84"/>
      <x:c r="G72" s="36"/>
      <x:c r="H72" s="36"/>
      <x:c r="I72" s="36"/>
      <x:c r="J72" s="96"/>
      <x:c r="K72" s="36"/>
      <x:c r="L72" s="98" t="str">
        <x:f>IF($B72="","",IFERROR(IF(INDEX('Leads'!$AE$8:$AE$107,MATCH($B72,'Leads'!$A$8:$A$107,0))="","",INDEX('Leads'!$AE$8:$AE$107,MATCH($B72,'Leads'!$A$8:$A$107,0))),""))</x:f>
      </x:c>
      <x:c r="M72" s="42" t="str">
        <x:f>IF($B72="","",IFERROR(IF(INDEX('Leads'!$AA$8:$AA$107,MATCH($B72,'Leads'!$A$8:$A$107,0))="","",INDEX('Leads'!$AA$8:$AA$107,MATCH($B72,'Leads'!$A$8:$A$107,0))),""))</x:f>
      </x:c>
      <x:c r="N72" s="42" t="str">
        <x:f>IF(AND($A72="",$B72="",$C72=""),"",IF(AND($O72=1,$P72=1),"ครบ", IF($A72="","ขาด ID เอกสาร; ","")&amp;IF(AND($A72&lt;&gt;"",COUNTIF('Quotations'!$A$8:$A$107,$A72)&gt;1),"ID เอกสารซ้ำ; ","")&amp;IF(COUNTIF('Leads'!$A$8:$A$107,$B72)&lt;&gt;1,"ตรวจรหัส Lead; ","")&amp;IF(AND($B72&lt;&gt;"",IFERROR(INDEX('Leads'!$BA$8:$BA$107,MATCH($B72,'Leads'!$A$8:$A$107,0)),0)&lt;&gt;1),"Lead ยังไม่นับผลจริง; ","")&amp;IF(OR($C72="",NOT(ISNUMBER($D72)),NOT(ISNUMBER($E72))),"ขาดเลข/รุ่น/วันส่ง; ","")&amp;IF($J72="","ขาดหลักฐาน; ","")&amp;IF(NOT(OR($I72="Yes",$I72="No")),"เลือก Yes/No; ","")&amp;IF(AND($I72="Yes",COUNTIFS('Quotations'!$B$8:$B$107,$B72,'Quotations'!$C$8:$C$107,$C72,'Quotations'!$I$8:$I$107,"Yes")&gt;1),"ฉบับปัจจุบันซ้อน; ","")&amp;IF(COUNTIFS('Quotations'!$B$8:$B$107,$B72,'Quotations'!$C$8:$C$107,$C72,'Quotations'!$D$8:$D$107,$D72)&gt;1,"เลข/รุ่นซ้ำ; ","")&amp;IF(OR(NOT(ISNUMBER($F72)),$G72="",$H72="",$H72="ไม่ทราบ"),"ตรวจมูลค่า/สกุล/ฐาน VAT; ","")))</x:f>
      </x:c>
      <x:c r="O72" s="42" t="str">
        <x:f>IF(AND($A72="",$B72="",$C72=""),"",IF(AND($A72&lt;&gt;"",COUNTIF('Quotations'!$A$8:$A$107,$A72)=1,COUNTIF('Leads'!$A$8:$A$107,$B72)=1,$L72&lt;&gt;"",IFERROR(INDEX('Leads'!$BA$8:$BA$107,MATCH($B72,'Leads'!$A$8:$A$107,0)),0)=1,$C72&lt;&gt;"",ISNUMBER($D72),$D72&gt;=1,ISNUMBER($E72),$E72&gt;0,OR($I72="Yes",$I72="No"),$J72&lt;&gt;"",COUNTIFS('Quotations'!$B$8:$B$107,$B72,'Quotations'!$C$8:$C$107,$C72,'Quotations'!$D$8:$D$107,$D72)=1,IF($I72="Yes",COUNTIFS('Quotations'!$B$8:$B$107,$B72,'Quotations'!$C$8:$C$107,$C72,'Quotations'!$I$8:$I$107,"Yes")=1,TRUE)),1,0))</x:f>
      </x:c>
      <x:c r="P72" s="42" t="str">
        <x:f>IF($O72="","",IF(AND($O72=1,ISNUMBER($F72),$F72&gt;=0,$G72&lt;&gt;"",OR($H72="รวม VAT",$H72="ไม่รวม VAT")),1,0))</x:f>
      </x:c>
    </x:row>
    <x:row r="73" ht="30" customHeight="1">
      <x:c r="A73" s="96"/>
      <x:c r="B73" s="96"/>
      <x:c r="C73" s="96"/>
      <x:c r="D73" s="36"/>
      <x:c r="E73" s="82"/>
      <x:c r="F73" s="84"/>
      <x:c r="G73" s="36"/>
      <x:c r="H73" s="36"/>
      <x:c r="I73" s="36"/>
      <x:c r="J73" s="96"/>
      <x:c r="K73" s="36"/>
      <x:c r="L73" s="98" t="str">
        <x:f>IF($B73="","",IFERROR(IF(INDEX('Leads'!$AE$8:$AE$107,MATCH($B73,'Leads'!$A$8:$A$107,0))="","",INDEX('Leads'!$AE$8:$AE$107,MATCH($B73,'Leads'!$A$8:$A$107,0))),""))</x:f>
      </x:c>
      <x:c r="M73" s="42" t="str">
        <x:f>IF($B73="","",IFERROR(IF(INDEX('Leads'!$AA$8:$AA$107,MATCH($B73,'Leads'!$A$8:$A$107,0))="","",INDEX('Leads'!$AA$8:$AA$107,MATCH($B73,'Leads'!$A$8:$A$107,0))),""))</x:f>
      </x:c>
      <x:c r="N73" s="42" t="str">
        <x:f>IF(AND($A73="",$B73="",$C73=""),"",IF(AND($O73=1,$P73=1),"ครบ", IF($A73="","ขาด ID เอกสาร; ","")&amp;IF(AND($A73&lt;&gt;"",COUNTIF('Quotations'!$A$8:$A$107,$A73)&gt;1),"ID เอกสารซ้ำ; ","")&amp;IF(COUNTIF('Leads'!$A$8:$A$107,$B73)&lt;&gt;1,"ตรวจรหัส Lead; ","")&amp;IF(AND($B73&lt;&gt;"",IFERROR(INDEX('Leads'!$BA$8:$BA$107,MATCH($B73,'Leads'!$A$8:$A$107,0)),0)&lt;&gt;1),"Lead ยังไม่นับผลจริง; ","")&amp;IF(OR($C73="",NOT(ISNUMBER($D73)),NOT(ISNUMBER($E73))),"ขาดเลข/รุ่น/วันส่ง; ","")&amp;IF($J73="","ขาดหลักฐาน; ","")&amp;IF(NOT(OR($I73="Yes",$I73="No")),"เลือก Yes/No; ","")&amp;IF(AND($I73="Yes",COUNTIFS('Quotations'!$B$8:$B$107,$B73,'Quotations'!$C$8:$C$107,$C73,'Quotations'!$I$8:$I$107,"Yes")&gt;1),"ฉบับปัจจุบันซ้อน; ","")&amp;IF(COUNTIFS('Quotations'!$B$8:$B$107,$B73,'Quotations'!$C$8:$C$107,$C73,'Quotations'!$D$8:$D$107,$D73)&gt;1,"เลข/รุ่นซ้ำ; ","")&amp;IF(OR(NOT(ISNUMBER($F73)),$G73="",$H73="",$H73="ไม่ทราบ"),"ตรวจมูลค่า/สกุล/ฐาน VAT; ","")))</x:f>
      </x:c>
      <x:c r="O73" s="42" t="str">
        <x:f>IF(AND($A73="",$B73="",$C73=""),"",IF(AND($A73&lt;&gt;"",COUNTIF('Quotations'!$A$8:$A$107,$A73)=1,COUNTIF('Leads'!$A$8:$A$107,$B73)=1,$L73&lt;&gt;"",IFERROR(INDEX('Leads'!$BA$8:$BA$107,MATCH($B73,'Leads'!$A$8:$A$107,0)),0)=1,$C73&lt;&gt;"",ISNUMBER($D73),$D73&gt;=1,ISNUMBER($E73),$E73&gt;0,OR($I73="Yes",$I73="No"),$J73&lt;&gt;"",COUNTIFS('Quotations'!$B$8:$B$107,$B73,'Quotations'!$C$8:$C$107,$C73,'Quotations'!$D$8:$D$107,$D73)=1,IF($I73="Yes",COUNTIFS('Quotations'!$B$8:$B$107,$B73,'Quotations'!$C$8:$C$107,$C73,'Quotations'!$I$8:$I$107,"Yes")=1,TRUE)),1,0))</x:f>
      </x:c>
      <x:c r="P73" s="42" t="str">
        <x:f>IF($O73="","",IF(AND($O73=1,ISNUMBER($F73),$F73&gt;=0,$G73&lt;&gt;"",OR($H73="รวม VAT",$H73="ไม่รวม VAT")),1,0))</x:f>
      </x:c>
    </x:row>
    <x:row r="74" ht="30" customHeight="1">
      <x:c r="A74" s="96"/>
      <x:c r="B74" s="96"/>
      <x:c r="C74" s="96"/>
      <x:c r="D74" s="36"/>
      <x:c r="E74" s="82"/>
      <x:c r="F74" s="84"/>
      <x:c r="G74" s="36"/>
      <x:c r="H74" s="36"/>
      <x:c r="I74" s="36"/>
      <x:c r="J74" s="96"/>
      <x:c r="K74" s="36"/>
      <x:c r="L74" s="98" t="str">
        <x:f>IF($B74="","",IFERROR(IF(INDEX('Leads'!$AE$8:$AE$107,MATCH($B74,'Leads'!$A$8:$A$107,0))="","",INDEX('Leads'!$AE$8:$AE$107,MATCH($B74,'Leads'!$A$8:$A$107,0))),""))</x:f>
      </x:c>
      <x:c r="M74" s="42" t="str">
        <x:f>IF($B74="","",IFERROR(IF(INDEX('Leads'!$AA$8:$AA$107,MATCH($B74,'Leads'!$A$8:$A$107,0))="","",INDEX('Leads'!$AA$8:$AA$107,MATCH($B74,'Leads'!$A$8:$A$107,0))),""))</x:f>
      </x:c>
      <x:c r="N74" s="42" t="str">
        <x:f>IF(AND($A74="",$B74="",$C74=""),"",IF(AND($O74=1,$P74=1),"ครบ", IF($A74="","ขาด ID เอกสาร; ","")&amp;IF(AND($A74&lt;&gt;"",COUNTIF('Quotations'!$A$8:$A$107,$A74)&gt;1),"ID เอกสารซ้ำ; ","")&amp;IF(COUNTIF('Leads'!$A$8:$A$107,$B74)&lt;&gt;1,"ตรวจรหัส Lead; ","")&amp;IF(AND($B74&lt;&gt;"",IFERROR(INDEX('Leads'!$BA$8:$BA$107,MATCH($B74,'Leads'!$A$8:$A$107,0)),0)&lt;&gt;1),"Lead ยังไม่นับผลจริง; ","")&amp;IF(OR($C74="",NOT(ISNUMBER($D74)),NOT(ISNUMBER($E74))),"ขาดเลข/รุ่น/วันส่ง; ","")&amp;IF($J74="","ขาดหลักฐาน; ","")&amp;IF(NOT(OR($I74="Yes",$I74="No")),"เลือก Yes/No; ","")&amp;IF(AND($I74="Yes",COUNTIFS('Quotations'!$B$8:$B$107,$B74,'Quotations'!$C$8:$C$107,$C74,'Quotations'!$I$8:$I$107,"Yes")&gt;1),"ฉบับปัจจุบันซ้อน; ","")&amp;IF(COUNTIFS('Quotations'!$B$8:$B$107,$B74,'Quotations'!$C$8:$C$107,$C74,'Quotations'!$D$8:$D$107,$D74)&gt;1,"เลข/รุ่นซ้ำ; ","")&amp;IF(OR(NOT(ISNUMBER($F74)),$G74="",$H74="",$H74="ไม่ทราบ"),"ตรวจมูลค่า/สกุล/ฐาน VAT; ","")))</x:f>
      </x:c>
      <x:c r="O74" s="42" t="str">
        <x:f>IF(AND($A74="",$B74="",$C74=""),"",IF(AND($A74&lt;&gt;"",COUNTIF('Quotations'!$A$8:$A$107,$A74)=1,COUNTIF('Leads'!$A$8:$A$107,$B74)=1,$L74&lt;&gt;"",IFERROR(INDEX('Leads'!$BA$8:$BA$107,MATCH($B74,'Leads'!$A$8:$A$107,0)),0)=1,$C74&lt;&gt;"",ISNUMBER($D74),$D74&gt;=1,ISNUMBER($E74),$E74&gt;0,OR($I74="Yes",$I74="No"),$J74&lt;&gt;"",COUNTIFS('Quotations'!$B$8:$B$107,$B74,'Quotations'!$C$8:$C$107,$C74,'Quotations'!$D$8:$D$107,$D74)=1,IF($I74="Yes",COUNTIFS('Quotations'!$B$8:$B$107,$B74,'Quotations'!$C$8:$C$107,$C74,'Quotations'!$I$8:$I$107,"Yes")=1,TRUE)),1,0))</x:f>
      </x:c>
      <x:c r="P74" s="42" t="str">
        <x:f>IF($O74="","",IF(AND($O74=1,ISNUMBER($F74),$F74&gt;=0,$G74&lt;&gt;"",OR($H74="รวม VAT",$H74="ไม่รวม VAT")),1,0))</x:f>
      </x:c>
    </x:row>
    <x:row r="75" ht="30" customHeight="1">
      <x:c r="A75" s="96"/>
      <x:c r="B75" s="96"/>
      <x:c r="C75" s="96"/>
      <x:c r="D75" s="36"/>
      <x:c r="E75" s="82"/>
      <x:c r="F75" s="84"/>
      <x:c r="G75" s="36"/>
      <x:c r="H75" s="36"/>
      <x:c r="I75" s="36"/>
      <x:c r="J75" s="96"/>
      <x:c r="K75" s="36"/>
      <x:c r="L75" s="98" t="str">
        <x:f>IF($B75="","",IFERROR(IF(INDEX('Leads'!$AE$8:$AE$107,MATCH($B75,'Leads'!$A$8:$A$107,0))="","",INDEX('Leads'!$AE$8:$AE$107,MATCH($B75,'Leads'!$A$8:$A$107,0))),""))</x:f>
      </x:c>
      <x:c r="M75" s="42" t="str">
        <x:f>IF($B75="","",IFERROR(IF(INDEX('Leads'!$AA$8:$AA$107,MATCH($B75,'Leads'!$A$8:$A$107,0))="","",INDEX('Leads'!$AA$8:$AA$107,MATCH($B75,'Leads'!$A$8:$A$107,0))),""))</x:f>
      </x:c>
      <x:c r="N75" s="42" t="str">
        <x:f>IF(AND($A75="",$B75="",$C75=""),"",IF(AND($O75=1,$P75=1),"ครบ", IF($A75="","ขาด ID เอกสาร; ","")&amp;IF(AND($A75&lt;&gt;"",COUNTIF('Quotations'!$A$8:$A$107,$A75)&gt;1),"ID เอกสารซ้ำ; ","")&amp;IF(COUNTIF('Leads'!$A$8:$A$107,$B75)&lt;&gt;1,"ตรวจรหัส Lead; ","")&amp;IF(AND($B75&lt;&gt;"",IFERROR(INDEX('Leads'!$BA$8:$BA$107,MATCH($B75,'Leads'!$A$8:$A$107,0)),0)&lt;&gt;1),"Lead ยังไม่นับผลจริง; ","")&amp;IF(OR($C75="",NOT(ISNUMBER($D75)),NOT(ISNUMBER($E75))),"ขาดเลข/รุ่น/วันส่ง; ","")&amp;IF($J75="","ขาดหลักฐาน; ","")&amp;IF(NOT(OR($I75="Yes",$I75="No")),"เลือก Yes/No; ","")&amp;IF(AND($I75="Yes",COUNTIFS('Quotations'!$B$8:$B$107,$B75,'Quotations'!$C$8:$C$107,$C75,'Quotations'!$I$8:$I$107,"Yes")&gt;1),"ฉบับปัจจุบันซ้อน; ","")&amp;IF(COUNTIFS('Quotations'!$B$8:$B$107,$B75,'Quotations'!$C$8:$C$107,$C75,'Quotations'!$D$8:$D$107,$D75)&gt;1,"เลข/รุ่นซ้ำ; ","")&amp;IF(OR(NOT(ISNUMBER($F75)),$G75="",$H75="",$H75="ไม่ทราบ"),"ตรวจมูลค่า/สกุล/ฐาน VAT; ","")))</x:f>
      </x:c>
      <x:c r="O75" s="42" t="str">
        <x:f>IF(AND($A75="",$B75="",$C75=""),"",IF(AND($A75&lt;&gt;"",COUNTIF('Quotations'!$A$8:$A$107,$A75)=1,COUNTIF('Leads'!$A$8:$A$107,$B75)=1,$L75&lt;&gt;"",IFERROR(INDEX('Leads'!$BA$8:$BA$107,MATCH($B75,'Leads'!$A$8:$A$107,0)),0)=1,$C75&lt;&gt;"",ISNUMBER($D75),$D75&gt;=1,ISNUMBER($E75),$E75&gt;0,OR($I75="Yes",$I75="No"),$J75&lt;&gt;"",COUNTIFS('Quotations'!$B$8:$B$107,$B75,'Quotations'!$C$8:$C$107,$C75,'Quotations'!$D$8:$D$107,$D75)=1,IF($I75="Yes",COUNTIFS('Quotations'!$B$8:$B$107,$B75,'Quotations'!$C$8:$C$107,$C75,'Quotations'!$I$8:$I$107,"Yes")=1,TRUE)),1,0))</x:f>
      </x:c>
      <x:c r="P75" s="42" t="str">
        <x:f>IF($O75="","",IF(AND($O75=1,ISNUMBER($F75),$F75&gt;=0,$G75&lt;&gt;"",OR($H75="รวม VAT",$H75="ไม่รวม VAT")),1,0))</x:f>
      </x:c>
    </x:row>
    <x:row r="76" ht="30" customHeight="1">
      <x:c r="A76" s="96"/>
      <x:c r="B76" s="96"/>
      <x:c r="C76" s="96"/>
      <x:c r="D76" s="36"/>
      <x:c r="E76" s="82"/>
      <x:c r="F76" s="84"/>
      <x:c r="G76" s="36"/>
      <x:c r="H76" s="36"/>
      <x:c r="I76" s="36"/>
      <x:c r="J76" s="96"/>
      <x:c r="K76" s="36"/>
      <x:c r="L76" s="98" t="str">
        <x:f>IF($B76="","",IFERROR(IF(INDEX('Leads'!$AE$8:$AE$107,MATCH($B76,'Leads'!$A$8:$A$107,0))="","",INDEX('Leads'!$AE$8:$AE$107,MATCH($B76,'Leads'!$A$8:$A$107,0))),""))</x:f>
      </x:c>
      <x:c r="M76" s="42" t="str">
        <x:f>IF($B76="","",IFERROR(IF(INDEX('Leads'!$AA$8:$AA$107,MATCH($B76,'Leads'!$A$8:$A$107,0))="","",INDEX('Leads'!$AA$8:$AA$107,MATCH($B76,'Leads'!$A$8:$A$107,0))),""))</x:f>
      </x:c>
      <x:c r="N76" s="42" t="str">
        <x:f>IF(AND($A76="",$B76="",$C76=""),"",IF(AND($O76=1,$P76=1),"ครบ", IF($A76="","ขาด ID เอกสาร; ","")&amp;IF(AND($A76&lt;&gt;"",COUNTIF('Quotations'!$A$8:$A$107,$A76)&gt;1),"ID เอกสารซ้ำ; ","")&amp;IF(COUNTIF('Leads'!$A$8:$A$107,$B76)&lt;&gt;1,"ตรวจรหัส Lead; ","")&amp;IF(AND($B76&lt;&gt;"",IFERROR(INDEX('Leads'!$BA$8:$BA$107,MATCH($B76,'Leads'!$A$8:$A$107,0)),0)&lt;&gt;1),"Lead ยังไม่นับผลจริง; ","")&amp;IF(OR($C76="",NOT(ISNUMBER($D76)),NOT(ISNUMBER($E76))),"ขาดเลข/รุ่น/วันส่ง; ","")&amp;IF($J76="","ขาดหลักฐาน; ","")&amp;IF(NOT(OR($I76="Yes",$I76="No")),"เลือก Yes/No; ","")&amp;IF(AND($I76="Yes",COUNTIFS('Quotations'!$B$8:$B$107,$B76,'Quotations'!$C$8:$C$107,$C76,'Quotations'!$I$8:$I$107,"Yes")&gt;1),"ฉบับปัจจุบันซ้อน; ","")&amp;IF(COUNTIFS('Quotations'!$B$8:$B$107,$B76,'Quotations'!$C$8:$C$107,$C76,'Quotations'!$D$8:$D$107,$D76)&gt;1,"เลข/รุ่นซ้ำ; ","")&amp;IF(OR(NOT(ISNUMBER($F76)),$G76="",$H76="",$H76="ไม่ทราบ"),"ตรวจมูลค่า/สกุล/ฐาน VAT; ","")))</x:f>
      </x:c>
      <x:c r="O76" s="42" t="str">
        <x:f>IF(AND($A76="",$B76="",$C76=""),"",IF(AND($A76&lt;&gt;"",COUNTIF('Quotations'!$A$8:$A$107,$A76)=1,COUNTIF('Leads'!$A$8:$A$107,$B76)=1,$L76&lt;&gt;"",IFERROR(INDEX('Leads'!$BA$8:$BA$107,MATCH($B76,'Leads'!$A$8:$A$107,0)),0)=1,$C76&lt;&gt;"",ISNUMBER($D76),$D76&gt;=1,ISNUMBER($E76),$E76&gt;0,OR($I76="Yes",$I76="No"),$J76&lt;&gt;"",COUNTIFS('Quotations'!$B$8:$B$107,$B76,'Quotations'!$C$8:$C$107,$C76,'Quotations'!$D$8:$D$107,$D76)=1,IF($I76="Yes",COUNTIFS('Quotations'!$B$8:$B$107,$B76,'Quotations'!$C$8:$C$107,$C76,'Quotations'!$I$8:$I$107,"Yes")=1,TRUE)),1,0))</x:f>
      </x:c>
      <x:c r="P76" s="42" t="str">
        <x:f>IF($O76="","",IF(AND($O76=1,ISNUMBER($F76),$F76&gt;=0,$G76&lt;&gt;"",OR($H76="รวม VAT",$H76="ไม่รวม VAT")),1,0))</x:f>
      </x:c>
    </x:row>
    <x:row r="77" ht="30" customHeight="1">
      <x:c r="A77" s="96"/>
      <x:c r="B77" s="96"/>
      <x:c r="C77" s="96"/>
      <x:c r="D77" s="36"/>
      <x:c r="E77" s="82"/>
      <x:c r="F77" s="84"/>
      <x:c r="G77" s="36"/>
      <x:c r="H77" s="36"/>
      <x:c r="I77" s="36"/>
      <x:c r="J77" s="96"/>
      <x:c r="K77" s="36"/>
      <x:c r="L77" s="98" t="str">
        <x:f>IF($B77="","",IFERROR(IF(INDEX('Leads'!$AE$8:$AE$107,MATCH($B77,'Leads'!$A$8:$A$107,0))="","",INDEX('Leads'!$AE$8:$AE$107,MATCH($B77,'Leads'!$A$8:$A$107,0))),""))</x:f>
      </x:c>
      <x:c r="M77" s="42" t="str">
        <x:f>IF($B77="","",IFERROR(IF(INDEX('Leads'!$AA$8:$AA$107,MATCH($B77,'Leads'!$A$8:$A$107,0))="","",INDEX('Leads'!$AA$8:$AA$107,MATCH($B77,'Leads'!$A$8:$A$107,0))),""))</x:f>
      </x:c>
      <x:c r="N77" s="42" t="str">
        <x:f>IF(AND($A77="",$B77="",$C77=""),"",IF(AND($O77=1,$P77=1),"ครบ", IF($A77="","ขาด ID เอกสาร; ","")&amp;IF(AND($A77&lt;&gt;"",COUNTIF('Quotations'!$A$8:$A$107,$A77)&gt;1),"ID เอกสารซ้ำ; ","")&amp;IF(COUNTIF('Leads'!$A$8:$A$107,$B77)&lt;&gt;1,"ตรวจรหัส Lead; ","")&amp;IF(AND($B77&lt;&gt;"",IFERROR(INDEX('Leads'!$BA$8:$BA$107,MATCH($B77,'Leads'!$A$8:$A$107,0)),0)&lt;&gt;1),"Lead ยังไม่นับผลจริง; ","")&amp;IF(OR($C77="",NOT(ISNUMBER($D77)),NOT(ISNUMBER($E77))),"ขาดเลข/รุ่น/วันส่ง; ","")&amp;IF($J77="","ขาดหลักฐาน; ","")&amp;IF(NOT(OR($I77="Yes",$I77="No")),"เลือก Yes/No; ","")&amp;IF(AND($I77="Yes",COUNTIFS('Quotations'!$B$8:$B$107,$B77,'Quotations'!$C$8:$C$107,$C77,'Quotations'!$I$8:$I$107,"Yes")&gt;1),"ฉบับปัจจุบันซ้อน; ","")&amp;IF(COUNTIFS('Quotations'!$B$8:$B$107,$B77,'Quotations'!$C$8:$C$107,$C77,'Quotations'!$D$8:$D$107,$D77)&gt;1,"เลข/รุ่นซ้ำ; ","")&amp;IF(OR(NOT(ISNUMBER($F77)),$G77="",$H77="",$H77="ไม่ทราบ"),"ตรวจมูลค่า/สกุล/ฐาน VAT; ","")))</x:f>
      </x:c>
      <x:c r="O77" s="42" t="str">
        <x:f>IF(AND($A77="",$B77="",$C77=""),"",IF(AND($A77&lt;&gt;"",COUNTIF('Quotations'!$A$8:$A$107,$A77)=1,COUNTIF('Leads'!$A$8:$A$107,$B77)=1,$L77&lt;&gt;"",IFERROR(INDEX('Leads'!$BA$8:$BA$107,MATCH($B77,'Leads'!$A$8:$A$107,0)),0)=1,$C77&lt;&gt;"",ISNUMBER($D77),$D77&gt;=1,ISNUMBER($E77),$E77&gt;0,OR($I77="Yes",$I77="No"),$J77&lt;&gt;"",COUNTIFS('Quotations'!$B$8:$B$107,$B77,'Quotations'!$C$8:$C$107,$C77,'Quotations'!$D$8:$D$107,$D77)=1,IF($I77="Yes",COUNTIFS('Quotations'!$B$8:$B$107,$B77,'Quotations'!$C$8:$C$107,$C77,'Quotations'!$I$8:$I$107,"Yes")=1,TRUE)),1,0))</x:f>
      </x:c>
      <x:c r="P77" s="42" t="str">
        <x:f>IF($O77="","",IF(AND($O77=1,ISNUMBER($F77),$F77&gt;=0,$G77&lt;&gt;"",OR($H77="รวม VAT",$H77="ไม่รวม VAT")),1,0))</x:f>
      </x:c>
    </x:row>
    <x:row r="78" ht="30" customHeight="1">
      <x:c r="A78" s="96"/>
      <x:c r="B78" s="96"/>
      <x:c r="C78" s="96"/>
      <x:c r="D78" s="36"/>
      <x:c r="E78" s="82"/>
      <x:c r="F78" s="84"/>
      <x:c r="G78" s="36"/>
      <x:c r="H78" s="36"/>
      <x:c r="I78" s="36"/>
      <x:c r="J78" s="96"/>
      <x:c r="K78" s="36"/>
      <x:c r="L78" s="98" t="str">
        <x:f>IF($B78="","",IFERROR(IF(INDEX('Leads'!$AE$8:$AE$107,MATCH($B78,'Leads'!$A$8:$A$107,0))="","",INDEX('Leads'!$AE$8:$AE$107,MATCH($B78,'Leads'!$A$8:$A$107,0))),""))</x:f>
      </x:c>
      <x:c r="M78" s="42" t="str">
        <x:f>IF($B78="","",IFERROR(IF(INDEX('Leads'!$AA$8:$AA$107,MATCH($B78,'Leads'!$A$8:$A$107,0))="","",INDEX('Leads'!$AA$8:$AA$107,MATCH($B78,'Leads'!$A$8:$A$107,0))),""))</x:f>
      </x:c>
      <x:c r="N78" s="42" t="str">
        <x:f>IF(AND($A78="",$B78="",$C78=""),"",IF(AND($O78=1,$P78=1),"ครบ", IF($A78="","ขาด ID เอกสาร; ","")&amp;IF(AND($A78&lt;&gt;"",COUNTIF('Quotations'!$A$8:$A$107,$A78)&gt;1),"ID เอกสารซ้ำ; ","")&amp;IF(COUNTIF('Leads'!$A$8:$A$107,$B78)&lt;&gt;1,"ตรวจรหัส Lead; ","")&amp;IF(AND($B78&lt;&gt;"",IFERROR(INDEX('Leads'!$BA$8:$BA$107,MATCH($B78,'Leads'!$A$8:$A$107,0)),0)&lt;&gt;1),"Lead ยังไม่นับผลจริง; ","")&amp;IF(OR($C78="",NOT(ISNUMBER($D78)),NOT(ISNUMBER($E78))),"ขาดเลข/รุ่น/วันส่ง; ","")&amp;IF($J78="","ขาดหลักฐาน; ","")&amp;IF(NOT(OR($I78="Yes",$I78="No")),"เลือก Yes/No; ","")&amp;IF(AND($I78="Yes",COUNTIFS('Quotations'!$B$8:$B$107,$B78,'Quotations'!$C$8:$C$107,$C78,'Quotations'!$I$8:$I$107,"Yes")&gt;1),"ฉบับปัจจุบันซ้อน; ","")&amp;IF(COUNTIFS('Quotations'!$B$8:$B$107,$B78,'Quotations'!$C$8:$C$107,$C78,'Quotations'!$D$8:$D$107,$D78)&gt;1,"เลข/รุ่นซ้ำ; ","")&amp;IF(OR(NOT(ISNUMBER($F78)),$G78="",$H78="",$H78="ไม่ทราบ"),"ตรวจมูลค่า/สกุล/ฐาน VAT; ","")))</x:f>
      </x:c>
      <x:c r="O78" s="42" t="str">
        <x:f>IF(AND($A78="",$B78="",$C78=""),"",IF(AND($A78&lt;&gt;"",COUNTIF('Quotations'!$A$8:$A$107,$A78)=1,COUNTIF('Leads'!$A$8:$A$107,$B78)=1,$L78&lt;&gt;"",IFERROR(INDEX('Leads'!$BA$8:$BA$107,MATCH($B78,'Leads'!$A$8:$A$107,0)),0)=1,$C78&lt;&gt;"",ISNUMBER($D78),$D78&gt;=1,ISNUMBER($E78),$E78&gt;0,OR($I78="Yes",$I78="No"),$J78&lt;&gt;"",COUNTIFS('Quotations'!$B$8:$B$107,$B78,'Quotations'!$C$8:$C$107,$C78,'Quotations'!$D$8:$D$107,$D78)=1,IF($I78="Yes",COUNTIFS('Quotations'!$B$8:$B$107,$B78,'Quotations'!$C$8:$C$107,$C78,'Quotations'!$I$8:$I$107,"Yes")=1,TRUE)),1,0))</x:f>
      </x:c>
      <x:c r="P78" s="42" t="str">
        <x:f>IF($O78="","",IF(AND($O78=1,ISNUMBER($F78),$F78&gt;=0,$G78&lt;&gt;"",OR($H78="รวม VAT",$H78="ไม่รวม VAT")),1,0))</x:f>
      </x:c>
    </x:row>
    <x:row r="79" ht="30" customHeight="1">
      <x:c r="A79" s="96"/>
      <x:c r="B79" s="96"/>
      <x:c r="C79" s="96"/>
      <x:c r="D79" s="36"/>
      <x:c r="E79" s="82"/>
      <x:c r="F79" s="84"/>
      <x:c r="G79" s="36"/>
      <x:c r="H79" s="36"/>
      <x:c r="I79" s="36"/>
      <x:c r="J79" s="96"/>
      <x:c r="K79" s="36"/>
      <x:c r="L79" s="98" t="str">
        <x:f>IF($B79="","",IFERROR(IF(INDEX('Leads'!$AE$8:$AE$107,MATCH($B79,'Leads'!$A$8:$A$107,0))="","",INDEX('Leads'!$AE$8:$AE$107,MATCH($B79,'Leads'!$A$8:$A$107,0))),""))</x:f>
      </x:c>
      <x:c r="M79" s="42" t="str">
        <x:f>IF($B79="","",IFERROR(IF(INDEX('Leads'!$AA$8:$AA$107,MATCH($B79,'Leads'!$A$8:$A$107,0))="","",INDEX('Leads'!$AA$8:$AA$107,MATCH($B79,'Leads'!$A$8:$A$107,0))),""))</x:f>
      </x:c>
      <x:c r="N79" s="42" t="str">
        <x:f>IF(AND($A79="",$B79="",$C79=""),"",IF(AND($O79=1,$P79=1),"ครบ", IF($A79="","ขาด ID เอกสาร; ","")&amp;IF(AND($A79&lt;&gt;"",COUNTIF('Quotations'!$A$8:$A$107,$A79)&gt;1),"ID เอกสารซ้ำ; ","")&amp;IF(COUNTIF('Leads'!$A$8:$A$107,$B79)&lt;&gt;1,"ตรวจรหัส Lead; ","")&amp;IF(AND($B79&lt;&gt;"",IFERROR(INDEX('Leads'!$BA$8:$BA$107,MATCH($B79,'Leads'!$A$8:$A$107,0)),0)&lt;&gt;1),"Lead ยังไม่นับผลจริง; ","")&amp;IF(OR($C79="",NOT(ISNUMBER($D79)),NOT(ISNUMBER($E79))),"ขาดเลข/รุ่น/วันส่ง; ","")&amp;IF($J79="","ขาดหลักฐาน; ","")&amp;IF(NOT(OR($I79="Yes",$I79="No")),"เลือก Yes/No; ","")&amp;IF(AND($I79="Yes",COUNTIFS('Quotations'!$B$8:$B$107,$B79,'Quotations'!$C$8:$C$107,$C79,'Quotations'!$I$8:$I$107,"Yes")&gt;1),"ฉบับปัจจุบันซ้อน; ","")&amp;IF(COUNTIFS('Quotations'!$B$8:$B$107,$B79,'Quotations'!$C$8:$C$107,$C79,'Quotations'!$D$8:$D$107,$D79)&gt;1,"เลข/รุ่นซ้ำ; ","")&amp;IF(OR(NOT(ISNUMBER($F79)),$G79="",$H79="",$H79="ไม่ทราบ"),"ตรวจมูลค่า/สกุล/ฐาน VAT; ","")))</x:f>
      </x:c>
      <x:c r="O79" s="42" t="str">
        <x:f>IF(AND($A79="",$B79="",$C79=""),"",IF(AND($A79&lt;&gt;"",COUNTIF('Quotations'!$A$8:$A$107,$A79)=1,COUNTIF('Leads'!$A$8:$A$107,$B79)=1,$L79&lt;&gt;"",IFERROR(INDEX('Leads'!$BA$8:$BA$107,MATCH($B79,'Leads'!$A$8:$A$107,0)),0)=1,$C79&lt;&gt;"",ISNUMBER($D79),$D79&gt;=1,ISNUMBER($E79),$E79&gt;0,OR($I79="Yes",$I79="No"),$J79&lt;&gt;"",COUNTIFS('Quotations'!$B$8:$B$107,$B79,'Quotations'!$C$8:$C$107,$C79,'Quotations'!$D$8:$D$107,$D79)=1,IF($I79="Yes",COUNTIFS('Quotations'!$B$8:$B$107,$B79,'Quotations'!$C$8:$C$107,$C79,'Quotations'!$I$8:$I$107,"Yes")=1,TRUE)),1,0))</x:f>
      </x:c>
      <x:c r="P79" s="42" t="str">
        <x:f>IF($O79="","",IF(AND($O79=1,ISNUMBER($F79),$F79&gt;=0,$G79&lt;&gt;"",OR($H79="รวม VAT",$H79="ไม่รวม VAT")),1,0))</x:f>
      </x:c>
    </x:row>
    <x:row r="80" ht="30" customHeight="1">
      <x:c r="A80" s="96"/>
      <x:c r="B80" s="96"/>
      <x:c r="C80" s="96"/>
      <x:c r="D80" s="36"/>
      <x:c r="E80" s="82"/>
      <x:c r="F80" s="84"/>
      <x:c r="G80" s="36"/>
      <x:c r="H80" s="36"/>
      <x:c r="I80" s="36"/>
      <x:c r="J80" s="96"/>
      <x:c r="K80" s="36"/>
      <x:c r="L80" s="98" t="str">
        <x:f>IF($B80="","",IFERROR(IF(INDEX('Leads'!$AE$8:$AE$107,MATCH($B80,'Leads'!$A$8:$A$107,0))="","",INDEX('Leads'!$AE$8:$AE$107,MATCH($B80,'Leads'!$A$8:$A$107,0))),""))</x:f>
      </x:c>
      <x:c r="M80" s="42" t="str">
        <x:f>IF($B80="","",IFERROR(IF(INDEX('Leads'!$AA$8:$AA$107,MATCH($B80,'Leads'!$A$8:$A$107,0))="","",INDEX('Leads'!$AA$8:$AA$107,MATCH($B80,'Leads'!$A$8:$A$107,0))),""))</x:f>
      </x:c>
      <x:c r="N80" s="42" t="str">
        <x:f>IF(AND($A80="",$B80="",$C80=""),"",IF(AND($O80=1,$P80=1),"ครบ", IF($A80="","ขาด ID เอกสาร; ","")&amp;IF(AND($A80&lt;&gt;"",COUNTIF('Quotations'!$A$8:$A$107,$A80)&gt;1),"ID เอกสารซ้ำ; ","")&amp;IF(COUNTIF('Leads'!$A$8:$A$107,$B80)&lt;&gt;1,"ตรวจรหัส Lead; ","")&amp;IF(AND($B80&lt;&gt;"",IFERROR(INDEX('Leads'!$BA$8:$BA$107,MATCH($B80,'Leads'!$A$8:$A$107,0)),0)&lt;&gt;1),"Lead ยังไม่นับผลจริง; ","")&amp;IF(OR($C80="",NOT(ISNUMBER($D80)),NOT(ISNUMBER($E80))),"ขาดเลข/รุ่น/วันส่ง; ","")&amp;IF($J80="","ขาดหลักฐาน; ","")&amp;IF(NOT(OR($I80="Yes",$I80="No")),"เลือก Yes/No; ","")&amp;IF(AND($I80="Yes",COUNTIFS('Quotations'!$B$8:$B$107,$B80,'Quotations'!$C$8:$C$107,$C80,'Quotations'!$I$8:$I$107,"Yes")&gt;1),"ฉบับปัจจุบันซ้อน; ","")&amp;IF(COUNTIFS('Quotations'!$B$8:$B$107,$B80,'Quotations'!$C$8:$C$107,$C80,'Quotations'!$D$8:$D$107,$D80)&gt;1,"เลข/รุ่นซ้ำ; ","")&amp;IF(OR(NOT(ISNUMBER($F80)),$G80="",$H80="",$H80="ไม่ทราบ"),"ตรวจมูลค่า/สกุล/ฐาน VAT; ","")))</x:f>
      </x:c>
      <x:c r="O80" s="42" t="str">
        <x:f>IF(AND($A80="",$B80="",$C80=""),"",IF(AND($A80&lt;&gt;"",COUNTIF('Quotations'!$A$8:$A$107,$A80)=1,COUNTIF('Leads'!$A$8:$A$107,$B80)=1,$L80&lt;&gt;"",IFERROR(INDEX('Leads'!$BA$8:$BA$107,MATCH($B80,'Leads'!$A$8:$A$107,0)),0)=1,$C80&lt;&gt;"",ISNUMBER($D80),$D80&gt;=1,ISNUMBER($E80),$E80&gt;0,OR($I80="Yes",$I80="No"),$J80&lt;&gt;"",COUNTIFS('Quotations'!$B$8:$B$107,$B80,'Quotations'!$C$8:$C$107,$C80,'Quotations'!$D$8:$D$107,$D80)=1,IF($I80="Yes",COUNTIFS('Quotations'!$B$8:$B$107,$B80,'Quotations'!$C$8:$C$107,$C80,'Quotations'!$I$8:$I$107,"Yes")=1,TRUE)),1,0))</x:f>
      </x:c>
      <x:c r="P80" s="42" t="str">
        <x:f>IF($O80="","",IF(AND($O80=1,ISNUMBER($F80),$F80&gt;=0,$G80&lt;&gt;"",OR($H80="รวม VAT",$H80="ไม่รวม VAT")),1,0))</x:f>
      </x:c>
    </x:row>
    <x:row r="81" ht="30" customHeight="1">
      <x:c r="A81" s="96"/>
      <x:c r="B81" s="96"/>
      <x:c r="C81" s="96"/>
      <x:c r="D81" s="36"/>
      <x:c r="E81" s="82"/>
      <x:c r="F81" s="84"/>
      <x:c r="G81" s="36"/>
      <x:c r="H81" s="36"/>
      <x:c r="I81" s="36"/>
      <x:c r="J81" s="96"/>
      <x:c r="K81" s="36"/>
      <x:c r="L81" s="98" t="str">
        <x:f>IF($B81="","",IFERROR(IF(INDEX('Leads'!$AE$8:$AE$107,MATCH($B81,'Leads'!$A$8:$A$107,0))="","",INDEX('Leads'!$AE$8:$AE$107,MATCH($B81,'Leads'!$A$8:$A$107,0))),""))</x:f>
      </x:c>
      <x:c r="M81" s="42" t="str">
        <x:f>IF($B81="","",IFERROR(IF(INDEX('Leads'!$AA$8:$AA$107,MATCH($B81,'Leads'!$A$8:$A$107,0))="","",INDEX('Leads'!$AA$8:$AA$107,MATCH($B81,'Leads'!$A$8:$A$107,0))),""))</x:f>
      </x:c>
      <x:c r="N81" s="42" t="str">
        <x:f>IF(AND($A81="",$B81="",$C81=""),"",IF(AND($O81=1,$P81=1),"ครบ", IF($A81="","ขาด ID เอกสาร; ","")&amp;IF(AND($A81&lt;&gt;"",COUNTIF('Quotations'!$A$8:$A$107,$A81)&gt;1),"ID เอกสารซ้ำ; ","")&amp;IF(COUNTIF('Leads'!$A$8:$A$107,$B81)&lt;&gt;1,"ตรวจรหัส Lead; ","")&amp;IF(AND($B81&lt;&gt;"",IFERROR(INDEX('Leads'!$BA$8:$BA$107,MATCH($B81,'Leads'!$A$8:$A$107,0)),0)&lt;&gt;1),"Lead ยังไม่นับผลจริง; ","")&amp;IF(OR($C81="",NOT(ISNUMBER($D81)),NOT(ISNUMBER($E81))),"ขาดเลข/รุ่น/วันส่ง; ","")&amp;IF($J81="","ขาดหลักฐาน; ","")&amp;IF(NOT(OR($I81="Yes",$I81="No")),"เลือก Yes/No; ","")&amp;IF(AND($I81="Yes",COUNTIFS('Quotations'!$B$8:$B$107,$B81,'Quotations'!$C$8:$C$107,$C81,'Quotations'!$I$8:$I$107,"Yes")&gt;1),"ฉบับปัจจุบันซ้อน; ","")&amp;IF(COUNTIFS('Quotations'!$B$8:$B$107,$B81,'Quotations'!$C$8:$C$107,$C81,'Quotations'!$D$8:$D$107,$D81)&gt;1,"เลข/รุ่นซ้ำ; ","")&amp;IF(OR(NOT(ISNUMBER($F81)),$G81="",$H81="",$H81="ไม่ทราบ"),"ตรวจมูลค่า/สกุล/ฐาน VAT; ","")))</x:f>
      </x:c>
      <x:c r="O81" s="42" t="str">
        <x:f>IF(AND($A81="",$B81="",$C81=""),"",IF(AND($A81&lt;&gt;"",COUNTIF('Quotations'!$A$8:$A$107,$A81)=1,COUNTIF('Leads'!$A$8:$A$107,$B81)=1,$L81&lt;&gt;"",IFERROR(INDEX('Leads'!$BA$8:$BA$107,MATCH($B81,'Leads'!$A$8:$A$107,0)),0)=1,$C81&lt;&gt;"",ISNUMBER($D81),$D81&gt;=1,ISNUMBER($E81),$E81&gt;0,OR($I81="Yes",$I81="No"),$J81&lt;&gt;"",COUNTIFS('Quotations'!$B$8:$B$107,$B81,'Quotations'!$C$8:$C$107,$C81,'Quotations'!$D$8:$D$107,$D81)=1,IF($I81="Yes",COUNTIFS('Quotations'!$B$8:$B$107,$B81,'Quotations'!$C$8:$C$107,$C81,'Quotations'!$I$8:$I$107,"Yes")=1,TRUE)),1,0))</x:f>
      </x:c>
      <x:c r="P81" s="42" t="str">
        <x:f>IF($O81="","",IF(AND($O81=1,ISNUMBER($F81),$F81&gt;=0,$G81&lt;&gt;"",OR($H81="รวม VAT",$H81="ไม่รวม VAT")),1,0))</x:f>
      </x:c>
    </x:row>
    <x:row r="82" ht="30" customHeight="1">
      <x:c r="A82" s="96"/>
      <x:c r="B82" s="96"/>
      <x:c r="C82" s="96"/>
      <x:c r="D82" s="36"/>
      <x:c r="E82" s="82"/>
      <x:c r="F82" s="84"/>
      <x:c r="G82" s="36"/>
      <x:c r="H82" s="36"/>
      <x:c r="I82" s="36"/>
      <x:c r="J82" s="96"/>
      <x:c r="K82" s="36"/>
      <x:c r="L82" s="98" t="str">
        <x:f>IF($B82="","",IFERROR(IF(INDEX('Leads'!$AE$8:$AE$107,MATCH($B82,'Leads'!$A$8:$A$107,0))="","",INDEX('Leads'!$AE$8:$AE$107,MATCH($B82,'Leads'!$A$8:$A$107,0))),""))</x:f>
      </x:c>
      <x:c r="M82" s="42" t="str">
        <x:f>IF($B82="","",IFERROR(IF(INDEX('Leads'!$AA$8:$AA$107,MATCH($B82,'Leads'!$A$8:$A$107,0))="","",INDEX('Leads'!$AA$8:$AA$107,MATCH($B82,'Leads'!$A$8:$A$107,0))),""))</x:f>
      </x:c>
      <x:c r="N82" s="42" t="str">
        <x:f>IF(AND($A82="",$B82="",$C82=""),"",IF(AND($O82=1,$P82=1),"ครบ", IF($A82="","ขาด ID เอกสาร; ","")&amp;IF(AND($A82&lt;&gt;"",COUNTIF('Quotations'!$A$8:$A$107,$A82)&gt;1),"ID เอกสารซ้ำ; ","")&amp;IF(COUNTIF('Leads'!$A$8:$A$107,$B82)&lt;&gt;1,"ตรวจรหัส Lead; ","")&amp;IF(AND($B82&lt;&gt;"",IFERROR(INDEX('Leads'!$BA$8:$BA$107,MATCH($B82,'Leads'!$A$8:$A$107,0)),0)&lt;&gt;1),"Lead ยังไม่นับผลจริง; ","")&amp;IF(OR($C82="",NOT(ISNUMBER($D82)),NOT(ISNUMBER($E82))),"ขาดเลข/รุ่น/วันส่ง; ","")&amp;IF($J82="","ขาดหลักฐาน; ","")&amp;IF(NOT(OR($I82="Yes",$I82="No")),"เลือก Yes/No; ","")&amp;IF(AND($I82="Yes",COUNTIFS('Quotations'!$B$8:$B$107,$B82,'Quotations'!$C$8:$C$107,$C82,'Quotations'!$I$8:$I$107,"Yes")&gt;1),"ฉบับปัจจุบันซ้อน; ","")&amp;IF(COUNTIFS('Quotations'!$B$8:$B$107,$B82,'Quotations'!$C$8:$C$107,$C82,'Quotations'!$D$8:$D$107,$D82)&gt;1,"เลข/รุ่นซ้ำ; ","")&amp;IF(OR(NOT(ISNUMBER($F82)),$G82="",$H82="",$H82="ไม่ทราบ"),"ตรวจมูลค่า/สกุล/ฐาน VAT; ","")))</x:f>
      </x:c>
      <x:c r="O82" s="42" t="str">
        <x:f>IF(AND($A82="",$B82="",$C82=""),"",IF(AND($A82&lt;&gt;"",COUNTIF('Quotations'!$A$8:$A$107,$A82)=1,COUNTIF('Leads'!$A$8:$A$107,$B82)=1,$L82&lt;&gt;"",IFERROR(INDEX('Leads'!$BA$8:$BA$107,MATCH($B82,'Leads'!$A$8:$A$107,0)),0)=1,$C82&lt;&gt;"",ISNUMBER($D82),$D82&gt;=1,ISNUMBER($E82),$E82&gt;0,OR($I82="Yes",$I82="No"),$J82&lt;&gt;"",COUNTIFS('Quotations'!$B$8:$B$107,$B82,'Quotations'!$C$8:$C$107,$C82,'Quotations'!$D$8:$D$107,$D82)=1,IF($I82="Yes",COUNTIFS('Quotations'!$B$8:$B$107,$B82,'Quotations'!$C$8:$C$107,$C82,'Quotations'!$I$8:$I$107,"Yes")=1,TRUE)),1,0))</x:f>
      </x:c>
      <x:c r="P82" s="42" t="str">
        <x:f>IF($O82="","",IF(AND($O82=1,ISNUMBER($F82),$F82&gt;=0,$G82&lt;&gt;"",OR($H82="รวม VAT",$H82="ไม่รวม VAT")),1,0))</x:f>
      </x:c>
    </x:row>
    <x:row r="83" ht="30" customHeight="1">
      <x:c r="A83" s="96"/>
      <x:c r="B83" s="96"/>
      <x:c r="C83" s="96"/>
      <x:c r="D83" s="36"/>
      <x:c r="E83" s="82"/>
      <x:c r="F83" s="84"/>
      <x:c r="G83" s="36"/>
      <x:c r="H83" s="36"/>
      <x:c r="I83" s="36"/>
      <x:c r="J83" s="96"/>
      <x:c r="K83" s="36"/>
      <x:c r="L83" s="98" t="str">
        <x:f>IF($B83="","",IFERROR(IF(INDEX('Leads'!$AE$8:$AE$107,MATCH($B83,'Leads'!$A$8:$A$107,0))="","",INDEX('Leads'!$AE$8:$AE$107,MATCH($B83,'Leads'!$A$8:$A$107,0))),""))</x:f>
      </x:c>
      <x:c r="M83" s="42" t="str">
        <x:f>IF($B83="","",IFERROR(IF(INDEX('Leads'!$AA$8:$AA$107,MATCH($B83,'Leads'!$A$8:$A$107,0))="","",INDEX('Leads'!$AA$8:$AA$107,MATCH($B83,'Leads'!$A$8:$A$107,0))),""))</x:f>
      </x:c>
      <x:c r="N83" s="42" t="str">
        <x:f>IF(AND($A83="",$B83="",$C83=""),"",IF(AND($O83=1,$P83=1),"ครบ", IF($A83="","ขาด ID เอกสาร; ","")&amp;IF(AND($A83&lt;&gt;"",COUNTIF('Quotations'!$A$8:$A$107,$A83)&gt;1),"ID เอกสารซ้ำ; ","")&amp;IF(COUNTIF('Leads'!$A$8:$A$107,$B83)&lt;&gt;1,"ตรวจรหัส Lead; ","")&amp;IF(AND($B83&lt;&gt;"",IFERROR(INDEX('Leads'!$BA$8:$BA$107,MATCH($B83,'Leads'!$A$8:$A$107,0)),0)&lt;&gt;1),"Lead ยังไม่นับผลจริง; ","")&amp;IF(OR($C83="",NOT(ISNUMBER($D83)),NOT(ISNUMBER($E83))),"ขาดเลข/รุ่น/วันส่ง; ","")&amp;IF($J83="","ขาดหลักฐาน; ","")&amp;IF(NOT(OR($I83="Yes",$I83="No")),"เลือก Yes/No; ","")&amp;IF(AND($I83="Yes",COUNTIFS('Quotations'!$B$8:$B$107,$B83,'Quotations'!$C$8:$C$107,$C83,'Quotations'!$I$8:$I$107,"Yes")&gt;1),"ฉบับปัจจุบันซ้อน; ","")&amp;IF(COUNTIFS('Quotations'!$B$8:$B$107,$B83,'Quotations'!$C$8:$C$107,$C83,'Quotations'!$D$8:$D$107,$D83)&gt;1,"เลข/รุ่นซ้ำ; ","")&amp;IF(OR(NOT(ISNUMBER($F83)),$G83="",$H83="",$H83="ไม่ทราบ"),"ตรวจมูลค่า/สกุล/ฐาน VAT; ","")))</x:f>
      </x:c>
      <x:c r="O83" s="42" t="str">
        <x:f>IF(AND($A83="",$B83="",$C83=""),"",IF(AND($A83&lt;&gt;"",COUNTIF('Quotations'!$A$8:$A$107,$A83)=1,COUNTIF('Leads'!$A$8:$A$107,$B83)=1,$L83&lt;&gt;"",IFERROR(INDEX('Leads'!$BA$8:$BA$107,MATCH($B83,'Leads'!$A$8:$A$107,0)),0)=1,$C83&lt;&gt;"",ISNUMBER($D83),$D83&gt;=1,ISNUMBER($E83),$E83&gt;0,OR($I83="Yes",$I83="No"),$J83&lt;&gt;"",COUNTIFS('Quotations'!$B$8:$B$107,$B83,'Quotations'!$C$8:$C$107,$C83,'Quotations'!$D$8:$D$107,$D83)=1,IF($I83="Yes",COUNTIFS('Quotations'!$B$8:$B$107,$B83,'Quotations'!$C$8:$C$107,$C83,'Quotations'!$I$8:$I$107,"Yes")=1,TRUE)),1,0))</x:f>
      </x:c>
      <x:c r="P83" s="42" t="str">
        <x:f>IF($O83="","",IF(AND($O83=1,ISNUMBER($F83),$F83&gt;=0,$G83&lt;&gt;"",OR($H83="รวม VAT",$H83="ไม่รวม VAT")),1,0))</x:f>
      </x:c>
    </x:row>
    <x:row r="84" ht="30" customHeight="1">
      <x:c r="A84" s="96"/>
      <x:c r="B84" s="96"/>
      <x:c r="C84" s="96"/>
      <x:c r="D84" s="36"/>
      <x:c r="E84" s="82"/>
      <x:c r="F84" s="84"/>
      <x:c r="G84" s="36"/>
      <x:c r="H84" s="36"/>
      <x:c r="I84" s="36"/>
      <x:c r="J84" s="96"/>
      <x:c r="K84" s="36"/>
      <x:c r="L84" s="98" t="str">
        <x:f>IF($B84="","",IFERROR(IF(INDEX('Leads'!$AE$8:$AE$107,MATCH($B84,'Leads'!$A$8:$A$107,0))="","",INDEX('Leads'!$AE$8:$AE$107,MATCH($B84,'Leads'!$A$8:$A$107,0))),""))</x:f>
      </x:c>
      <x:c r="M84" s="42" t="str">
        <x:f>IF($B84="","",IFERROR(IF(INDEX('Leads'!$AA$8:$AA$107,MATCH($B84,'Leads'!$A$8:$A$107,0))="","",INDEX('Leads'!$AA$8:$AA$107,MATCH($B84,'Leads'!$A$8:$A$107,0))),""))</x:f>
      </x:c>
      <x:c r="N84" s="42" t="str">
        <x:f>IF(AND($A84="",$B84="",$C84=""),"",IF(AND($O84=1,$P84=1),"ครบ", IF($A84="","ขาด ID เอกสาร; ","")&amp;IF(AND($A84&lt;&gt;"",COUNTIF('Quotations'!$A$8:$A$107,$A84)&gt;1),"ID เอกสารซ้ำ; ","")&amp;IF(COUNTIF('Leads'!$A$8:$A$107,$B84)&lt;&gt;1,"ตรวจรหัส Lead; ","")&amp;IF(AND($B84&lt;&gt;"",IFERROR(INDEX('Leads'!$BA$8:$BA$107,MATCH($B84,'Leads'!$A$8:$A$107,0)),0)&lt;&gt;1),"Lead ยังไม่นับผลจริง; ","")&amp;IF(OR($C84="",NOT(ISNUMBER($D84)),NOT(ISNUMBER($E84))),"ขาดเลข/รุ่น/วันส่ง; ","")&amp;IF($J84="","ขาดหลักฐาน; ","")&amp;IF(NOT(OR($I84="Yes",$I84="No")),"เลือก Yes/No; ","")&amp;IF(AND($I84="Yes",COUNTIFS('Quotations'!$B$8:$B$107,$B84,'Quotations'!$C$8:$C$107,$C84,'Quotations'!$I$8:$I$107,"Yes")&gt;1),"ฉบับปัจจุบันซ้อน; ","")&amp;IF(COUNTIFS('Quotations'!$B$8:$B$107,$B84,'Quotations'!$C$8:$C$107,$C84,'Quotations'!$D$8:$D$107,$D84)&gt;1,"เลข/รุ่นซ้ำ; ","")&amp;IF(OR(NOT(ISNUMBER($F84)),$G84="",$H84="",$H84="ไม่ทราบ"),"ตรวจมูลค่า/สกุล/ฐาน VAT; ","")))</x:f>
      </x:c>
      <x:c r="O84" s="42" t="str">
        <x:f>IF(AND($A84="",$B84="",$C84=""),"",IF(AND($A84&lt;&gt;"",COUNTIF('Quotations'!$A$8:$A$107,$A84)=1,COUNTIF('Leads'!$A$8:$A$107,$B84)=1,$L84&lt;&gt;"",IFERROR(INDEX('Leads'!$BA$8:$BA$107,MATCH($B84,'Leads'!$A$8:$A$107,0)),0)=1,$C84&lt;&gt;"",ISNUMBER($D84),$D84&gt;=1,ISNUMBER($E84),$E84&gt;0,OR($I84="Yes",$I84="No"),$J84&lt;&gt;"",COUNTIFS('Quotations'!$B$8:$B$107,$B84,'Quotations'!$C$8:$C$107,$C84,'Quotations'!$D$8:$D$107,$D84)=1,IF($I84="Yes",COUNTIFS('Quotations'!$B$8:$B$107,$B84,'Quotations'!$C$8:$C$107,$C84,'Quotations'!$I$8:$I$107,"Yes")=1,TRUE)),1,0))</x:f>
      </x:c>
      <x:c r="P84" s="42" t="str">
        <x:f>IF($O84="","",IF(AND($O84=1,ISNUMBER($F84),$F84&gt;=0,$G84&lt;&gt;"",OR($H84="รวม VAT",$H84="ไม่รวม VAT")),1,0))</x:f>
      </x:c>
    </x:row>
    <x:row r="85" ht="30" customHeight="1">
      <x:c r="A85" s="96"/>
      <x:c r="B85" s="96"/>
      <x:c r="C85" s="96"/>
      <x:c r="D85" s="36"/>
      <x:c r="E85" s="82"/>
      <x:c r="F85" s="84"/>
      <x:c r="G85" s="36"/>
      <x:c r="H85" s="36"/>
      <x:c r="I85" s="36"/>
      <x:c r="J85" s="96"/>
      <x:c r="K85" s="36"/>
      <x:c r="L85" s="98" t="str">
        <x:f>IF($B85="","",IFERROR(IF(INDEX('Leads'!$AE$8:$AE$107,MATCH($B85,'Leads'!$A$8:$A$107,0))="","",INDEX('Leads'!$AE$8:$AE$107,MATCH($B85,'Leads'!$A$8:$A$107,0))),""))</x:f>
      </x:c>
      <x:c r="M85" s="42" t="str">
        <x:f>IF($B85="","",IFERROR(IF(INDEX('Leads'!$AA$8:$AA$107,MATCH($B85,'Leads'!$A$8:$A$107,0))="","",INDEX('Leads'!$AA$8:$AA$107,MATCH($B85,'Leads'!$A$8:$A$107,0))),""))</x:f>
      </x:c>
      <x:c r="N85" s="42" t="str">
        <x:f>IF(AND($A85="",$B85="",$C85=""),"",IF(AND($O85=1,$P85=1),"ครบ", IF($A85="","ขาด ID เอกสาร; ","")&amp;IF(AND($A85&lt;&gt;"",COUNTIF('Quotations'!$A$8:$A$107,$A85)&gt;1),"ID เอกสารซ้ำ; ","")&amp;IF(COUNTIF('Leads'!$A$8:$A$107,$B85)&lt;&gt;1,"ตรวจรหัส Lead; ","")&amp;IF(AND($B85&lt;&gt;"",IFERROR(INDEX('Leads'!$BA$8:$BA$107,MATCH($B85,'Leads'!$A$8:$A$107,0)),0)&lt;&gt;1),"Lead ยังไม่นับผลจริง; ","")&amp;IF(OR($C85="",NOT(ISNUMBER($D85)),NOT(ISNUMBER($E85))),"ขาดเลข/รุ่น/วันส่ง; ","")&amp;IF($J85="","ขาดหลักฐาน; ","")&amp;IF(NOT(OR($I85="Yes",$I85="No")),"เลือก Yes/No; ","")&amp;IF(AND($I85="Yes",COUNTIFS('Quotations'!$B$8:$B$107,$B85,'Quotations'!$C$8:$C$107,$C85,'Quotations'!$I$8:$I$107,"Yes")&gt;1),"ฉบับปัจจุบันซ้อน; ","")&amp;IF(COUNTIFS('Quotations'!$B$8:$B$107,$B85,'Quotations'!$C$8:$C$107,$C85,'Quotations'!$D$8:$D$107,$D85)&gt;1,"เลข/รุ่นซ้ำ; ","")&amp;IF(OR(NOT(ISNUMBER($F85)),$G85="",$H85="",$H85="ไม่ทราบ"),"ตรวจมูลค่า/สกุล/ฐาน VAT; ","")))</x:f>
      </x:c>
      <x:c r="O85" s="42" t="str">
        <x:f>IF(AND($A85="",$B85="",$C85=""),"",IF(AND($A85&lt;&gt;"",COUNTIF('Quotations'!$A$8:$A$107,$A85)=1,COUNTIF('Leads'!$A$8:$A$107,$B85)=1,$L85&lt;&gt;"",IFERROR(INDEX('Leads'!$BA$8:$BA$107,MATCH($B85,'Leads'!$A$8:$A$107,0)),0)=1,$C85&lt;&gt;"",ISNUMBER($D85),$D85&gt;=1,ISNUMBER($E85),$E85&gt;0,OR($I85="Yes",$I85="No"),$J85&lt;&gt;"",COUNTIFS('Quotations'!$B$8:$B$107,$B85,'Quotations'!$C$8:$C$107,$C85,'Quotations'!$D$8:$D$107,$D85)=1,IF($I85="Yes",COUNTIFS('Quotations'!$B$8:$B$107,$B85,'Quotations'!$C$8:$C$107,$C85,'Quotations'!$I$8:$I$107,"Yes")=1,TRUE)),1,0))</x:f>
      </x:c>
      <x:c r="P85" s="42" t="str">
        <x:f>IF($O85="","",IF(AND($O85=1,ISNUMBER($F85),$F85&gt;=0,$G85&lt;&gt;"",OR($H85="รวม VAT",$H85="ไม่รวม VAT")),1,0))</x:f>
      </x:c>
    </x:row>
    <x:row r="86" ht="30" customHeight="1">
      <x:c r="A86" s="96"/>
      <x:c r="B86" s="96"/>
      <x:c r="C86" s="96"/>
      <x:c r="D86" s="36"/>
      <x:c r="E86" s="82"/>
      <x:c r="F86" s="84"/>
      <x:c r="G86" s="36"/>
      <x:c r="H86" s="36"/>
      <x:c r="I86" s="36"/>
      <x:c r="J86" s="96"/>
      <x:c r="K86" s="36"/>
      <x:c r="L86" s="98" t="str">
        <x:f>IF($B86="","",IFERROR(IF(INDEX('Leads'!$AE$8:$AE$107,MATCH($B86,'Leads'!$A$8:$A$107,0))="","",INDEX('Leads'!$AE$8:$AE$107,MATCH($B86,'Leads'!$A$8:$A$107,0))),""))</x:f>
      </x:c>
      <x:c r="M86" s="42" t="str">
        <x:f>IF($B86="","",IFERROR(IF(INDEX('Leads'!$AA$8:$AA$107,MATCH($B86,'Leads'!$A$8:$A$107,0))="","",INDEX('Leads'!$AA$8:$AA$107,MATCH($B86,'Leads'!$A$8:$A$107,0))),""))</x:f>
      </x:c>
      <x:c r="N86" s="42" t="str">
        <x:f>IF(AND($A86="",$B86="",$C86=""),"",IF(AND($O86=1,$P86=1),"ครบ", IF($A86="","ขาด ID เอกสาร; ","")&amp;IF(AND($A86&lt;&gt;"",COUNTIF('Quotations'!$A$8:$A$107,$A86)&gt;1),"ID เอกสารซ้ำ; ","")&amp;IF(COUNTIF('Leads'!$A$8:$A$107,$B86)&lt;&gt;1,"ตรวจรหัส Lead; ","")&amp;IF(AND($B86&lt;&gt;"",IFERROR(INDEX('Leads'!$BA$8:$BA$107,MATCH($B86,'Leads'!$A$8:$A$107,0)),0)&lt;&gt;1),"Lead ยังไม่นับผลจริง; ","")&amp;IF(OR($C86="",NOT(ISNUMBER($D86)),NOT(ISNUMBER($E86))),"ขาดเลข/รุ่น/วันส่ง; ","")&amp;IF($J86="","ขาดหลักฐาน; ","")&amp;IF(NOT(OR($I86="Yes",$I86="No")),"เลือก Yes/No; ","")&amp;IF(AND($I86="Yes",COUNTIFS('Quotations'!$B$8:$B$107,$B86,'Quotations'!$C$8:$C$107,$C86,'Quotations'!$I$8:$I$107,"Yes")&gt;1),"ฉบับปัจจุบันซ้อน; ","")&amp;IF(COUNTIFS('Quotations'!$B$8:$B$107,$B86,'Quotations'!$C$8:$C$107,$C86,'Quotations'!$D$8:$D$107,$D86)&gt;1,"เลข/รุ่นซ้ำ; ","")&amp;IF(OR(NOT(ISNUMBER($F86)),$G86="",$H86="",$H86="ไม่ทราบ"),"ตรวจมูลค่า/สกุล/ฐาน VAT; ","")))</x:f>
      </x:c>
      <x:c r="O86" s="42" t="str">
        <x:f>IF(AND($A86="",$B86="",$C86=""),"",IF(AND($A86&lt;&gt;"",COUNTIF('Quotations'!$A$8:$A$107,$A86)=1,COUNTIF('Leads'!$A$8:$A$107,$B86)=1,$L86&lt;&gt;"",IFERROR(INDEX('Leads'!$BA$8:$BA$107,MATCH($B86,'Leads'!$A$8:$A$107,0)),0)=1,$C86&lt;&gt;"",ISNUMBER($D86),$D86&gt;=1,ISNUMBER($E86),$E86&gt;0,OR($I86="Yes",$I86="No"),$J86&lt;&gt;"",COUNTIFS('Quotations'!$B$8:$B$107,$B86,'Quotations'!$C$8:$C$107,$C86,'Quotations'!$D$8:$D$107,$D86)=1,IF($I86="Yes",COUNTIFS('Quotations'!$B$8:$B$107,$B86,'Quotations'!$C$8:$C$107,$C86,'Quotations'!$I$8:$I$107,"Yes")=1,TRUE)),1,0))</x:f>
      </x:c>
      <x:c r="P86" s="42" t="str">
        <x:f>IF($O86="","",IF(AND($O86=1,ISNUMBER($F86),$F86&gt;=0,$G86&lt;&gt;"",OR($H86="รวม VAT",$H86="ไม่รวม VAT")),1,0))</x:f>
      </x:c>
    </x:row>
    <x:row r="87" ht="30" customHeight="1">
      <x:c r="A87" s="96"/>
      <x:c r="B87" s="96"/>
      <x:c r="C87" s="96"/>
      <x:c r="D87" s="36"/>
      <x:c r="E87" s="82"/>
      <x:c r="F87" s="84"/>
      <x:c r="G87" s="36"/>
      <x:c r="H87" s="36"/>
      <x:c r="I87" s="36"/>
      <x:c r="J87" s="96"/>
      <x:c r="K87" s="36"/>
      <x:c r="L87" s="98" t="str">
        <x:f>IF($B87="","",IFERROR(IF(INDEX('Leads'!$AE$8:$AE$107,MATCH($B87,'Leads'!$A$8:$A$107,0))="","",INDEX('Leads'!$AE$8:$AE$107,MATCH($B87,'Leads'!$A$8:$A$107,0))),""))</x:f>
      </x:c>
      <x:c r="M87" s="42" t="str">
        <x:f>IF($B87="","",IFERROR(IF(INDEX('Leads'!$AA$8:$AA$107,MATCH($B87,'Leads'!$A$8:$A$107,0))="","",INDEX('Leads'!$AA$8:$AA$107,MATCH($B87,'Leads'!$A$8:$A$107,0))),""))</x:f>
      </x:c>
      <x:c r="N87" s="42" t="str">
        <x:f>IF(AND($A87="",$B87="",$C87=""),"",IF(AND($O87=1,$P87=1),"ครบ", IF($A87="","ขาด ID เอกสาร; ","")&amp;IF(AND($A87&lt;&gt;"",COUNTIF('Quotations'!$A$8:$A$107,$A87)&gt;1),"ID เอกสารซ้ำ; ","")&amp;IF(COUNTIF('Leads'!$A$8:$A$107,$B87)&lt;&gt;1,"ตรวจรหัส Lead; ","")&amp;IF(AND($B87&lt;&gt;"",IFERROR(INDEX('Leads'!$BA$8:$BA$107,MATCH($B87,'Leads'!$A$8:$A$107,0)),0)&lt;&gt;1),"Lead ยังไม่นับผลจริง; ","")&amp;IF(OR($C87="",NOT(ISNUMBER($D87)),NOT(ISNUMBER($E87))),"ขาดเลข/รุ่น/วันส่ง; ","")&amp;IF($J87="","ขาดหลักฐาน; ","")&amp;IF(NOT(OR($I87="Yes",$I87="No")),"เลือก Yes/No; ","")&amp;IF(AND($I87="Yes",COUNTIFS('Quotations'!$B$8:$B$107,$B87,'Quotations'!$C$8:$C$107,$C87,'Quotations'!$I$8:$I$107,"Yes")&gt;1),"ฉบับปัจจุบันซ้อน; ","")&amp;IF(COUNTIFS('Quotations'!$B$8:$B$107,$B87,'Quotations'!$C$8:$C$107,$C87,'Quotations'!$D$8:$D$107,$D87)&gt;1,"เลข/รุ่นซ้ำ; ","")&amp;IF(OR(NOT(ISNUMBER($F87)),$G87="",$H87="",$H87="ไม่ทราบ"),"ตรวจมูลค่า/สกุล/ฐาน VAT; ","")))</x:f>
      </x:c>
      <x:c r="O87" s="42" t="str">
        <x:f>IF(AND($A87="",$B87="",$C87=""),"",IF(AND($A87&lt;&gt;"",COUNTIF('Quotations'!$A$8:$A$107,$A87)=1,COUNTIF('Leads'!$A$8:$A$107,$B87)=1,$L87&lt;&gt;"",IFERROR(INDEX('Leads'!$BA$8:$BA$107,MATCH($B87,'Leads'!$A$8:$A$107,0)),0)=1,$C87&lt;&gt;"",ISNUMBER($D87),$D87&gt;=1,ISNUMBER($E87),$E87&gt;0,OR($I87="Yes",$I87="No"),$J87&lt;&gt;"",COUNTIFS('Quotations'!$B$8:$B$107,$B87,'Quotations'!$C$8:$C$107,$C87,'Quotations'!$D$8:$D$107,$D87)=1,IF($I87="Yes",COUNTIFS('Quotations'!$B$8:$B$107,$B87,'Quotations'!$C$8:$C$107,$C87,'Quotations'!$I$8:$I$107,"Yes")=1,TRUE)),1,0))</x:f>
      </x:c>
      <x:c r="P87" s="42" t="str">
        <x:f>IF($O87="","",IF(AND($O87=1,ISNUMBER($F87),$F87&gt;=0,$G87&lt;&gt;"",OR($H87="รวม VAT",$H87="ไม่รวม VAT")),1,0))</x:f>
      </x:c>
    </x:row>
    <x:row r="88" ht="30" customHeight="1">
      <x:c r="A88" s="96"/>
      <x:c r="B88" s="96"/>
      <x:c r="C88" s="96"/>
      <x:c r="D88" s="36"/>
      <x:c r="E88" s="82"/>
      <x:c r="F88" s="84"/>
      <x:c r="G88" s="36"/>
      <x:c r="H88" s="36"/>
      <x:c r="I88" s="36"/>
      <x:c r="J88" s="96"/>
      <x:c r="K88" s="36"/>
      <x:c r="L88" s="98" t="str">
        <x:f>IF($B88="","",IFERROR(IF(INDEX('Leads'!$AE$8:$AE$107,MATCH($B88,'Leads'!$A$8:$A$107,0))="","",INDEX('Leads'!$AE$8:$AE$107,MATCH($B88,'Leads'!$A$8:$A$107,0))),""))</x:f>
      </x:c>
      <x:c r="M88" s="42" t="str">
        <x:f>IF($B88="","",IFERROR(IF(INDEX('Leads'!$AA$8:$AA$107,MATCH($B88,'Leads'!$A$8:$A$107,0))="","",INDEX('Leads'!$AA$8:$AA$107,MATCH($B88,'Leads'!$A$8:$A$107,0))),""))</x:f>
      </x:c>
      <x:c r="N88" s="42" t="str">
        <x:f>IF(AND($A88="",$B88="",$C88=""),"",IF(AND($O88=1,$P88=1),"ครบ", IF($A88="","ขาด ID เอกสาร; ","")&amp;IF(AND($A88&lt;&gt;"",COUNTIF('Quotations'!$A$8:$A$107,$A88)&gt;1),"ID เอกสารซ้ำ; ","")&amp;IF(COUNTIF('Leads'!$A$8:$A$107,$B88)&lt;&gt;1,"ตรวจรหัส Lead; ","")&amp;IF(AND($B88&lt;&gt;"",IFERROR(INDEX('Leads'!$BA$8:$BA$107,MATCH($B88,'Leads'!$A$8:$A$107,0)),0)&lt;&gt;1),"Lead ยังไม่นับผลจริง; ","")&amp;IF(OR($C88="",NOT(ISNUMBER($D88)),NOT(ISNUMBER($E88))),"ขาดเลข/รุ่น/วันส่ง; ","")&amp;IF($J88="","ขาดหลักฐาน; ","")&amp;IF(NOT(OR($I88="Yes",$I88="No")),"เลือก Yes/No; ","")&amp;IF(AND($I88="Yes",COUNTIFS('Quotations'!$B$8:$B$107,$B88,'Quotations'!$C$8:$C$107,$C88,'Quotations'!$I$8:$I$107,"Yes")&gt;1),"ฉบับปัจจุบันซ้อน; ","")&amp;IF(COUNTIFS('Quotations'!$B$8:$B$107,$B88,'Quotations'!$C$8:$C$107,$C88,'Quotations'!$D$8:$D$107,$D88)&gt;1,"เลข/รุ่นซ้ำ; ","")&amp;IF(OR(NOT(ISNUMBER($F88)),$G88="",$H88="",$H88="ไม่ทราบ"),"ตรวจมูลค่า/สกุล/ฐาน VAT; ","")))</x:f>
      </x:c>
      <x:c r="O88" s="42" t="str">
        <x:f>IF(AND($A88="",$B88="",$C88=""),"",IF(AND($A88&lt;&gt;"",COUNTIF('Quotations'!$A$8:$A$107,$A88)=1,COUNTIF('Leads'!$A$8:$A$107,$B88)=1,$L88&lt;&gt;"",IFERROR(INDEX('Leads'!$BA$8:$BA$107,MATCH($B88,'Leads'!$A$8:$A$107,0)),0)=1,$C88&lt;&gt;"",ISNUMBER($D88),$D88&gt;=1,ISNUMBER($E88),$E88&gt;0,OR($I88="Yes",$I88="No"),$J88&lt;&gt;"",COUNTIFS('Quotations'!$B$8:$B$107,$B88,'Quotations'!$C$8:$C$107,$C88,'Quotations'!$D$8:$D$107,$D88)=1,IF($I88="Yes",COUNTIFS('Quotations'!$B$8:$B$107,$B88,'Quotations'!$C$8:$C$107,$C88,'Quotations'!$I$8:$I$107,"Yes")=1,TRUE)),1,0))</x:f>
      </x:c>
      <x:c r="P88" s="42" t="str">
        <x:f>IF($O88="","",IF(AND($O88=1,ISNUMBER($F88),$F88&gt;=0,$G88&lt;&gt;"",OR($H88="รวม VAT",$H88="ไม่รวม VAT")),1,0))</x:f>
      </x:c>
    </x:row>
    <x:row r="89" ht="30" customHeight="1">
      <x:c r="A89" s="96"/>
      <x:c r="B89" s="96"/>
      <x:c r="C89" s="96"/>
      <x:c r="D89" s="36"/>
      <x:c r="E89" s="82"/>
      <x:c r="F89" s="84"/>
      <x:c r="G89" s="36"/>
      <x:c r="H89" s="36"/>
      <x:c r="I89" s="36"/>
      <x:c r="J89" s="96"/>
      <x:c r="K89" s="36"/>
      <x:c r="L89" s="98" t="str">
        <x:f>IF($B89="","",IFERROR(IF(INDEX('Leads'!$AE$8:$AE$107,MATCH($B89,'Leads'!$A$8:$A$107,0))="","",INDEX('Leads'!$AE$8:$AE$107,MATCH($B89,'Leads'!$A$8:$A$107,0))),""))</x:f>
      </x:c>
      <x:c r="M89" s="42" t="str">
        <x:f>IF($B89="","",IFERROR(IF(INDEX('Leads'!$AA$8:$AA$107,MATCH($B89,'Leads'!$A$8:$A$107,0))="","",INDEX('Leads'!$AA$8:$AA$107,MATCH($B89,'Leads'!$A$8:$A$107,0))),""))</x:f>
      </x:c>
      <x:c r="N89" s="42" t="str">
        <x:f>IF(AND($A89="",$B89="",$C89=""),"",IF(AND($O89=1,$P89=1),"ครบ", IF($A89="","ขาด ID เอกสาร; ","")&amp;IF(AND($A89&lt;&gt;"",COUNTIF('Quotations'!$A$8:$A$107,$A89)&gt;1),"ID เอกสารซ้ำ; ","")&amp;IF(COUNTIF('Leads'!$A$8:$A$107,$B89)&lt;&gt;1,"ตรวจรหัส Lead; ","")&amp;IF(AND($B89&lt;&gt;"",IFERROR(INDEX('Leads'!$BA$8:$BA$107,MATCH($B89,'Leads'!$A$8:$A$107,0)),0)&lt;&gt;1),"Lead ยังไม่นับผลจริง; ","")&amp;IF(OR($C89="",NOT(ISNUMBER($D89)),NOT(ISNUMBER($E89))),"ขาดเลข/รุ่น/วันส่ง; ","")&amp;IF($J89="","ขาดหลักฐาน; ","")&amp;IF(NOT(OR($I89="Yes",$I89="No")),"เลือก Yes/No; ","")&amp;IF(AND($I89="Yes",COUNTIFS('Quotations'!$B$8:$B$107,$B89,'Quotations'!$C$8:$C$107,$C89,'Quotations'!$I$8:$I$107,"Yes")&gt;1),"ฉบับปัจจุบันซ้อน; ","")&amp;IF(COUNTIFS('Quotations'!$B$8:$B$107,$B89,'Quotations'!$C$8:$C$107,$C89,'Quotations'!$D$8:$D$107,$D89)&gt;1,"เลข/รุ่นซ้ำ; ","")&amp;IF(OR(NOT(ISNUMBER($F89)),$G89="",$H89="",$H89="ไม่ทราบ"),"ตรวจมูลค่า/สกุล/ฐาน VAT; ","")))</x:f>
      </x:c>
      <x:c r="O89" s="42" t="str">
        <x:f>IF(AND($A89="",$B89="",$C89=""),"",IF(AND($A89&lt;&gt;"",COUNTIF('Quotations'!$A$8:$A$107,$A89)=1,COUNTIF('Leads'!$A$8:$A$107,$B89)=1,$L89&lt;&gt;"",IFERROR(INDEX('Leads'!$BA$8:$BA$107,MATCH($B89,'Leads'!$A$8:$A$107,0)),0)=1,$C89&lt;&gt;"",ISNUMBER($D89),$D89&gt;=1,ISNUMBER($E89),$E89&gt;0,OR($I89="Yes",$I89="No"),$J89&lt;&gt;"",COUNTIFS('Quotations'!$B$8:$B$107,$B89,'Quotations'!$C$8:$C$107,$C89,'Quotations'!$D$8:$D$107,$D89)=1,IF($I89="Yes",COUNTIFS('Quotations'!$B$8:$B$107,$B89,'Quotations'!$C$8:$C$107,$C89,'Quotations'!$I$8:$I$107,"Yes")=1,TRUE)),1,0))</x:f>
      </x:c>
      <x:c r="P89" s="42" t="str">
        <x:f>IF($O89="","",IF(AND($O89=1,ISNUMBER($F89),$F89&gt;=0,$G89&lt;&gt;"",OR($H89="รวม VAT",$H89="ไม่รวม VAT")),1,0))</x:f>
      </x:c>
    </x:row>
    <x:row r="90" ht="30" customHeight="1">
      <x:c r="A90" s="96"/>
      <x:c r="B90" s="96"/>
      <x:c r="C90" s="96"/>
      <x:c r="D90" s="36"/>
      <x:c r="E90" s="82"/>
      <x:c r="F90" s="84"/>
      <x:c r="G90" s="36"/>
      <x:c r="H90" s="36"/>
      <x:c r="I90" s="36"/>
      <x:c r="J90" s="96"/>
      <x:c r="K90" s="36"/>
      <x:c r="L90" s="98" t="str">
        <x:f>IF($B90="","",IFERROR(IF(INDEX('Leads'!$AE$8:$AE$107,MATCH($B90,'Leads'!$A$8:$A$107,0))="","",INDEX('Leads'!$AE$8:$AE$107,MATCH($B90,'Leads'!$A$8:$A$107,0))),""))</x:f>
      </x:c>
      <x:c r="M90" s="42" t="str">
        <x:f>IF($B90="","",IFERROR(IF(INDEX('Leads'!$AA$8:$AA$107,MATCH($B90,'Leads'!$A$8:$A$107,0))="","",INDEX('Leads'!$AA$8:$AA$107,MATCH($B90,'Leads'!$A$8:$A$107,0))),""))</x:f>
      </x:c>
      <x:c r="N90" s="42" t="str">
        <x:f>IF(AND($A90="",$B90="",$C90=""),"",IF(AND($O90=1,$P90=1),"ครบ", IF($A90="","ขาด ID เอกสาร; ","")&amp;IF(AND($A90&lt;&gt;"",COUNTIF('Quotations'!$A$8:$A$107,$A90)&gt;1),"ID เอกสารซ้ำ; ","")&amp;IF(COUNTIF('Leads'!$A$8:$A$107,$B90)&lt;&gt;1,"ตรวจรหัส Lead; ","")&amp;IF(AND($B90&lt;&gt;"",IFERROR(INDEX('Leads'!$BA$8:$BA$107,MATCH($B90,'Leads'!$A$8:$A$107,0)),0)&lt;&gt;1),"Lead ยังไม่นับผลจริง; ","")&amp;IF(OR($C90="",NOT(ISNUMBER($D90)),NOT(ISNUMBER($E90))),"ขาดเลข/รุ่น/วันส่ง; ","")&amp;IF($J90="","ขาดหลักฐาน; ","")&amp;IF(NOT(OR($I90="Yes",$I90="No")),"เลือก Yes/No; ","")&amp;IF(AND($I90="Yes",COUNTIFS('Quotations'!$B$8:$B$107,$B90,'Quotations'!$C$8:$C$107,$C90,'Quotations'!$I$8:$I$107,"Yes")&gt;1),"ฉบับปัจจุบันซ้อน; ","")&amp;IF(COUNTIFS('Quotations'!$B$8:$B$107,$B90,'Quotations'!$C$8:$C$107,$C90,'Quotations'!$D$8:$D$107,$D90)&gt;1,"เลข/รุ่นซ้ำ; ","")&amp;IF(OR(NOT(ISNUMBER($F90)),$G90="",$H90="",$H90="ไม่ทราบ"),"ตรวจมูลค่า/สกุล/ฐาน VAT; ","")))</x:f>
      </x:c>
      <x:c r="O90" s="42" t="str">
        <x:f>IF(AND($A90="",$B90="",$C90=""),"",IF(AND($A90&lt;&gt;"",COUNTIF('Quotations'!$A$8:$A$107,$A90)=1,COUNTIF('Leads'!$A$8:$A$107,$B90)=1,$L90&lt;&gt;"",IFERROR(INDEX('Leads'!$BA$8:$BA$107,MATCH($B90,'Leads'!$A$8:$A$107,0)),0)=1,$C90&lt;&gt;"",ISNUMBER($D90),$D90&gt;=1,ISNUMBER($E90),$E90&gt;0,OR($I90="Yes",$I90="No"),$J90&lt;&gt;"",COUNTIFS('Quotations'!$B$8:$B$107,$B90,'Quotations'!$C$8:$C$107,$C90,'Quotations'!$D$8:$D$107,$D90)=1,IF($I90="Yes",COUNTIFS('Quotations'!$B$8:$B$107,$B90,'Quotations'!$C$8:$C$107,$C90,'Quotations'!$I$8:$I$107,"Yes")=1,TRUE)),1,0))</x:f>
      </x:c>
      <x:c r="P90" s="42" t="str">
        <x:f>IF($O90="","",IF(AND($O90=1,ISNUMBER($F90),$F90&gt;=0,$G90&lt;&gt;"",OR($H90="รวม VAT",$H90="ไม่รวม VAT")),1,0))</x:f>
      </x:c>
    </x:row>
    <x:row r="91" ht="30" customHeight="1">
      <x:c r="A91" s="96"/>
      <x:c r="B91" s="96"/>
      <x:c r="C91" s="96"/>
      <x:c r="D91" s="36"/>
      <x:c r="E91" s="82"/>
      <x:c r="F91" s="84"/>
      <x:c r="G91" s="36"/>
      <x:c r="H91" s="36"/>
      <x:c r="I91" s="36"/>
      <x:c r="J91" s="96"/>
      <x:c r="K91" s="36"/>
      <x:c r="L91" s="98" t="str">
        <x:f>IF($B91="","",IFERROR(IF(INDEX('Leads'!$AE$8:$AE$107,MATCH($B91,'Leads'!$A$8:$A$107,0))="","",INDEX('Leads'!$AE$8:$AE$107,MATCH($B91,'Leads'!$A$8:$A$107,0))),""))</x:f>
      </x:c>
      <x:c r="M91" s="42" t="str">
        <x:f>IF($B91="","",IFERROR(IF(INDEX('Leads'!$AA$8:$AA$107,MATCH($B91,'Leads'!$A$8:$A$107,0))="","",INDEX('Leads'!$AA$8:$AA$107,MATCH($B91,'Leads'!$A$8:$A$107,0))),""))</x:f>
      </x:c>
      <x:c r="N91" s="42" t="str">
        <x:f>IF(AND($A91="",$B91="",$C91=""),"",IF(AND($O91=1,$P91=1),"ครบ", IF($A91="","ขาด ID เอกสาร; ","")&amp;IF(AND($A91&lt;&gt;"",COUNTIF('Quotations'!$A$8:$A$107,$A91)&gt;1),"ID เอกสารซ้ำ; ","")&amp;IF(COUNTIF('Leads'!$A$8:$A$107,$B91)&lt;&gt;1,"ตรวจรหัส Lead; ","")&amp;IF(AND($B91&lt;&gt;"",IFERROR(INDEX('Leads'!$BA$8:$BA$107,MATCH($B91,'Leads'!$A$8:$A$107,0)),0)&lt;&gt;1),"Lead ยังไม่นับผลจริง; ","")&amp;IF(OR($C91="",NOT(ISNUMBER($D91)),NOT(ISNUMBER($E91))),"ขาดเลข/รุ่น/วันส่ง; ","")&amp;IF($J91="","ขาดหลักฐาน; ","")&amp;IF(NOT(OR($I91="Yes",$I91="No")),"เลือก Yes/No; ","")&amp;IF(AND($I91="Yes",COUNTIFS('Quotations'!$B$8:$B$107,$B91,'Quotations'!$C$8:$C$107,$C91,'Quotations'!$I$8:$I$107,"Yes")&gt;1),"ฉบับปัจจุบันซ้อน; ","")&amp;IF(COUNTIFS('Quotations'!$B$8:$B$107,$B91,'Quotations'!$C$8:$C$107,$C91,'Quotations'!$D$8:$D$107,$D91)&gt;1,"เลข/รุ่นซ้ำ; ","")&amp;IF(OR(NOT(ISNUMBER($F91)),$G91="",$H91="",$H91="ไม่ทราบ"),"ตรวจมูลค่า/สกุล/ฐาน VAT; ","")))</x:f>
      </x:c>
      <x:c r="O91" s="42" t="str">
        <x:f>IF(AND($A91="",$B91="",$C91=""),"",IF(AND($A91&lt;&gt;"",COUNTIF('Quotations'!$A$8:$A$107,$A91)=1,COUNTIF('Leads'!$A$8:$A$107,$B91)=1,$L91&lt;&gt;"",IFERROR(INDEX('Leads'!$BA$8:$BA$107,MATCH($B91,'Leads'!$A$8:$A$107,0)),0)=1,$C91&lt;&gt;"",ISNUMBER($D91),$D91&gt;=1,ISNUMBER($E91),$E91&gt;0,OR($I91="Yes",$I91="No"),$J91&lt;&gt;"",COUNTIFS('Quotations'!$B$8:$B$107,$B91,'Quotations'!$C$8:$C$107,$C91,'Quotations'!$D$8:$D$107,$D91)=1,IF($I91="Yes",COUNTIFS('Quotations'!$B$8:$B$107,$B91,'Quotations'!$C$8:$C$107,$C91,'Quotations'!$I$8:$I$107,"Yes")=1,TRUE)),1,0))</x:f>
      </x:c>
      <x:c r="P91" s="42" t="str">
        <x:f>IF($O91="","",IF(AND($O91=1,ISNUMBER($F91),$F91&gt;=0,$G91&lt;&gt;"",OR($H91="รวม VAT",$H91="ไม่รวม VAT")),1,0))</x:f>
      </x:c>
    </x:row>
    <x:row r="92" ht="30" customHeight="1">
      <x:c r="A92" s="96"/>
      <x:c r="B92" s="96"/>
      <x:c r="C92" s="96"/>
      <x:c r="D92" s="36"/>
      <x:c r="E92" s="82"/>
      <x:c r="F92" s="84"/>
      <x:c r="G92" s="36"/>
      <x:c r="H92" s="36"/>
      <x:c r="I92" s="36"/>
      <x:c r="J92" s="96"/>
      <x:c r="K92" s="36"/>
      <x:c r="L92" s="98" t="str">
        <x:f>IF($B92="","",IFERROR(IF(INDEX('Leads'!$AE$8:$AE$107,MATCH($B92,'Leads'!$A$8:$A$107,0))="","",INDEX('Leads'!$AE$8:$AE$107,MATCH($B92,'Leads'!$A$8:$A$107,0))),""))</x:f>
      </x:c>
      <x:c r="M92" s="42" t="str">
        <x:f>IF($B92="","",IFERROR(IF(INDEX('Leads'!$AA$8:$AA$107,MATCH($B92,'Leads'!$A$8:$A$107,0))="","",INDEX('Leads'!$AA$8:$AA$107,MATCH($B92,'Leads'!$A$8:$A$107,0))),""))</x:f>
      </x:c>
      <x:c r="N92" s="42" t="str">
        <x:f>IF(AND($A92="",$B92="",$C92=""),"",IF(AND($O92=1,$P92=1),"ครบ", IF($A92="","ขาด ID เอกสาร; ","")&amp;IF(AND($A92&lt;&gt;"",COUNTIF('Quotations'!$A$8:$A$107,$A92)&gt;1),"ID เอกสารซ้ำ; ","")&amp;IF(COUNTIF('Leads'!$A$8:$A$107,$B92)&lt;&gt;1,"ตรวจรหัส Lead; ","")&amp;IF(AND($B92&lt;&gt;"",IFERROR(INDEX('Leads'!$BA$8:$BA$107,MATCH($B92,'Leads'!$A$8:$A$107,0)),0)&lt;&gt;1),"Lead ยังไม่นับผลจริง; ","")&amp;IF(OR($C92="",NOT(ISNUMBER($D92)),NOT(ISNUMBER($E92))),"ขาดเลข/รุ่น/วันส่ง; ","")&amp;IF($J92="","ขาดหลักฐาน; ","")&amp;IF(NOT(OR($I92="Yes",$I92="No")),"เลือก Yes/No; ","")&amp;IF(AND($I92="Yes",COUNTIFS('Quotations'!$B$8:$B$107,$B92,'Quotations'!$C$8:$C$107,$C92,'Quotations'!$I$8:$I$107,"Yes")&gt;1),"ฉบับปัจจุบันซ้อน; ","")&amp;IF(COUNTIFS('Quotations'!$B$8:$B$107,$B92,'Quotations'!$C$8:$C$107,$C92,'Quotations'!$D$8:$D$107,$D92)&gt;1,"เลข/รุ่นซ้ำ; ","")&amp;IF(OR(NOT(ISNUMBER($F92)),$G92="",$H92="",$H92="ไม่ทราบ"),"ตรวจมูลค่า/สกุล/ฐาน VAT; ","")))</x:f>
      </x:c>
      <x:c r="O92" s="42" t="str">
        <x:f>IF(AND($A92="",$B92="",$C92=""),"",IF(AND($A92&lt;&gt;"",COUNTIF('Quotations'!$A$8:$A$107,$A92)=1,COUNTIF('Leads'!$A$8:$A$107,$B92)=1,$L92&lt;&gt;"",IFERROR(INDEX('Leads'!$BA$8:$BA$107,MATCH($B92,'Leads'!$A$8:$A$107,0)),0)=1,$C92&lt;&gt;"",ISNUMBER($D92),$D92&gt;=1,ISNUMBER($E92),$E92&gt;0,OR($I92="Yes",$I92="No"),$J92&lt;&gt;"",COUNTIFS('Quotations'!$B$8:$B$107,$B92,'Quotations'!$C$8:$C$107,$C92,'Quotations'!$D$8:$D$107,$D92)=1,IF($I92="Yes",COUNTIFS('Quotations'!$B$8:$B$107,$B92,'Quotations'!$C$8:$C$107,$C92,'Quotations'!$I$8:$I$107,"Yes")=1,TRUE)),1,0))</x:f>
      </x:c>
      <x:c r="P92" s="42" t="str">
        <x:f>IF($O92="","",IF(AND($O92=1,ISNUMBER($F92),$F92&gt;=0,$G92&lt;&gt;"",OR($H92="รวม VAT",$H92="ไม่รวม VAT")),1,0))</x:f>
      </x:c>
    </x:row>
    <x:row r="93" ht="30" customHeight="1">
      <x:c r="A93" s="96"/>
      <x:c r="B93" s="96"/>
      <x:c r="C93" s="96"/>
      <x:c r="D93" s="36"/>
      <x:c r="E93" s="82"/>
      <x:c r="F93" s="84"/>
      <x:c r="G93" s="36"/>
      <x:c r="H93" s="36"/>
      <x:c r="I93" s="36"/>
      <x:c r="J93" s="96"/>
      <x:c r="K93" s="36"/>
      <x:c r="L93" s="98" t="str">
        <x:f>IF($B93="","",IFERROR(IF(INDEX('Leads'!$AE$8:$AE$107,MATCH($B93,'Leads'!$A$8:$A$107,0))="","",INDEX('Leads'!$AE$8:$AE$107,MATCH($B93,'Leads'!$A$8:$A$107,0))),""))</x:f>
      </x:c>
      <x:c r="M93" s="42" t="str">
        <x:f>IF($B93="","",IFERROR(IF(INDEX('Leads'!$AA$8:$AA$107,MATCH($B93,'Leads'!$A$8:$A$107,0))="","",INDEX('Leads'!$AA$8:$AA$107,MATCH($B93,'Leads'!$A$8:$A$107,0))),""))</x:f>
      </x:c>
      <x:c r="N93" s="42" t="str">
        <x:f>IF(AND($A93="",$B93="",$C93=""),"",IF(AND($O93=1,$P93=1),"ครบ", IF($A93="","ขาด ID เอกสาร; ","")&amp;IF(AND($A93&lt;&gt;"",COUNTIF('Quotations'!$A$8:$A$107,$A93)&gt;1),"ID เอกสารซ้ำ; ","")&amp;IF(COUNTIF('Leads'!$A$8:$A$107,$B93)&lt;&gt;1,"ตรวจรหัส Lead; ","")&amp;IF(AND($B93&lt;&gt;"",IFERROR(INDEX('Leads'!$BA$8:$BA$107,MATCH($B93,'Leads'!$A$8:$A$107,0)),0)&lt;&gt;1),"Lead ยังไม่นับผลจริง; ","")&amp;IF(OR($C93="",NOT(ISNUMBER($D93)),NOT(ISNUMBER($E93))),"ขาดเลข/รุ่น/วันส่ง; ","")&amp;IF($J93="","ขาดหลักฐาน; ","")&amp;IF(NOT(OR($I93="Yes",$I93="No")),"เลือก Yes/No; ","")&amp;IF(AND($I93="Yes",COUNTIFS('Quotations'!$B$8:$B$107,$B93,'Quotations'!$C$8:$C$107,$C93,'Quotations'!$I$8:$I$107,"Yes")&gt;1),"ฉบับปัจจุบันซ้อน; ","")&amp;IF(COUNTIFS('Quotations'!$B$8:$B$107,$B93,'Quotations'!$C$8:$C$107,$C93,'Quotations'!$D$8:$D$107,$D93)&gt;1,"เลข/รุ่นซ้ำ; ","")&amp;IF(OR(NOT(ISNUMBER($F93)),$G93="",$H93="",$H93="ไม่ทราบ"),"ตรวจมูลค่า/สกุล/ฐาน VAT; ","")))</x:f>
      </x:c>
      <x:c r="O93" s="42" t="str">
        <x:f>IF(AND($A93="",$B93="",$C93=""),"",IF(AND($A93&lt;&gt;"",COUNTIF('Quotations'!$A$8:$A$107,$A93)=1,COUNTIF('Leads'!$A$8:$A$107,$B93)=1,$L93&lt;&gt;"",IFERROR(INDEX('Leads'!$BA$8:$BA$107,MATCH($B93,'Leads'!$A$8:$A$107,0)),0)=1,$C93&lt;&gt;"",ISNUMBER($D93),$D93&gt;=1,ISNUMBER($E93),$E93&gt;0,OR($I93="Yes",$I93="No"),$J93&lt;&gt;"",COUNTIFS('Quotations'!$B$8:$B$107,$B93,'Quotations'!$C$8:$C$107,$C93,'Quotations'!$D$8:$D$107,$D93)=1,IF($I93="Yes",COUNTIFS('Quotations'!$B$8:$B$107,$B93,'Quotations'!$C$8:$C$107,$C93,'Quotations'!$I$8:$I$107,"Yes")=1,TRUE)),1,0))</x:f>
      </x:c>
      <x:c r="P93" s="42" t="str">
        <x:f>IF($O93="","",IF(AND($O93=1,ISNUMBER($F93),$F93&gt;=0,$G93&lt;&gt;"",OR($H93="รวม VAT",$H93="ไม่รวม VAT")),1,0))</x:f>
      </x:c>
    </x:row>
    <x:row r="94" ht="30" customHeight="1">
      <x:c r="A94" s="96"/>
      <x:c r="B94" s="96"/>
      <x:c r="C94" s="96"/>
      <x:c r="D94" s="36"/>
      <x:c r="E94" s="82"/>
      <x:c r="F94" s="84"/>
      <x:c r="G94" s="36"/>
      <x:c r="H94" s="36"/>
      <x:c r="I94" s="36"/>
      <x:c r="J94" s="96"/>
      <x:c r="K94" s="36"/>
      <x:c r="L94" s="98" t="str">
        <x:f>IF($B94="","",IFERROR(IF(INDEX('Leads'!$AE$8:$AE$107,MATCH($B94,'Leads'!$A$8:$A$107,0))="","",INDEX('Leads'!$AE$8:$AE$107,MATCH($B94,'Leads'!$A$8:$A$107,0))),""))</x:f>
      </x:c>
      <x:c r="M94" s="42" t="str">
        <x:f>IF($B94="","",IFERROR(IF(INDEX('Leads'!$AA$8:$AA$107,MATCH($B94,'Leads'!$A$8:$A$107,0))="","",INDEX('Leads'!$AA$8:$AA$107,MATCH($B94,'Leads'!$A$8:$A$107,0))),""))</x:f>
      </x:c>
      <x:c r="N94" s="42" t="str">
        <x:f>IF(AND($A94="",$B94="",$C94=""),"",IF(AND($O94=1,$P94=1),"ครบ", IF($A94="","ขาด ID เอกสาร; ","")&amp;IF(AND($A94&lt;&gt;"",COUNTIF('Quotations'!$A$8:$A$107,$A94)&gt;1),"ID เอกสารซ้ำ; ","")&amp;IF(COUNTIF('Leads'!$A$8:$A$107,$B94)&lt;&gt;1,"ตรวจรหัส Lead; ","")&amp;IF(AND($B94&lt;&gt;"",IFERROR(INDEX('Leads'!$BA$8:$BA$107,MATCH($B94,'Leads'!$A$8:$A$107,0)),0)&lt;&gt;1),"Lead ยังไม่นับผลจริง; ","")&amp;IF(OR($C94="",NOT(ISNUMBER($D94)),NOT(ISNUMBER($E94))),"ขาดเลข/รุ่น/วันส่ง; ","")&amp;IF($J94="","ขาดหลักฐาน; ","")&amp;IF(NOT(OR($I94="Yes",$I94="No")),"เลือก Yes/No; ","")&amp;IF(AND($I94="Yes",COUNTIFS('Quotations'!$B$8:$B$107,$B94,'Quotations'!$C$8:$C$107,$C94,'Quotations'!$I$8:$I$107,"Yes")&gt;1),"ฉบับปัจจุบันซ้อน; ","")&amp;IF(COUNTIFS('Quotations'!$B$8:$B$107,$B94,'Quotations'!$C$8:$C$107,$C94,'Quotations'!$D$8:$D$107,$D94)&gt;1,"เลข/รุ่นซ้ำ; ","")&amp;IF(OR(NOT(ISNUMBER($F94)),$G94="",$H94="",$H94="ไม่ทราบ"),"ตรวจมูลค่า/สกุล/ฐาน VAT; ","")))</x:f>
      </x:c>
      <x:c r="O94" s="42" t="str">
        <x:f>IF(AND($A94="",$B94="",$C94=""),"",IF(AND($A94&lt;&gt;"",COUNTIF('Quotations'!$A$8:$A$107,$A94)=1,COUNTIF('Leads'!$A$8:$A$107,$B94)=1,$L94&lt;&gt;"",IFERROR(INDEX('Leads'!$BA$8:$BA$107,MATCH($B94,'Leads'!$A$8:$A$107,0)),0)=1,$C94&lt;&gt;"",ISNUMBER($D94),$D94&gt;=1,ISNUMBER($E94),$E94&gt;0,OR($I94="Yes",$I94="No"),$J94&lt;&gt;"",COUNTIFS('Quotations'!$B$8:$B$107,$B94,'Quotations'!$C$8:$C$107,$C94,'Quotations'!$D$8:$D$107,$D94)=1,IF($I94="Yes",COUNTIFS('Quotations'!$B$8:$B$107,$B94,'Quotations'!$C$8:$C$107,$C94,'Quotations'!$I$8:$I$107,"Yes")=1,TRUE)),1,0))</x:f>
      </x:c>
      <x:c r="P94" s="42" t="str">
        <x:f>IF($O94="","",IF(AND($O94=1,ISNUMBER($F94),$F94&gt;=0,$G94&lt;&gt;"",OR($H94="รวม VAT",$H94="ไม่รวม VAT")),1,0))</x:f>
      </x:c>
    </x:row>
    <x:row r="95" ht="30" customHeight="1">
      <x:c r="A95" s="96"/>
      <x:c r="B95" s="96"/>
      <x:c r="C95" s="96"/>
      <x:c r="D95" s="36"/>
      <x:c r="E95" s="82"/>
      <x:c r="F95" s="84"/>
      <x:c r="G95" s="36"/>
      <x:c r="H95" s="36"/>
      <x:c r="I95" s="36"/>
      <x:c r="J95" s="96"/>
      <x:c r="K95" s="36"/>
      <x:c r="L95" s="98" t="str">
        <x:f>IF($B95="","",IFERROR(IF(INDEX('Leads'!$AE$8:$AE$107,MATCH($B95,'Leads'!$A$8:$A$107,0))="","",INDEX('Leads'!$AE$8:$AE$107,MATCH($B95,'Leads'!$A$8:$A$107,0))),""))</x:f>
      </x:c>
      <x:c r="M95" s="42" t="str">
        <x:f>IF($B95="","",IFERROR(IF(INDEX('Leads'!$AA$8:$AA$107,MATCH($B95,'Leads'!$A$8:$A$107,0))="","",INDEX('Leads'!$AA$8:$AA$107,MATCH($B95,'Leads'!$A$8:$A$107,0))),""))</x:f>
      </x:c>
      <x:c r="N95" s="42" t="str">
        <x:f>IF(AND($A95="",$B95="",$C95=""),"",IF(AND($O95=1,$P95=1),"ครบ", IF($A95="","ขาด ID เอกสาร; ","")&amp;IF(AND($A95&lt;&gt;"",COUNTIF('Quotations'!$A$8:$A$107,$A95)&gt;1),"ID เอกสารซ้ำ; ","")&amp;IF(COUNTIF('Leads'!$A$8:$A$107,$B95)&lt;&gt;1,"ตรวจรหัส Lead; ","")&amp;IF(AND($B95&lt;&gt;"",IFERROR(INDEX('Leads'!$BA$8:$BA$107,MATCH($B95,'Leads'!$A$8:$A$107,0)),0)&lt;&gt;1),"Lead ยังไม่นับผลจริง; ","")&amp;IF(OR($C95="",NOT(ISNUMBER($D95)),NOT(ISNUMBER($E95))),"ขาดเลข/รุ่น/วันส่ง; ","")&amp;IF($J95="","ขาดหลักฐาน; ","")&amp;IF(NOT(OR($I95="Yes",$I95="No")),"เลือก Yes/No; ","")&amp;IF(AND($I95="Yes",COUNTIFS('Quotations'!$B$8:$B$107,$B95,'Quotations'!$C$8:$C$107,$C95,'Quotations'!$I$8:$I$107,"Yes")&gt;1),"ฉบับปัจจุบันซ้อน; ","")&amp;IF(COUNTIFS('Quotations'!$B$8:$B$107,$B95,'Quotations'!$C$8:$C$107,$C95,'Quotations'!$D$8:$D$107,$D95)&gt;1,"เลข/รุ่นซ้ำ; ","")&amp;IF(OR(NOT(ISNUMBER($F95)),$G95="",$H95="",$H95="ไม่ทราบ"),"ตรวจมูลค่า/สกุล/ฐาน VAT; ","")))</x:f>
      </x:c>
      <x:c r="O95" s="42" t="str">
        <x:f>IF(AND($A95="",$B95="",$C95=""),"",IF(AND($A95&lt;&gt;"",COUNTIF('Quotations'!$A$8:$A$107,$A95)=1,COUNTIF('Leads'!$A$8:$A$107,$B95)=1,$L95&lt;&gt;"",IFERROR(INDEX('Leads'!$BA$8:$BA$107,MATCH($B95,'Leads'!$A$8:$A$107,0)),0)=1,$C95&lt;&gt;"",ISNUMBER($D95),$D95&gt;=1,ISNUMBER($E95),$E95&gt;0,OR($I95="Yes",$I95="No"),$J95&lt;&gt;"",COUNTIFS('Quotations'!$B$8:$B$107,$B95,'Quotations'!$C$8:$C$107,$C95,'Quotations'!$D$8:$D$107,$D95)=1,IF($I95="Yes",COUNTIFS('Quotations'!$B$8:$B$107,$B95,'Quotations'!$C$8:$C$107,$C95,'Quotations'!$I$8:$I$107,"Yes")=1,TRUE)),1,0))</x:f>
      </x:c>
      <x:c r="P95" s="42" t="str">
        <x:f>IF($O95="","",IF(AND($O95=1,ISNUMBER($F95),$F95&gt;=0,$G95&lt;&gt;"",OR($H95="รวม VAT",$H95="ไม่รวม VAT")),1,0))</x:f>
      </x:c>
    </x:row>
    <x:row r="96" ht="30" customHeight="1">
      <x:c r="A96" s="96"/>
      <x:c r="B96" s="96"/>
      <x:c r="C96" s="96"/>
      <x:c r="D96" s="36"/>
      <x:c r="E96" s="82"/>
      <x:c r="F96" s="84"/>
      <x:c r="G96" s="36"/>
      <x:c r="H96" s="36"/>
      <x:c r="I96" s="36"/>
      <x:c r="J96" s="96"/>
      <x:c r="K96" s="36"/>
      <x:c r="L96" s="98" t="str">
        <x:f>IF($B96="","",IFERROR(IF(INDEX('Leads'!$AE$8:$AE$107,MATCH($B96,'Leads'!$A$8:$A$107,0))="","",INDEX('Leads'!$AE$8:$AE$107,MATCH($B96,'Leads'!$A$8:$A$107,0))),""))</x:f>
      </x:c>
      <x:c r="M96" s="42" t="str">
        <x:f>IF($B96="","",IFERROR(IF(INDEX('Leads'!$AA$8:$AA$107,MATCH($B96,'Leads'!$A$8:$A$107,0))="","",INDEX('Leads'!$AA$8:$AA$107,MATCH($B96,'Leads'!$A$8:$A$107,0))),""))</x:f>
      </x:c>
      <x:c r="N96" s="42" t="str">
        <x:f>IF(AND($A96="",$B96="",$C96=""),"",IF(AND($O96=1,$P96=1),"ครบ", IF($A96="","ขาด ID เอกสาร; ","")&amp;IF(AND($A96&lt;&gt;"",COUNTIF('Quotations'!$A$8:$A$107,$A96)&gt;1),"ID เอกสารซ้ำ; ","")&amp;IF(COUNTIF('Leads'!$A$8:$A$107,$B96)&lt;&gt;1,"ตรวจรหัส Lead; ","")&amp;IF(AND($B96&lt;&gt;"",IFERROR(INDEX('Leads'!$BA$8:$BA$107,MATCH($B96,'Leads'!$A$8:$A$107,0)),0)&lt;&gt;1),"Lead ยังไม่นับผลจริง; ","")&amp;IF(OR($C96="",NOT(ISNUMBER($D96)),NOT(ISNUMBER($E96))),"ขาดเลข/รุ่น/วันส่ง; ","")&amp;IF($J96="","ขาดหลักฐาน; ","")&amp;IF(NOT(OR($I96="Yes",$I96="No")),"เลือก Yes/No; ","")&amp;IF(AND($I96="Yes",COUNTIFS('Quotations'!$B$8:$B$107,$B96,'Quotations'!$C$8:$C$107,$C96,'Quotations'!$I$8:$I$107,"Yes")&gt;1),"ฉบับปัจจุบันซ้อน; ","")&amp;IF(COUNTIFS('Quotations'!$B$8:$B$107,$B96,'Quotations'!$C$8:$C$107,$C96,'Quotations'!$D$8:$D$107,$D96)&gt;1,"เลข/รุ่นซ้ำ; ","")&amp;IF(OR(NOT(ISNUMBER($F96)),$G96="",$H96="",$H96="ไม่ทราบ"),"ตรวจมูลค่า/สกุล/ฐาน VAT; ","")))</x:f>
      </x:c>
      <x:c r="O96" s="42" t="str">
        <x:f>IF(AND($A96="",$B96="",$C96=""),"",IF(AND($A96&lt;&gt;"",COUNTIF('Quotations'!$A$8:$A$107,$A96)=1,COUNTIF('Leads'!$A$8:$A$107,$B96)=1,$L96&lt;&gt;"",IFERROR(INDEX('Leads'!$BA$8:$BA$107,MATCH($B96,'Leads'!$A$8:$A$107,0)),0)=1,$C96&lt;&gt;"",ISNUMBER($D96),$D96&gt;=1,ISNUMBER($E96),$E96&gt;0,OR($I96="Yes",$I96="No"),$J96&lt;&gt;"",COUNTIFS('Quotations'!$B$8:$B$107,$B96,'Quotations'!$C$8:$C$107,$C96,'Quotations'!$D$8:$D$107,$D96)=1,IF($I96="Yes",COUNTIFS('Quotations'!$B$8:$B$107,$B96,'Quotations'!$C$8:$C$107,$C96,'Quotations'!$I$8:$I$107,"Yes")=1,TRUE)),1,0))</x:f>
      </x:c>
      <x:c r="P96" s="42" t="str">
        <x:f>IF($O96="","",IF(AND($O96=1,ISNUMBER($F96),$F96&gt;=0,$G96&lt;&gt;"",OR($H96="รวม VAT",$H96="ไม่รวม VAT")),1,0))</x:f>
      </x:c>
    </x:row>
    <x:row r="97" ht="30" customHeight="1">
      <x:c r="A97" s="96"/>
      <x:c r="B97" s="96"/>
      <x:c r="C97" s="96"/>
      <x:c r="D97" s="36"/>
      <x:c r="E97" s="82"/>
      <x:c r="F97" s="84"/>
      <x:c r="G97" s="36"/>
      <x:c r="H97" s="36"/>
      <x:c r="I97" s="36"/>
      <x:c r="J97" s="96"/>
      <x:c r="K97" s="36"/>
      <x:c r="L97" s="98" t="str">
        <x:f>IF($B97="","",IFERROR(IF(INDEX('Leads'!$AE$8:$AE$107,MATCH($B97,'Leads'!$A$8:$A$107,0))="","",INDEX('Leads'!$AE$8:$AE$107,MATCH($B97,'Leads'!$A$8:$A$107,0))),""))</x:f>
      </x:c>
      <x:c r="M97" s="42" t="str">
        <x:f>IF($B97="","",IFERROR(IF(INDEX('Leads'!$AA$8:$AA$107,MATCH($B97,'Leads'!$A$8:$A$107,0))="","",INDEX('Leads'!$AA$8:$AA$107,MATCH($B97,'Leads'!$A$8:$A$107,0))),""))</x:f>
      </x:c>
      <x:c r="N97" s="42" t="str">
        <x:f>IF(AND($A97="",$B97="",$C97=""),"",IF(AND($O97=1,$P97=1),"ครบ", IF($A97="","ขาด ID เอกสาร; ","")&amp;IF(AND($A97&lt;&gt;"",COUNTIF('Quotations'!$A$8:$A$107,$A97)&gt;1),"ID เอกสารซ้ำ; ","")&amp;IF(COUNTIF('Leads'!$A$8:$A$107,$B97)&lt;&gt;1,"ตรวจรหัส Lead; ","")&amp;IF(AND($B97&lt;&gt;"",IFERROR(INDEX('Leads'!$BA$8:$BA$107,MATCH($B97,'Leads'!$A$8:$A$107,0)),0)&lt;&gt;1),"Lead ยังไม่นับผลจริง; ","")&amp;IF(OR($C97="",NOT(ISNUMBER($D97)),NOT(ISNUMBER($E97))),"ขาดเลข/รุ่น/วันส่ง; ","")&amp;IF($J97="","ขาดหลักฐาน; ","")&amp;IF(NOT(OR($I97="Yes",$I97="No")),"เลือก Yes/No; ","")&amp;IF(AND($I97="Yes",COUNTIFS('Quotations'!$B$8:$B$107,$B97,'Quotations'!$C$8:$C$107,$C97,'Quotations'!$I$8:$I$107,"Yes")&gt;1),"ฉบับปัจจุบันซ้อน; ","")&amp;IF(COUNTIFS('Quotations'!$B$8:$B$107,$B97,'Quotations'!$C$8:$C$107,$C97,'Quotations'!$D$8:$D$107,$D97)&gt;1,"เลข/รุ่นซ้ำ; ","")&amp;IF(OR(NOT(ISNUMBER($F97)),$G97="",$H97="",$H97="ไม่ทราบ"),"ตรวจมูลค่า/สกุล/ฐาน VAT; ","")))</x:f>
      </x:c>
      <x:c r="O97" s="42" t="str">
        <x:f>IF(AND($A97="",$B97="",$C97=""),"",IF(AND($A97&lt;&gt;"",COUNTIF('Quotations'!$A$8:$A$107,$A97)=1,COUNTIF('Leads'!$A$8:$A$107,$B97)=1,$L97&lt;&gt;"",IFERROR(INDEX('Leads'!$BA$8:$BA$107,MATCH($B97,'Leads'!$A$8:$A$107,0)),0)=1,$C97&lt;&gt;"",ISNUMBER($D97),$D97&gt;=1,ISNUMBER($E97),$E97&gt;0,OR($I97="Yes",$I97="No"),$J97&lt;&gt;"",COUNTIFS('Quotations'!$B$8:$B$107,$B97,'Quotations'!$C$8:$C$107,$C97,'Quotations'!$D$8:$D$107,$D97)=1,IF($I97="Yes",COUNTIFS('Quotations'!$B$8:$B$107,$B97,'Quotations'!$C$8:$C$107,$C97,'Quotations'!$I$8:$I$107,"Yes")=1,TRUE)),1,0))</x:f>
      </x:c>
      <x:c r="P97" s="42" t="str">
        <x:f>IF($O97="","",IF(AND($O97=1,ISNUMBER($F97),$F97&gt;=0,$G97&lt;&gt;"",OR($H97="รวม VAT",$H97="ไม่รวม VAT")),1,0))</x:f>
      </x:c>
    </x:row>
    <x:row r="98" ht="30" customHeight="1">
      <x:c r="A98" s="96"/>
      <x:c r="B98" s="96"/>
      <x:c r="C98" s="96"/>
      <x:c r="D98" s="36"/>
      <x:c r="E98" s="82"/>
      <x:c r="F98" s="84"/>
      <x:c r="G98" s="36"/>
      <x:c r="H98" s="36"/>
      <x:c r="I98" s="36"/>
      <x:c r="J98" s="96"/>
      <x:c r="K98" s="36"/>
      <x:c r="L98" s="98" t="str">
        <x:f>IF($B98="","",IFERROR(IF(INDEX('Leads'!$AE$8:$AE$107,MATCH($B98,'Leads'!$A$8:$A$107,0))="","",INDEX('Leads'!$AE$8:$AE$107,MATCH($B98,'Leads'!$A$8:$A$107,0))),""))</x:f>
      </x:c>
      <x:c r="M98" s="42" t="str">
        <x:f>IF($B98="","",IFERROR(IF(INDEX('Leads'!$AA$8:$AA$107,MATCH($B98,'Leads'!$A$8:$A$107,0))="","",INDEX('Leads'!$AA$8:$AA$107,MATCH($B98,'Leads'!$A$8:$A$107,0))),""))</x:f>
      </x:c>
      <x:c r="N98" s="42" t="str">
        <x:f>IF(AND($A98="",$B98="",$C98=""),"",IF(AND($O98=1,$P98=1),"ครบ", IF($A98="","ขาด ID เอกสาร; ","")&amp;IF(AND($A98&lt;&gt;"",COUNTIF('Quotations'!$A$8:$A$107,$A98)&gt;1),"ID เอกสารซ้ำ; ","")&amp;IF(COUNTIF('Leads'!$A$8:$A$107,$B98)&lt;&gt;1,"ตรวจรหัส Lead; ","")&amp;IF(AND($B98&lt;&gt;"",IFERROR(INDEX('Leads'!$BA$8:$BA$107,MATCH($B98,'Leads'!$A$8:$A$107,0)),0)&lt;&gt;1),"Lead ยังไม่นับผลจริง; ","")&amp;IF(OR($C98="",NOT(ISNUMBER($D98)),NOT(ISNUMBER($E98))),"ขาดเลข/รุ่น/วันส่ง; ","")&amp;IF($J98="","ขาดหลักฐาน; ","")&amp;IF(NOT(OR($I98="Yes",$I98="No")),"เลือก Yes/No; ","")&amp;IF(AND($I98="Yes",COUNTIFS('Quotations'!$B$8:$B$107,$B98,'Quotations'!$C$8:$C$107,$C98,'Quotations'!$I$8:$I$107,"Yes")&gt;1),"ฉบับปัจจุบันซ้อน; ","")&amp;IF(COUNTIFS('Quotations'!$B$8:$B$107,$B98,'Quotations'!$C$8:$C$107,$C98,'Quotations'!$D$8:$D$107,$D98)&gt;1,"เลข/รุ่นซ้ำ; ","")&amp;IF(OR(NOT(ISNUMBER($F98)),$G98="",$H98="",$H98="ไม่ทราบ"),"ตรวจมูลค่า/สกุล/ฐาน VAT; ","")))</x:f>
      </x:c>
      <x:c r="O98" s="42" t="str">
        <x:f>IF(AND($A98="",$B98="",$C98=""),"",IF(AND($A98&lt;&gt;"",COUNTIF('Quotations'!$A$8:$A$107,$A98)=1,COUNTIF('Leads'!$A$8:$A$107,$B98)=1,$L98&lt;&gt;"",IFERROR(INDEX('Leads'!$BA$8:$BA$107,MATCH($B98,'Leads'!$A$8:$A$107,0)),0)=1,$C98&lt;&gt;"",ISNUMBER($D98),$D98&gt;=1,ISNUMBER($E98),$E98&gt;0,OR($I98="Yes",$I98="No"),$J98&lt;&gt;"",COUNTIFS('Quotations'!$B$8:$B$107,$B98,'Quotations'!$C$8:$C$107,$C98,'Quotations'!$D$8:$D$107,$D98)=1,IF($I98="Yes",COUNTIFS('Quotations'!$B$8:$B$107,$B98,'Quotations'!$C$8:$C$107,$C98,'Quotations'!$I$8:$I$107,"Yes")=1,TRUE)),1,0))</x:f>
      </x:c>
      <x:c r="P98" s="42" t="str">
        <x:f>IF($O98="","",IF(AND($O98=1,ISNUMBER($F98),$F98&gt;=0,$G98&lt;&gt;"",OR($H98="รวม VAT",$H98="ไม่รวม VAT")),1,0))</x:f>
      </x:c>
    </x:row>
    <x:row r="99" ht="30" customHeight="1">
      <x:c r="A99" s="96"/>
      <x:c r="B99" s="96"/>
      <x:c r="C99" s="96"/>
      <x:c r="D99" s="36"/>
      <x:c r="E99" s="82"/>
      <x:c r="F99" s="84"/>
      <x:c r="G99" s="36"/>
      <x:c r="H99" s="36"/>
      <x:c r="I99" s="36"/>
      <x:c r="J99" s="96"/>
      <x:c r="K99" s="36"/>
      <x:c r="L99" s="98" t="str">
        <x:f>IF($B99="","",IFERROR(IF(INDEX('Leads'!$AE$8:$AE$107,MATCH($B99,'Leads'!$A$8:$A$107,0))="","",INDEX('Leads'!$AE$8:$AE$107,MATCH($B99,'Leads'!$A$8:$A$107,0))),""))</x:f>
      </x:c>
      <x:c r="M99" s="42" t="str">
        <x:f>IF($B99="","",IFERROR(IF(INDEX('Leads'!$AA$8:$AA$107,MATCH($B99,'Leads'!$A$8:$A$107,0))="","",INDEX('Leads'!$AA$8:$AA$107,MATCH($B99,'Leads'!$A$8:$A$107,0))),""))</x:f>
      </x:c>
      <x:c r="N99" s="42" t="str">
        <x:f>IF(AND($A99="",$B99="",$C99=""),"",IF(AND($O99=1,$P99=1),"ครบ", IF($A99="","ขาด ID เอกสาร; ","")&amp;IF(AND($A99&lt;&gt;"",COUNTIF('Quotations'!$A$8:$A$107,$A99)&gt;1),"ID เอกสารซ้ำ; ","")&amp;IF(COUNTIF('Leads'!$A$8:$A$107,$B99)&lt;&gt;1,"ตรวจรหัส Lead; ","")&amp;IF(AND($B99&lt;&gt;"",IFERROR(INDEX('Leads'!$BA$8:$BA$107,MATCH($B99,'Leads'!$A$8:$A$107,0)),0)&lt;&gt;1),"Lead ยังไม่นับผลจริง; ","")&amp;IF(OR($C99="",NOT(ISNUMBER($D99)),NOT(ISNUMBER($E99))),"ขาดเลข/รุ่น/วันส่ง; ","")&amp;IF($J99="","ขาดหลักฐาน; ","")&amp;IF(NOT(OR($I99="Yes",$I99="No")),"เลือก Yes/No; ","")&amp;IF(AND($I99="Yes",COUNTIFS('Quotations'!$B$8:$B$107,$B99,'Quotations'!$C$8:$C$107,$C99,'Quotations'!$I$8:$I$107,"Yes")&gt;1),"ฉบับปัจจุบันซ้อน; ","")&amp;IF(COUNTIFS('Quotations'!$B$8:$B$107,$B99,'Quotations'!$C$8:$C$107,$C99,'Quotations'!$D$8:$D$107,$D99)&gt;1,"เลข/รุ่นซ้ำ; ","")&amp;IF(OR(NOT(ISNUMBER($F99)),$G99="",$H99="",$H99="ไม่ทราบ"),"ตรวจมูลค่า/สกุล/ฐาน VAT; ","")))</x:f>
      </x:c>
      <x:c r="O99" s="42" t="str">
        <x:f>IF(AND($A99="",$B99="",$C99=""),"",IF(AND($A99&lt;&gt;"",COUNTIF('Quotations'!$A$8:$A$107,$A99)=1,COUNTIF('Leads'!$A$8:$A$107,$B99)=1,$L99&lt;&gt;"",IFERROR(INDEX('Leads'!$BA$8:$BA$107,MATCH($B99,'Leads'!$A$8:$A$107,0)),0)=1,$C99&lt;&gt;"",ISNUMBER($D99),$D99&gt;=1,ISNUMBER($E99),$E99&gt;0,OR($I99="Yes",$I99="No"),$J99&lt;&gt;"",COUNTIFS('Quotations'!$B$8:$B$107,$B99,'Quotations'!$C$8:$C$107,$C99,'Quotations'!$D$8:$D$107,$D99)=1,IF($I99="Yes",COUNTIFS('Quotations'!$B$8:$B$107,$B99,'Quotations'!$C$8:$C$107,$C99,'Quotations'!$I$8:$I$107,"Yes")=1,TRUE)),1,0))</x:f>
      </x:c>
      <x:c r="P99" s="42" t="str">
        <x:f>IF($O99="","",IF(AND($O99=1,ISNUMBER($F99),$F99&gt;=0,$G99&lt;&gt;"",OR($H99="รวม VAT",$H99="ไม่รวม VAT")),1,0))</x:f>
      </x:c>
    </x:row>
    <x:row r="100" ht="30" customHeight="1">
      <x:c r="A100" s="96"/>
      <x:c r="B100" s="96"/>
      <x:c r="C100" s="96"/>
      <x:c r="D100" s="36"/>
      <x:c r="E100" s="82"/>
      <x:c r="F100" s="84"/>
      <x:c r="G100" s="36"/>
      <x:c r="H100" s="36"/>
      <x:c r="I100" s="36"/>
      <x:c r="J100" s="96"/>
      <x:c r="K100" s="36"/>
      <x:c r="L100" s="98" t="str">
        <x:f>IF($B100="","",IFERROR(IF(INDEX('Leads'!$AE$8:$AE$107,MATCH($B100,'Leads'!$A$8:$A$107,0))="","",INDEX('Leads'!$AE$8:$AE$107,MATCH($B100,'Leads'!$A$8:$A$107,0))),""))</x:f>
      </x:c>
      <x:c r="M100" s="42" t="str">
        <x:f>IF($B100="","",IFERROR(IF(INDEX('Leads'!$AA$8:$AA$107,MATCH($B100,'Leads'!$A$8:$A$107,0))="","",INDEX('Leads'!$AA$8:$AA$107,MATCH($B100,'Leads'!$A$8:$A$107,0))),""))</x:f>
      </x:c>
      <x:c r="N100" s="42" t="str">
        <x:f>IF(AND($A100="",$B100="",$C100=""),"",IF(AND($O100=1,$P100=1),"ครบ", IF($A100="","ขาด ID เอกสาร; ","")&amp;IF(AND($A100&lt;&gt;"",COUNTIF('Quotations'!$A$8:$A$107,$A100)&gt;1),"ID เอกสารซ้ำ; ","")&amp;IF(COUNTIF('Leads'!$A$8:$A$107,$B100)&lt;&gt;1,"ตรวจรหัส Lead; ","")&amp;IF(AND($B100&lt;&gt;"",IFERROR(INDEX('Leads'!$BA$8:$BA$107,MATCH($B100,'Leads'!$A$8:$A$107,0)),0)&lt;&gt;1),"Lead ยังไม่นับผลจริง; ","")&amp;IF(OR($C100="",NOT(ISNUMBER($D100)),NOT(ISNUMBER($E100))),"ขาดเลข/รุ่น/วันส่ง; ","")&amp;IF($J100="","ขาดหลักฐาน; ","")&amp;IF(NOT(OR($I100="Yes",$I100="No")),"เลือก Yes/No; ","")&amp;IF(AND($I100="Yes",COUNTIFS('Quotations'!$B$8:$B$107,$B100,'Quotations'!$C$8:$C$107,$C100,'Quotations'!$I$8:$I$107,"Yes")&gt;1),"ฉบับปัจจุบันซ้อน; ","")&amp;IF(COUNTIFS('Quotations'!$B$8:$B$107,$B100,'Quotations'!$C$8:$C$107,$C100,'Quotations'!$D$8:$D$107,$D100)&gt;1,"เลข/รุ่นซ้ำ; ","")&amp;IF(OR(NOT(ISNUMBER($F100)),$G100="",$H100="",$H100="ไม่ทราบ"),"ตรวจมูลค่า/สกุล/ฐาน VAT; ","")))</x:f>
      </x:c>
      <x:c r="O100" s="42" t="str">
        <x:f>IF(AND($A100="",$B100="",$C100=""),"",IF(AND($A100&lt;&gt;"",COUNTIF('Quotations'!$A$8:$A$107,$A100)=1,COUNTIF('Leads'!$A$8:$A$107,$B100)=1,$L100&lt;&gt;"",IFERROR(INDEX('Leads'!$BA$8:$BA$107,MATCH($B100,'Leads'!$A$8:$A$107,0)),0)=1,$C100&lt;&gt;"",ISNUMBER($D100),$D100&gt;=1,ISNUMBER($E100),$E100&gt;0,OR($I100="Yes",$I100="No"),$J100&lt;&gt;"",COUNTIFS('Quotations'!$B$8:$B$107,$B100,'Quotations'!$C$8:$C$107,$C100,'Quotations'!$D$8:$D$107,$D100)=1,IF($I100="Yes",COUNTIFS('Quotations'!$B$8:$B$107,$B100,'Quotations'!$C$8:$C$107,$C100,'Quotations'!$I$8:$I$107,"Yes")=1,TRUE)),1,0))</x:f>
      </x:c>
      <x:c r="P100" s="42" t="str">
        <x:f>IF($O100="","",IF(AND($O100=1,ISNUMBER($F100),$F100&gt;=0,$G100&lt;&gt;"",OR($H100="รวม VAT",$H100="ไม่รวม VAT")),1,0))</x:f>
      </x:c>
    </x:row>
    <x:row r="101" ht="30" customHeight="1">
      <x:c r="A101" s="96"/>
      <x:c r="B101" s="96"/>
      <x:c r="C101" s="96"/>
      <x:c r="D101" s="36"/>
      <x:c r="E101" s="82"/>
      <x:c r="F101" s="84"/>
      <x:c r="G101" s="36"/>
      <x:c r="H101" s="36"/>
      <x:c r="I101" s="36"/>
      <x:c r="J101" s="96"/>
      <x:c r="K101" s="36"/>
      <x:c r="L101" s="98" t="str">
        <x:f>IF($B101="","",IFERROR(IF(INDEX('Leads'!$AE$8:$AE$107,MATCH($B101,'Leads'!$A$8:$A$107,0))="","",INDEX('Leads'!$AE$8:$AE$107,MATCH($B101,'Leads'!$A$8:$A$107,0))),""))</x:f>
      </x:c>
      <x:c r="M101" s="42" t="str">
        <x:f>IF($B101="","",IFERROR(IF(INDEX('Leads'!$AA$8:$AA$107,MATCH($B101,'Leads'!$A$8:$A$107,0))="","",INDEX('Leads'!$AA$8:$AA$107,MATCH($B101,'Leads'!$A$8:$A$107,0))),""))</x:f>
      </x:c>
      <x:c r="N101" s="42" t="str">
        <x:f>IF(AND($A101="",$B101="",$C101=""),"",IF(AND($O101=1,$P101=1),"ครบ", IF($A101="","ขาด ID เอกสาร; ","")&amp;IF(AND($A101&lt;&gt;"",COUNTIF('Quotations'!$A$8:$A$107,$A101)&gt;1),"ID เอกสารซ้ำ; ","")&amp;IF(COUNTIF('Leads'!$A$8:$A$107,$B101)&lt;&gt;1,"ตรวจรหัส Lead; ","")&amp;IF(AND($B101&lt;&gt;"",IFERROR(INDEX('Leads'!$BA$8:$BA$107,MATCH($B101,'Leads'!$A$8:$A$107,0)),0)&lt;&gt;1),"Lead ยังไม่นับผลจริง; ","")&amp;IF(OR($C101="",NOT(ISNUMBER($D101)),NOT(ISNUMBER($E101))),"ขาดเลข/รุ่น/วันส่ง; ","")&amp;IF($J101="","ขาดหลักฐาน; ","")&amp;IF(NOT(OR($I101="Yes",$I101="No")),"เลือก Yes/No; ","")&amp;IF(AND($I101="Yes",COUNTIFS('Quotations'!$B$8:$B$107,$B101,'Quotations'!$C$8:$C$107,$C101,'Quotations'!$I$8:$I$107,"Yes")&gt;1),"ฉบับปัจจุบันซ้อน; ","")&amp;IF(COUNTIFS('Quotations'!$B$8:$B$107,$B101,'Quotations'!$C$8:$C$107,$C101,'Quotations'!$D$8:$D$107,$D101)&gt;1,"เลข/รุ่นซ้ำ; ","")&amp;IF(OR(NOT(ISNUMBER($F101)),$G101="",$H101="",$H101="ไม่ทราบ"),"ตรวจมูลค่า/สกุล/ฐาน VAT; ","")))</x:f>
      </x:c>
      <x:c r="O101" s="42" t="str">
        <x:f>IF(AND($A101="",$B101="",$C101=""),"",IF(AND($A101&lt;&gt;"",COUNTIF('Quotations'!$A$8:$A$107,$A101)=1,COUNTIF('Leads'!$A$8:$A$107,$B101)=1,$L101&lt;&gt;"",IFERROR(INDEX('Leads'!$BA$8:$BA$107,MATCH($B101,'Leads'!$A$8:$A$107,0)),0)=1,$C101&lt;&gt;"",ISNUMBER($D101),$D101&gt;=1,ISNUMBER($E101),$E101&gt;0,OR($I101="Yes",$I101="No"),$J101&lt;&gt;"",COUNTIFS('Quotations'!$B$8:$B$107,$B101,'Quotations'!$C$8:$C$107,$C101,'Quotations'!$D$8:$D$107,$D101)=1,IF($I101="Yes",COUNTIFS('Quotations'!$B$8:$B$107,$B101,'Quotations'!$C$8:$C$107,$C101,'Quotations'!$I$8:$I$107,"Yes")=1,TRUE)),1,0))</x:f>
      </x:c>
      <x:c r="P101" s="42" t="str">
        <x:f>IF($O101="","",IF(AND($O101=1,ISNUMBER($F101),$F101&gt;=0,$G101&lt;&gt;"",OR($H101="รวม VAT",$H101="ไม่รวม VAT")),1,0))</x:f>
      </x:c>
    </x:row>
    <x:row r="102" ht="30" customHeight="1">
      <x:c r="A102" s="96"/>
      <x:c r="B102" s="96"/>
      <x:c r="C102" s="96"/>
      <x:c r="D102" s="36"/>
      <x:c r="E102" s="82"/>
      <x:c r="F102" s="84"/>
      <x:c r="G102" s="36"/>
      <x:c r="H102" s="36"/>
      <x:c r="I102" s="36"/>
      <x:c r="J102" s="96"/>
      <x:c r="K102" s="36"/>
      <x:c r="L102" s="98" t="str">
        <x:f>IF($B102="","",IFERROR(IF(INDEX('Leads'!$AE$8:$AE$107,MATCH($B102,'Leads'!$A$8:$A$107,0))="","",INDEX('Leads'!$AE$8:$AE$107,MATCH($B102,'Leads'!$A$8:$A$107,0))),""))</x:f>
      </x:c>
      <x:c r="M102" s="42" t="str">
        <x:f>IF($B102="","",IFERROR(IF(INDEX('Leads'!$AA$8:$AA$107,MATCH($B102,'Leads'!$A$8:$A$107,0))="","",INDEX('Leads'!$AA$8:$AA$107,MATCH($B102,'Leads'!$A$8:$A$107,0))),""))</x:f>
      </x:c>
      <x:c r="N102" s="42" t="str">
        <x:f>IF(AND($A102="",$B102="",$C102=""),"",IF(AND($O102=1,$P102=1),"ครบ", IF($A102="","ขาด ID เอกสาร; ","")&amp;IF(AND($A102&lt;&gt;"",COUNTIF('Quotations'!$A$8:$A$107,$A102)&gt;1),"ID เอกสารซ้ำ; ","")&amp;IF(COUNTIF('Leads'!$A$8:$A$107,$B102)&lt;&gt;1,"ตรวจรหัส Lead; ","")&amp;IF(AND($B102&lt;&gt;"",IFERROR(INDEX('Leads'!$BA$8:$BA$107,MATCH($B102,'Leads'!$A$8:$A$107,0)),0)&lt;&gt;1),"Lead ยังไม่นับผลจริง; ","")&amp;IF(OR($C102="",NOT(ISNUMBER($D102)),NOT(ISNUMBER($E102))),"ขาดเลข/รุ่น/วันส่ง; ","")&amp;IF($J102="","ขาดหลักฐาน; ","")&amp;IF(NOT(OR($I102="Yes",$I102="No")),"เลือก Yes/No; ","")&amp;IF(AND($I102="Yes",COUNTIFS('Quotations'!$B$8:$B$107,$B102,'Quotations'!$C$8:$C$107,$C102,'Quotations'!$I$8:$I$107,"Yes")&gt;1),"ฉบับปัจจุบันซ้อน; ","")&amp;IF(COUNTIFS('Quotations'!$B$8:$B$107,$B102,'Quotations'!$C$8:$C$107,$C102,'Quotations'!$D$8:$D$107,$D102)&gt;1,"เลข/รุ่นซ้ำ; ","")&amp;IF(OR(NOT(ISNUMBER($F102)),$G102="",$H102="",$H102="ไม่ทราบ"),"ตรวจมูลค่า/สกุล/ฐาน VAT; ","")))</x:f>
      </x:c>
      <x:c r="O102" s="42" t="str">
        <x:f>IF(AND($A102="",$B102="",$C102=""),"",IF(AND($A102&lt;&gt;"",COUNTIF('Quotations'!$A$8:$A$107,$A102)=1,COUNTIF('Leads'!$A$8:$A$107,$B102)=1,$L102&lt;&gt;"",IFERROR(INDEX('Leads'!$BA$8:$BA$107,MATCH($B102,'Leads'!$A$8:$A$107,0)),0)=1,$C102&lt;&gt;"",ISNUMBER($D102),$D102&gt;=1,ISNUMBER($E102),$E102&gt;0,OR($I102="Yes",$I102="No"),$J102&lt;&gt;"",COUNTIFS('Quotations'!$B$8:$B$107,$B102,'Quotations'!$C$8:$C$107,$C102,'Quotations'!$D$8:$D$107,$D102)=1,IF($I102="Yes",COUNTIFS('Quotations'!$B$8:$B$107,$B102,'Quotations'!$C$8:$C$107,$C102,'Quotations'!$I$8:$I$107,"Yes")=1,TRUE)),1,0))</x:f>
      </x:c>
      <x:c r="P102" s="42" t="str">
        <x:f>IF($O102="","",IF(AND($O102=1,ISNUMBER($F102),$F102&gt;=0,$G102&lt;&gt;"",OR($H102="รวม VAT",$H102="ไม่รวม VAT")),1,0))</x:f>
      </x:c>
    </x:row>
    <x:row r="103" ht="30" customHeight="1">
      <x:c r="A103" s="96"/>
      <x:c r="B103" s="96"/>
      <x:c r="C103" s="96"/>
      <x:c r="D103" s="36"/>
      <x:c r="E103" s="82"/>
      <x:c r="F103" s="84"/>
      <x:c r="G103" s="36"/>
      <x:c r="H103" s="36"/>
      <x:c r="I103" s="36"/>
      <x:c r="J103" s="96"/>
      <x:c r="K103" s="36"/>
      <x:c r="L103" s="98" t="str">
        <x:f>IF($B103="","",IFERROR(IF(INDEX('Leads'!$AE$8:$AE$107,MATCH($B103,'Leads'!$A$8:$A$107,0))="","",INDEX('Leads'!$AE$8:$AE$107,MATCH($B103,'Leads'!$A$8:$A$107,0))),""))</x:f>
      </x:c>
      <x:c r="M103" s="42" t="str">
        <x:f>IF($B103="","",IFERROR(IF(INDEX('Leads'!$AA$8:$AA$107,MATCH($B103,'Leads'!$A$8:$A$107,0))="","",INDEX('Leads'!$AA$8:$AA$107,MATCH($B103,'Leads'!$A$8:$A$107,0))),""))</x:f>
      </x:c>
      <x:c r="N103" s="42" t="str">
        <x:f>IF(AND($A103="",$B103="",$C103=""),"",IF(AND($O103=1,$P103=1),"ครบ", IF($A103="","ขาด ID เอกสาร; ","")&amp;IF(AND($A103&lt;&gt;"",COUNTIF('Quotations'!$A$8:$A$107,$A103)&gt;1),"ID เอกสารซ้ำ; ","")&amp;IF(COUNTIF('Leads'!$A$8:$A$107,$B103)&lt;&gt;1,"ตรวจรหัส Lead; ","")&amp;IF(AND($B103&lt;&gt;"",IFERROR(INDEX('Leads'!$BA$8:$BA$107,MATCH($B103,'Leads'!$A$8:$A$107,0)),0)&lt;&gt;1),"Lead ยังไม่นับผลจริง; ","")&amp;IF(OR($C103="",NOT(ISNUMBER($D103)),NOT(ISNUMBER($E103))),"ขาดเลข/รุ่น/วันส่ง; ","")&amp;IF($J103="","ขาดหลักฐาน; ","")&amp;IF(NOT(OR($I103="Yes",$I103="No")),"เลือก Yes/No; ","")&amp;IF(AND($I103="Yes",COUNTIFS('Quotations'!$B$8:$B$107,$B103,'Quotations'!$C$8:$C$107,$C103,'Quotations'!$I$8:$I$107,"Yes")&gt;1),"ฉบับปัจจุบันซ้อน; ","")&amp;IF(COUNTIFS('Quotations'!$B$8:$B$107,$B103,'Quotations'!$C$8:$C$107,$C103,'Quotations'!$D$8:$D$107,$D103)&gt;1,"เลข/รุ่นซ้ำ; ","")&amp;IF(OR(NOT(ISNUMBER($F103)),$G103="",$H103="",$H103="ไม่ทราบ"),"ตรวจมูลค่า/สกุล/ฐาน VAT; ","")))</x:f>
      </x:c>
      <x:c r="O103" s="42" t="str">
        <x:f>IF(AND($A103="",$B103="",$C103=""),"",IF(AND($A103&lt;&gt;"",COUNTIF('Quotations'!$A$8:$A$107,$A103)=1,COUNTIF('Leads'!$A$8:$A$107,$B103)=1,$L103&lt;&gt;"",IFERROR(INDEX('Leads'!$BA$8:$BA$107,MATCH($B103,'Leads'!$A$8:$A$107,0)),0)=1,$C103&lt;&gt;"",ISNUMBER($D103),$D103&gt;=1,ISNUMBER($E103),$E103&gt;0,OR($I103="Yes",$I103="No"),$J103&lt;&gt;"",COUNTIFS('Quotations'!$B$8:$B$107,$B103,'Quotations'!$C$8:$C$107,$C103,'Quotations'!$D$8:$D$107,$D103)=1,IF($I103="Yes",COUNTIFS('Quotations'!$B$8:$B$107,$B103,'Quotations'!$C$8:$C$107,$C103,'Quotations'!$I$8:$I$107,"Yes")=1,TRUE)),1,0))</x:f>
      </x:c>
      <x:c r="P103" s="42" t="str">
        <x:f>IF($O103="","",IF(AND($O103=1,ISNUMBER($F103),$F103&gt;=0,$G103&lt;&gt;"",OR($H103="รวม VAT",$H103="ไม่รวม VAT")),1,0))</x:f>
      </x:c>
    </x:row>
    <x:row r="104" ht="30" customHeight="1">
      <x:c r="A104" s="96"/>
      <x:c r="B104" s="96"/>
      <x:c r="C104" s="96"/>
      <x:c r="D104" s="36"/>
      <x:c r="E104" s="82"/>
      <x:c r="F104" s="84"/>
      <x:c r="G104" s="36"/>
      <x:c r="H104" s="36"/>
      <x:c r="I104" s="36"/>
      <x:c r="J104" s="96"/>
      <x:c r="K104" s="36"/>
      <x:c r="L104" s="98" t="str">
        <x:f>IF($B104="","",IFERROR(IF(INDEX('Leads'!$AE$8:$AE$107,MATCH($B104,'Leads'!$A$8:$A$107,0))="","",INDEX('Leads'!$AE$8:$AE$107,MATCH($B104,'Leads'!$A$8:$A$107,0))),""))</x:f>
      </x:c>
      <x:c r="M104" s="42" t="str">
        <x:f>IF($B104="","",IFERROR(IF(INDEX('Leads'!$AA$8:$AA$107,MATCH($B104,'Leads'!$A$8:$A$107,0))="","",INDEX('Leads'!$AA$8:$AA$107,MATCH($B104,'Leads'!$A$8:$A$107,0))),""))</x:f>
      </x:c>
      <x:c r="N104" s="42" t="str">
        <x:f>IF(AND($A104="",$B104="",$C104=""),"",IF(AND($O104=1,$P104=1),"ครบ", IF($A104="","ขาด ID เอกสาร; ","")&amp;IF(AND($A104&lt;&gt;"",COUNTIF('Quotations'!$A$8:$A$107,$A104)&gt;1),"ID เอกสารซ้ำ; ","")&amp;IF(COUNTIF('Leads'!$A$8:$A$107,$B104)&lt;&gt;1,"ตรวจรหัส Lead; ","")&amp;IF(AND($B104&lt;&gt;"",IFERROR(INDEX('Leads'!$BA$8:$BA$107,MATCH($B104,'Leads'!$A$8:$A$107,0)),0)&lt;&gt;1),"Lead ยังไม่นับผลจริง; ","")&amp;IF(OR($C104="",NOT(ISNUMBER($D104)),NOT(ISNUMBER($E104))),"ขาดเลข/รุ่น/วันส่ง; ","")&amp;IF($J104="","ขาดหลักฐาน; ","")&amp;IF(NOT(OR($I104="Yes",$I104="No")),"เลือก Yes/No; ","")&amp;IF(AND($I104="Yes",COUNTIFS('Quotations'!$B$8:$B$107,$B104,'Quotations'!$C$8:$C$107,$C104,'Quotations'!$I$8:$I$107,"Yes")&gt;1),"ฉบับปัจจุบันซ้อน; ","")&amp;IF(COUNTIFS('Quotations'!$B$8:$B$107,$B104,'Quotations'!$C$8:$C$107,$C104,'Quotations'!$D$8:$D$107,$D104)&gt;1,"เลข/รุ่นซ้ำ; ","")&amp;IF(OR(NOT(ISNUMBER($F104)),$G104="",$H104="",$H104="ไม่ทราบ"),"ตรวจมูลค่า/สกุล/ฐาน VAT; ","")))</x:f>
      </x:c>
      <x:c r="O104" s="42" t="str">
        <x:f>IF(AND($A104="",$B104="",$C104=""),"",IF(AND($A104&lt;&gt;"",COUNTIF('Quotations'!$A$8:$A$107,$A104)=1,COUNTIF('Leads'!$A$8:$A$107,$B104)=1,$L104&lt;&gt;"",IFERROR(INDEX('Leads'!$BA$8:$BA$107,MATCH($B104,'Leads'!$A$8:$A$107,0)),0)=1,$C104&lt;&gt;"",ISNUMBER($D104),$D104&gt;=1,ISNUMBER($E104),$E104&gt;0,OR($I104="Yes",$I104="No"),$J104&lt;&gt;"",COUNTIFS('Quotations'!$B$8:$B$107,$B104,'Quotations'!$C$8:$C$107,$C104,'Quotations'!$D$8:$D$107,$D104)=1,IF($I104="Yes",COUNTIFS('Quotations'!$B$8:$B$107,$B104,'Quotations'!$C$8:$C$107,$C104,'Quotations'!$I$8:$I$107,"Yes")=1,TRUE)),1,0))</x:f>
      </x:c>
      <x:c r="P104" s="42" t="str">
        <x:f>IF($O104="","",IF(AND($O104=1,ISNUMBER($F104),$F104&gt;=0,$G104&lt;&gt;"",OR($H104="รวม VAT",$H104="ไม่รวม VAT")),1,0))</x:f>
      </x:c>
    </x:row>
    <x:row r="105" ht="30" customHeight="1">
      <x:c r="A105" s="96"/>
      <x:c r="B105" s="96"/>
      <x:c r="C105" s="96"/>
      <x:c r="D105" s="36"/>
      <x:c r="E105" s="82"/>
      <x:c r="F105" s="84"/>
      <x:c r="G105" s="36"/>
      <x:c r="H105" s="36"/>
      <x:c r="I105" s="36"/>
      <x:c r="J105" s="96"/>
      <x:c r="K105" s="36"/>
      <x:c r="L105" s="98" t="str">
        <x:f>IF($B105="","",IFERROR(IF(INDEX('Leads'!$AE$8:$AE$107,MATCH($B105,'Leads'!$A$8:$A$107,0))="","",INDEX('Leads'!$AE$8:$AE$107,MATCH($B105,'Leads'!$A$8:$A$107,0))),""))</x:f>
      </x:c>
      <x:c r="M105" s="42" t="str">
        <x:f>IF($B105="","",IFERROR(IF(INDEX('Leads'!$AA$8:$AA$107,MATCH($B105,'Leads'!$A$8:$A$107,0))="","",INDEX('Leads'!$AA$8:$AA$107,MATCH($B105,'Leads'!$A$8:$A$107,0))),""))</x:f>
      </x:c>
      <x:c r="N105" s="42" t="str">
        <x:f>IF(AND($A105="",$B105="",$C105=""),"",IF(AND($O105=1,$P105=1),"ครบ", IF($A105="","ขาด ID เอกสาร; ","")&amp;IF(AND($A105&lt;&gt;"",COUNTIF('Quotations'!$A$8:$A$107,$A105)&gt;1),"ID เอกสารซ้ำ; ","")&amp;IF(COUNTIF('Leads'!$A$8:$A$107,$B105)&lt;&gt;1,"ตรวจรหัส Lead; ","")&amp;IF(AND($B105&lt;&gt;"",IFERROR(INDEX('Leads'!$BA$8:$BA$107,MATCH($B105,'Leads'!$A$8:$A$107,0)),0)&lt;&gt;1),"Lead ยังไม่นับผลจริง; ","")&amp;IF(OR($C105="",NOT(ISNUMBER($D105)),NOT(ISNUMBER($E105))),"ขาดเลข/รุ่น/วันส่ง; ","")&amp;IF($J105="","ขาดหลักฐาน; ","")&amp;IF(NOT(OR($I105="Yes",$I105="No")),"เลือก Yes/No; ","")&amp;IF(AND($I105="Yes",COUNTIFS('Quotations'!$B$8:$B$107,$B105,'Quotations'!$C$8:$C$107,$C105,'Quotations'!$I$8:$I$107,"Yes")&gt;1),"ฉบับปัจจุบันซ้อน; ","")&amp;IF(COUNTIFS('Quotations'!$B$8:$B$107,$B105,'Quotations'!$C$8:$C$107,$C105,'Quotations'!$D$8:$D$107,$D105)&gt;1,"เลข/รุ่นซ้ำ; ","")&amp;IF(OR(NOT(ISNUMBER($F105)),$G105="",$H105="",$H105="ไม่ทราบ"),"ตรวจมูลค่า/สกุล/ฐาน VAT; ","")))</x:f>
      </x:c>
      <x:c r="O105" s="42" t="str">
        <x:f>IF(AND($A105="",$B105="",$C105=""),"",IF(AND($A105&lt;&gt;"",COUNTIF('Quotations'!$A$8:$A$107,$A105)=1,COUNTIF('Leads'!$A$8:$A$107,$B105)=1,$L105&lt;&gt;"",IFERROR(INDEX('Leads'!$BA$8:$BA$107,MATCH($B105,'Leads'!$A$8:$A$107,0)),0)=1,$C105&lt;&gt;"",ISNUMBER($D105),$D105&gt;=1,ISNUMBER($E105),$E105&gt;0,OR($I105="Yes",$I105="No"),$J105&lt;&gt;"",COUNTIFS('Quotations'!$B$8:$B$107,$B105,'Quotations'!$C$8:$C$107,$C105,'Quotations'!$D$8:$D$107,$D105)=1,IF($I105="Yes",COUNTIFS('Quotations'!$B$8:$B$107,$B105,'Quotations'!$C$8:$C$107,$C105,'Quotations'!$I$8:$I$107,"Yes")=1,TRUE)),1,0))</x:f>
      </x:c>
      <x:c r="P105" s="42" t="str">
        <x:f>IF($O105="","",IF(AND($O105=1,ISNUMBER($F105),$F105&gt;=0,$G105&lt;&gt;"",OR($H105="รวม VAT",$H105="ไม่รวม VAT")),1,0))</x:f>
      </x:c>
    </x:row>
    <x:row r="106" ht="30" customHeight="1">
      <x:c r="A106" s="96"/>
      <x:c r="B106" s="96"/>
      <x:c r="C106" s="96"/>
      <x:c r="D106" s="36"/>
      <x:c r="E106" s="82"/>
      <x:c r="F106" s="84"/>
      <x:c r="G106" s="36"/>
      <x:c r="H106" s="36"/>
      <x:c r="I106" s="36"/>
      <x:c r="J106" s="96"/>
      <x:c r="K106" s="36"/>
      <x:c r="L106" s="98" t="str">
        <x:f>IF($B106="","",IFERROR(IF(INDEX('Leads'!$AE$8:$AE$107,MATCH($B106,'Leads'!$A$8:$A$107,0))="","",INDEX('Leads'!$AE$8:$AE$107,MATCH($B106,'Leads'!$A$8:$A$107,0))),""))</x:f>
      </x:c>
      <x:c r="M106" s="42" t="str">
        <x:f>IF($B106="","",IFERROR(IF(INDEX('Leads'!$AA$8:$AA$107,MATCH($B106,'Leads'!$A$8:$A$107,0))="","",INDEX('Leads'!$AA$8:$AA$107,MATCH($B106,'Leads'!$A$8:$A$107,0))),""))</x:f>
      </x:c>
      <x:c r="N106" s="42" t="str">
        <x:f>IF(AND($A106="",$B106="",$C106=""),"",IF(AND($O106=1,$P106=1),"ครบ", IF($A106="","ขาด ID เอกสาร; ","")&amp;IF(AND($A106&lt;&gt;"",COUNTIF('Quotations'!$A$8:$A$107,$A106)&gt;1),"ID เอกสารซ้ำ; ","")&amp;IF(COUNTIF('Leads'!$A$8:$A$107,$B106)&lt;&gt;1,"ตรวจรหัส Lead; ","")&amp;IF(AND($B106&lt;&gt;"",IFERROR(INDEX('Leads'!$BA$8:$BA$107,MATCH($B106,'Leads'!$A$8:$A$107,0)),0)&lt;&gt;1),"Lead ยังไม่นับผลจริง; ","")&amp;IF(OR($C106="",NOT(ISNUMBER($D106)),NOT(ISNUMBER($E106))),"ขาดเลข/รุ่น/วันส่ง; ","")&amp;IF($J106="","ขาดหลักฐาน; ","")&amp;IF(NOT(OR($I106="Yes",$I106="No")),"เลือก Yes/No; ","")&amp;IF(AND($I106="Yes",COUNTIFS('Quotations'!$B$8:$B$107,$B106,'Quotations'!$C$8:$C$107,$C106,'Quotations'!$I$8:$I$107,"Yes")&gt;1),"ฉบับปัจจุบันซ้อน; ","")&amp;IF(COUNTIFS('Quotations'!$B$8:$B$107,$B106,'Quotations'!$C$8:$C$107,$C106,'Quotations'!$D$8:$D$107,$D106)&gt;1,"เลข/รุ่นซ้ำ; ","")&amp;IF(OR(NOT(ISNUMBER($F106)),$G106="",$H106="",$H106="ไม่ทราบ"),"ตรวจมูลค่า/สกุล/ฐาน VAT; ","")))</x:f>
      </x:c>
      <x:c r="O106" s="42" t="str">
        <x:f>IF(AND($A106="",$B106="",$C106=""),"",IF(AND($A106&lt;&gt;"",COUNTIF('Quotations'!$A$8:$A$107,$A106)=1,COUNTIF('Leads'!$A$8:$A$107,$B106)=1,$L106&lt;&gt;"",IFERROR(INDEX('Leads'!$BA$8:$BA$107,MATCH($B106,'Leads'!$A$8:$A$107,0)),0)=1,$C106&lt;&gt;"",ISNUMBER($D106),$D106&gt;=1,ISNUMBER($E106),$E106&gt;0,OR($I106="Yes",$I106="No"),$J106&lt;&gt;"",COUNTIFS('Quotations'!$B$8:$B$107,$B106,'Quotations'!$C$8:$C$107,$C106,'Quotations'!$D$8:$D$107,$D106)=1,IF($I106="Yes",COUNTIFS('Quotations'!$B$8:$B$107,$B106,'Quotations'!$C$8:$C$107,$C106,'Quotations'!$I$8:$I$107,"Yes")=1,TRUE)),1,0))</x:f>
      </x:c>
      <x:c r="P106" s="42" t="str">
        <x:f>IF($O106="","",IF(AND($O106=1,ISNUMBER($F106),$F106&gt;=0,$G106&lt;&gt;"",OR($H106="รวม VAT",$H106="ไม่รวม VAT")),1,0))</x:f>
      </x:c>
    </x:row>
    <x:row r="107" ht="30" customHeight="1">
      <x:c r="A107" s="96"/>
      <x:c r="B107" s="96"/>
      <x:c r="C107" s="96"/>
      <x:c r="D107" s="36"/>
      <x:c r="E107" s="82"/>
      <x:c r="F107" s="84"/>
      <x:c r="G107" s="36"/>
      <x:c r="H107" s="36"/>
      <x:c r="I107" s="36"/>
      <x:c r="J107" s="96"/>
      <x:c r="K107" s="36"/>
      <x:c r="L107" s="98" t="str">
        <x:f>IF($B107="","",IFERROR(IF(INDEX('Leads'!$AE$8:$AE$107,MATCH($B107,'Leads'!$A$8:$A$107,0))="","",INDEX('Leads'!$AE$8:$AE$107,MATCH($B107,'Leads'!$A$8:$A$107,0))),""))</x:f>
      </x:c>
      <x:c r="M107" s="42" t="str">
        <x:f>IF($B107="","",IFERROR(IF(INDEX('Leads'!$AA$8:$AA$107,MATCH($B107,'Leads'!$A$8:$A$107,0))="","",INDEX('Leads'!$AA$8:$AA$107,MATCH($B107,'Leads'!$A$8:$A$107,0))),""))</x:f>
      </x:c>
      <x:c r="N107" s="42" t="str">
        <x:f>IF(AND($A107="",$B107="",$C107=""),"",IF(AND($O107=1,$P107=1),"ครบ", IF($A107="","ขาด ID เอกสาร; ","")&amp;IF(AND($A107&lt;&gt;"",COUNTIF('Quotations'!$A$8:$A$107,$A107)&gt;1),"ID เอกสารซ้ำ; ","")&amp;IF(COUNTIF('Leads'!$A$8:$A$107,$B107)&lt;&gt;1,"ตรวจรหัส Lead; ","")&amp;IF(AND($B107&lt;&gt;"",IFERROR(INDEX('Leads'!$BA$8:$BA$107,MATCH($B107,'Leads'!$A$8:$A$107,0)),0)&lt;&gt;1),"Lead ยังไม่นับผลจริง; ","")&amp;IF(OR($C107="",NOT(ISNUMBER($D107)),NOT(ISNUMBER($E107))),"ขาดเลข/รุ่น/วันส่ง; ","")&amp;IF($J107="","ขาดหลักฐาน; ","")&amp;IF(NOT(OR($I107="Yes",$I107="No")),"เลือก Yes/No; ","")&amp;IF(AND($I107="Yes",COUNTIFS('Quotations'!$B$8:$B$107,$B107,'Quotations'!$C$8:$C$107,$C107,'Quotations'!$I$8:$I$107,"Yes")&gt;1),"ฉบับปัจจุบันซ้อน; ","")&amp;IF(COUNTIFS('Quotations'!$B$8:$B$107,$B107,'Quotations'!$C$8:$C$107,$C107,'Quotations'!$D$8:$D$107,$D107)&gt;1,"เลข/รุ่นซ้ำ; ","")&amp;IF(OR(NOT(ISNUMBER($F107)),$G107="",$H107="",$H107="ไม่ทราบ"),"ตรวจมูลค่า/สกุล/ฐาน VAT; ","")))</x:f>
      </x:c>
      <x:c r="O107" s="42" t="str">
        <x:f>IF(AND($A107="",$B107="",$C107=""),"",IF(AND($A107&lt;&gt;"",COUNTIF('Quotations'!$A$8:$A$107,$A107)=1,COUNTIF('Leads'!$A$8:$A$107,$B107)=1,$L107&lt;&gt;"",IFERROR(INDEX('Leads'!$BA$8:$BA$107,MATCH($B107,'Leads'!$A$8:$A$107,0)),0)=1,$C107&lt;&gt;"",ISNUMBER($D107),$D107&gt;=1,ISNUMBER($E107),$E107&gt;0,OR($I107="Yes",$I107="No"),$J107&lt;&gt;"",COUNTIFS('Quotations'!$B$8:$B$107,$B107,'Quotations'!$C$8:$C$107,$C107,'Quotations'!$D$8:$D$107,$D107)=1,IF($I107="Yes",COUNTIFS('Quotations'!$B$8:$B$107,$B107,'Quotations'!$C$8:$C$107,$C107,'Quotations'!$I$8:$I$107,"Yes")=1,TRUE)),1,0))</x:f>
      </x:c>
      <x:c r="P107" s="42" t="str">
        <x:f>IF($O107="","",IF(AND($O107=1,ISNUMBER($F107),$F107&gt;=0,$G107&lt;&gt;"",OR($H107="รวม VAT",$H107="ไม่รวม VAT")),1,0))</x:f>
      </x:c>
    </x:row>
  </x:sheetData>
  <x:mergeCells>
    <x:mergeCell ref="A1:J2"/>
    <x:mergeCell ref="A3:J3"/>
    <x:mergeCell ref="A4:C4"/>
    <x:mergeCell ref="D4:F4"/>
    <x:mergeCell ref="A5:E5"/>
    <x:mergeCell ref="F5:I5"/>
    <x:mergeCell ref="J5:K5"/>
    <x:mergeCell ref="L5:P5"/>
  </x:mergeCells>
  <x:conditionalFormatting sqref="N8:N107">
    <x:cfRule type="expression" dxfId="8" priority="1">
      <x:formula>AND($N8&lt;&gt;"",$N8&lt;&gt;"ครบ")</x:formula>
    </x:cfRule>
  </x:conditionalFormatting>
  <x:dataValidations count="7">
    <x:dataValidation type="list" errorStyle="stop" allowBlank="1" showDropDown="0" showErrorMessage="1" errorTitle="ตรวจค่าที่เลือก" error="ใช้รหัสอ้างอิงที่มีอยู่ใน Leads ก่อน" sqref="B8:B107">
      <x:formula1>'Leads'!$A$8:$A$107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G8:G107">
      <x:formula1>'Guide_Lists'!$AO$2:$AO$5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H8:H107">
      <x:formula1>'Guide_Lists'!$AN$2:$AN$4</x:formula1>
    </x:dataValidation>
    <x:dataValidation type="decimal" errorStyle="stop" operator="between" allowBlank="1" showErrorMessage="1" errorTitle="ใช้ค่าตัวเลข" error="ไม่ทราบให้เว้นว่าง ไม่ใช้ 0 แทนข้อมูลที่ยังไม่มี" sqref="F8:F107">
      <x:formula1>0</x:formula1>
      <x:formula2>1000000000</x:formula2>
    </x:dataValidation>
    <x:dataValidation type="date" operator="between" allowBlank="1" sqref="E8:E107">
      <x:formula1>DATE(2020,1,1)</x:formula1>
      <x:formula2>DATE(2100,12,31)</x:formula2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I8:I107">
      <x:formula1>'Guide_Lists'!$AL$2:$AL$3</x:formula1>
    </x:dataValidation>
    <x:dataValidation type="whole" errorStyle="stop" operator="between" allowBlank="1" showErrorMessage="1" errorTitle="ใช้ค่าตัวเลข" error="ไม่ทราบให้เว้นว่าง ไม่ใช้ 0 แทนข้อมูลที่ยังไม่มี" sqref="D8:D107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3bed43e620e4e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28" hidden="0" customWidth="1"/>
    <x:col min="4" max="4" width="25" hidden="0" customWidth="1"/>
    <x:col min="5" max="5" width="23" hidden="0" customWidth="1"/>
    <x:col min="6" max="6" width="20" hidden="0" customWidth="1"/>
    <x:col min="7" max="7" width="13" hidden="0" customWidth="1"/>
    <x:col min="8" max="8" width="18" hidden="0" customWidth="1"/>
    <x:col min="9" max="9" width="17" hidden="0" customWidth="1"/>
    <x:col min="10" max="10" width="40" hidden="0" customWidth="1"/>
    <x:col min="11" max="11" width="23" hidden="0" customWidth="1"/>
    <x:col min="12" max="12" width="34" hidden="0" customWidth="1"/>
    <x:col min="13" max="13" width="34" hidden="0" customWidth="1"/>
    <x:col min="14" max="14" width="35" hidden="0" customWidth="1"/>
    <x:col min="15" max="15" width="22" hidden="0" customWidth="1"/>
    <x:col min="16" max="16" width="43" hidden="0" customWidth="1"/>
    <x:col min="17" max="17" width="22" hidden="0" customWidth="1"/>
    <x:col min="18" max="18" width="21" hidden="0" customWidth="1"/>
  </x:cols>
  <x:sheetData>
    <x:row r="1" ht="25" customHeight="1">
      <x:c r="A1" s="7" t="str">
        <x:v>DD BOX  |  PO ที่ได้รับ</x:v>
      </x:c>
      <x:c r="B1" s="7"/>
      <x:c r="C1" s="7"/>
      <x:c r="D1" s="7"/>
      <x:c r="E1" s="7"/>
      <x:c r="F1" s="7"/>
      <x:c r="G1" s="7"/>
      <x:c r="H1" s="7"/>
      <x:c r="I1" s="7"/>
      <x:c r="J1" s="7"/>
      <x:c r="K1" s="3"/>
      <x:c r="L1" s="3"/>
      <x:c r="M1" s="3"/>
      <x:c r="N1" s="3"/>
      <x:c r="O1" s="3"/>
      <x:c r="P1" s="3"/>
      <x:c r="Q1" s="3"/>
      <x:c r="R1" s="3"/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3"/>
      <x:c r="L2" s="3"/>
      <x:c r="M2" s="3"/>
      <x:c r="N2" s="3"/>
      <x:c r="O2" s="3"/>
      <x:c r="P2" s="3"/>
      <x:c r="Q2" s="3"/>
      <x:c r="R2" s="3"/>
    </x:row>
    <x:row r="3" ht="40" customHeight="1">
      <x:c r="A3" s="11" t="str">
        <x:v>Won เมื่อได้รับ PO เท่านั้น • 1 แถวต่อ 1 PO / Order ID • เก็บหลักฐานรับ PO • มูลค่า PO ไม่ใช่รายได้ทางบัญชีหรือเงินสดรับ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"/>
      <x:c r="L3" s="3"/>
      <x:c r="M3" s="3"/>
      <x:c r="N3" s="3"/>
      <x:c r="O3" s="3"/>
      <x:c r="P3" s="3"/>
      <x:c r="Q3" s="3"/>
      <x:c r="R3" s="3"/>
    </x:row>
    <x:row r="4" ht="24" customHeight="1">
      <x:c r="A4" s="14" t="str">
        <x:v>วิธีใช้: เปิดแท็บ Guide_Lists</x:v>
      </x:c>
      <x:c r="B4" s="14"/>
      <x:c r="C4" s="14"/>
      <x:c r="D4" s="16" t="str">
        <x:v>ภาพรวม: เปิดแท็บ Dashboard</x:v>
      </x:c>
      <x:c r="E4" s="16"/>
      <x:c r="F4" s="16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7" customHeight="1">
      <x:c r="A5" s="19" t="str">
        <x:v>01  PO และ Lead ที่เกี่ยวข้อง</x:v>
      </x:c>
      <x:c r="B5" s="19"/>
      <x:c r="C5" s="19"/>
      <x:c r="D5" s="19"/>
      <x:c r="E5" s="19"/>
      <x:c r="F5" s="19" t="str">
        <x:v>02  มูลค่า / สถานะ</x:v>
      </x:c>
      <x:c r="G5" s="19"/>
      <x:c r="H5" s="19"/>
      <x:c r="I5" s="19"/>
      <x:c r="J5" s="19" t="str">
        <x:v>03  หลักฐาน / การยกเลิก</x:v>
      </x:c>
      <x:c r="K5" s="19"/>
      <x:c r="L5" s="19"/>
      <x:c r="M5" s="19"/>
      <x:c r="N5" s="19" t="str">
        <x:v>04  ตรวจและเชื่อมข้อมูล — สูตร</x:v>
      </x:c>
      <x:c r="O5" s="19"/>
      <x:c r="P5" s="19"/>
      <x:c r="Q5" s="19"/>
      <x:c r="R5" s="19"/>
    </x:row>
    <x:row r="6" ht="22" customHeight="1">
      <x:c r="A6" s="23" t="str">
        <x:v>order_id</x:v>
      </x:c>
      <x:c r="B6" s="23" t="str">
        <x:v>lead_reference</x:v>
      </x:c>
      <x:c r="C6" s="23" t="str">
        <x:v>customer_or_issuer</x:v>
      </x:c>
      <x:c r="D6" s="23" t="str">
        <x:v>po_number</x:v>
      </x:c>
      <x:c r="E6" s="23" t="str">
        <x:v>po_received_at</x:v>
      </x:c>
      <x:c r="F6" s="23" t="str">
        <x:v>amount</x:v>
      </x:c>
      <x:c r="G6" s="23" t="str">
        <x:v>currency</x:v>
      </x:c>
      <x:c r="H6" s="23" t="str">
        <x:v>amount_basis</x:v>
      </x:c>
      <x:c r="I6" s="23" t="str">
        <x:v>order_status</x:v>
      </x:c>
      <x:c r="J6" s="23" t="str">
        <x:v>document_link</x:v>
      </x:c>
      <x:c r="K6" s="23" t="str">
        <x:v>cancelled_at</x:v>
      </x:c>
      <x:c r="L6" s="23" t="str">
        <x:v>cancellation_reason</x:v>
      </x:c>
      <x:c r="M6" s="23" t="str">
        <x:v>notes</x:v>
      </x:c>
      <x:c r="N6" s="23" t="str">
        <x:v>lead_id</x:v>
      </x:c>
      <x:c r="O6" s="23" t="str">
        <x:v>record_class</x:v>
      </x:c>
      <x:c r="P6" s="23" t="str">
        <x:v>row_checks</x:v>
      </x:c>
      <x:c r="Q6" s="23" t="str">
        <x:v>valid_po_core</x:v>
      </x:c>
      <x:c r="R6" s="23" t="str">
        <x:v>amount_complete</x:v>
      </x:c>
    </x:row>
    <x:row r="7" ht="40" customHeight="1">
      <x:c r="A7" s="27" t="str">
        <x:v>Order ID · ไม่ซ้ำ</x:v>
      </x:c>
      <x:c r="B7" s="27" t="str">
        <x:v>รหัสอ้างอิง Lead</x:v>
      </x:c>
      <x:c r="C7" s="27" t="str">
        <x:v>บริษัทผู้ออก PO</x:v>
      </x:c>
      <x:c r="D7" s="27" t="str">
        <x:v>เลข PO</x:v>
      </x:c>
      <x:c r="E7" s="27" t="str">
        <x:v>วันที่ได้รับ PO</x:v>
      </x:c>
      <x:c r="F7" s="27" t="str">
        <x:v>มูลค่า PO</x:v>
      </x:c>
      <x:c r="G7" s="27" t="str">
        <x:v>สกุลเงิน</x:v>
      </x:c>
      <x:c r="H7" s="27" t="str">
        <x:v>ฐานมูลค่า</x:v>
      </x:c>
      <x:c r="I7" s="27" t="str">
        <x:v>สถานะ PO</x:v>
      </x:c>
      <x:c r="J7" s="27" t="str">
        <x:v>ที่เก็บ / ลิงก์ PO</x:v>
      </x:c>
      <x:c r="K7" s="27" t="str">
        <x:v>วันที่ยกเลิก</x:v>
      </x:c>
      <x:c r="L7" s="27" t="str">
        <x:v>เหตุผลยกเลิก</x:v>
      </x:c>
      <x:c r="M7" s="27" t="str">
        <x:v>หมายเหตุ</x:v>
      </x:c>
      <x:c r="N7" s="27" t="str">
        <x:v>Lead ID · สูตร</x:v>
      </x:c>
      <x:c r="O7" s="27" t="str">
        <x:v>ประเภทข้อมูล · สูตร</x:v>
      </x:c>
      <x:c r="P7" s="27" t="str">
        <x:v>ตรวจข้อมูล · สูตร</x:v>
      </x:c>
      <x:c r="Q7" s="27" t="str">
        <x:v>PO ตรวจผ่าน · สูตร</x:v>
      </x:c>
      <x:c r="R7" s="27" t="str">
        <x:v>มูลค่าครบ · สูตร</x:v>
      </x:c>
    </x:row>
    <x:row r="8" ht="30" customHeight="1">
      <x:c r="A8" s="96"/>
      <x:c r="B8" s="96"/>
      <x:c r="C8" s="36"/>
      <x:c r="D8" s="96"/>
      <x:c r="E8" s="82"/>
      <x:c r="F8" s="84"/>
      <x:c r="G8" s="36"/>
      <x:c r="H8" s="36"/>
      <x:c r="I8" s="36"/>
      <x:c r="J8" s="96"/>
      <x:c r="K8" s="82"/>
      <x:c r="L8" s="36"/>
      <x:c r="M8" s="36"/>
      <x:c r="N8" s="98" t="str">
        <x:f>IF($B8="","",IFERROR(IF(INDEX('Leads'!$AE$8:$AE$107,MATCH($B8,'Leads'!$A$8:$A$107,0))="","",INDEX('Leads'!$AE$8:$AE$107,MATCH($B8,'Leads'!$A$8:$A$107,0))),""))</x:f>
      </x:c>
      <x:c r="O8" s="42" t="str">
        <x:f>IF($B8="","",IFERROR(IF(INDEX('Leads'!$AA$8:$AA$107,MATCH($B8,'Leads'!$A$8:$A$107,0))="","",INDEX('Leads'!$AA$8:$AA$107,MATCH($B8,'Leads'!$A$8:$A$107,0))),""))</x:f>
      </x:c>
      <x:c r="P8" s="42" t="str">
        <x:f>IF(AND($A8="",$B8="",$D8=""),"",IF(AND($Q8=1,$R8=1,OR($I8="Active",AND(ISNUMBER($K8),$L8&lt;&gt;""))),"ครบ",IF($A8="","ขาด Order ID; ","")&amp;IF(AND($A8&lt;&gt;"",COUNTIF('Orders_PO'!$A$8:$A$107,$A8)&gt;1),"Order ID ซ้ำ; ","")&amp;IF(COUNTIF('Leads'!$A$8:$A$107,$B8)&lt;&gt;1,"ตรวจรหัส Lead; ","")&amp;IF(AND($B8&lt;&gt;"",IFERROR(INDEX('Leads'!$BA$8:$BA$107,MATCH($B8,'Leads'!$A$8:$A$107,0)),0)&lt;&gt;1),"Lead ยังไม่นับผลจริง; ","")&amp;IF(OR($C8="",$D8="",NOT(ISNUMBER($E8))),"ขาดบริษัท/เลข PO/วันรับ; ","")&amp;IF($J8="","ขาดหลักฐาน PO; ","")&amp;IF(NOT(OR($I8="Active",$I8="Cancelled")),"เลือกสถานะ PO; ","")&amp;IF(COUNTIFS('Orders_PO'!$C$8:$C$107,$C8,'Orders_PO'!$D$8:$D$107,$D8)&gt;1,"PO/ผู้ออกซ้ำ; ","")&amp;IF(OR(NOT(ISNUMBER($F8)),$G8="",$H8="",$H8="ไม่ทราบ"),"ตรวจมูลค่า/สกุล/ฐาน VAT; ","")&amp;IF(AND($I8="Cancelled",OR(NOT(ISNUMBER($K8)),$L8="")),"ขาดวัน/เหตุผลยกเลิก; ","")))</x:f>
      </x:c>
      <x:c r="Q8" s="42" t="str">
        <x:f>IF(AND($A8="",$B8="",$D8=""),"",IF(AND($A8&lt;&gt;"",COUNTIF('Orders_PO'!$A$8:$A$107,$A8)=1,COUNTIF('Leads'!$A$8:$A$107,$B8)=1,$N8&lt;&gt;"",IFERROR(INDEX('Leads'!$BA$8:$BA$107,MATCH($B8,'Leads'!$A$8:$A$107,0)),0)=1,$C8&lt;&gt;"",$D8&lt;&gt;"",ISNUMBER($E8),$E8&gt;0,$J8&lt;&gt;"",OR($I8="Active",$I8="Cancelled"),COUNTIFS('Orders_PO'!$C$8:$C$107,$C8,'Orders_PO'!$D$8:$D$107,$D8)=1),1,0))</x:f>
      </x:c>
      <x:c r="R8" s="42" t="str">
        <x:f>IF($Q8="","",IF(AND($Q8=1,ISNUMBER($F8),$F8&gt;=0,$G8&lt;&gt;"",OR($H8="รวม VAT",$H8="ไม่รวม VAT")),1,0))</x:f>
      </x:c>
    </x:row>
    <x:row r="9" ht="30" customHeight="1">
      <x:c r="A9" s="96"/>
      <x:c r="B9" s="96"/>
      <x:c r="C9" s="36"/>
      <x:c r="D9" s="96"/>
      <x:c r="E9" s="82"/>
      <x:c r="F9" s="84"/>
      <x:c r="G9" s="36"/>
      <x:c r="H9" s="36"/>
      <x:c r="I9" s="36"/>
      <x:c r="J9" s="96"/>
      <x:c r="K9" s="82"/>
      <x:c r="L9" s="36"/>
      <x:c r="M9" s="36"/>
      <x:c r="N9" s="98" t="str">
        <x:f>IF($B9="","",IFERROR(IF(INDEX('Leads'!$AE$8:$AE$107,MATCH($B9,'Leads'!$A$8:$A$107,0))="","",INDEX('Leads'!$AE$8:$AE$107,MATCH($B9,'Leads'!$A$8:$A$107,0))),""))</x:f>
      </x:c>
      <x:c r="O9" s="42" t="str">
        <x:f>IF($B9="","",IFERROR(IF(INDEX('Leads'!$AA$8:$AA$107,MATCH($B9,'Leads'!$A$8:$A$107,0))="","",INDEX('Leads'!$AA$8:$AA$107,MATCH($B9,'Leads'!$A$8:$A$107,0))),""))</x:f>
      </x:c>
      <x:c r="P9" s="42" t="str">
        <x:f>IF(AND($A9="",$B9="",$D9=""),"",IF(AND($Q9=1,$R9=1,OR($I9="Active",AND(ISNUMBER($K9),$L9&lt;&gt;""))),"ครบ",IF($A9="","ขาด Order ID; ","")&amp;IF(AND($A9&lt;&gt;"",COUNTIF('Orders_PO'!$A$8:$A$107,$A9)&gt;1),"Order ID ซ้ำ; ","")&amp;IF(COUNTIF('Leads'!$A$8:$A$107,$B9)&lt;&gt;1,"ตรวจรหัส Lead; ","")&amp;IF(AND($B9&lt;&gt;"",IFERROR(INDEX('Leads'!$BA$8:$BA$107,MATCH($B9,'Leads'!$A$8:$A$107,0)),0)&lt;&gt;1),"Lead ยังไม่นับผลจริง; ","")&amp;IF(OR($C9="",$D9="",NOT(ISNUMBER($E9))),"ขาดบริษัท/เลข PO/วันรับ; ","")&amp;IF($J9="","ขาดหลักฐาน PO; ","")&amp;IF(NOT(OR($I9="Active",$I9="Cancelled")),"เลือกสถานะ PO; ","")&amp;IF(COUNTIFS('Orders_PO'!$C$8:$C$107,$C9,'Orders_PO'!$D$8:$D$107,$D9)&gt;1,"PO/ผู้ออกซ้ำ; ","")&amp;IF(OR(NOT(ISNUMBER($F9)),$G9="",$H9="",$H9="ไม่ทราบ"),"ตรวจมูลค่า/สกุล/ฐาน VAT; ","")&amp;IF(AND($I9="Cancelled",OR(NOT(ISNUMBER($K9)),$L9="")),"ขาดวัน/เหตุผลยกเลิก; ","")))</x:f>
      </x:c>
      <x:c r="Q9" s="42" t="str">
        <x:f>IF(AND($A9="",$B9="",$D9=""),"",IF(AND($A9&lt;&gt;"",COUNTIF('Orders_PO'!$A$8:$A$107,$A9)=1,COUNTIF('Leads'!$A$8:$A$107,$B9)=1,$N9&lt;&gt;"",IFERROR(INDEX('Leads'!$BA$8:$BA$107,MATCH($B9,'Leads'!$A$8:$A$107,0)),0)=1,$C9&lt;&gt;"",$D9&lt;&gt;"",ISNUMBER($E9),$E9&gt;0,$J9&lt;&gt;"",OR($I9="Active",$I9="Cancelled"),COUNTIFS('Orders_PO'!$C$8:$C$107,$C9,'Orders_PO'!$D$8:$D$107,$D9)=1),1,0))</x:f>
      </x:c>
      <x:c r="R9" s="42" t="str">
        <x:f>IF($Q9="","",IF(AND($Q9=1,ISNUMBER($F9),$F9&gt;=0,$G9&lt;&gt;"",OR($H9="รวม VAT",$H9="ไม่รวม VAT")),1,0))</x:f>
      </x:c>
    </x:row>
    <x:row r="10" ht="30" customHeight="1">
      <x:c r="A10" s="96"/>
      <x:c r="B10" s="96"/>
      <x:c r="C10" s="36"/>
      <x:c r="D10" s="96"/>
      <x:c r="E10" s="82"/>
      <x:c r="F10" s="84"/>
      <x:c r="G10" s="36"/>
      <x:c r="H10" s="36"/>
      <x:c r="I10" s="36"/>
      <x:c r="J10" s="96"/>
      <x:c r="K10" s="82"/>
      <x:c r="L10" s="36"/>
      <x:c r="M10" s="36"/>
      <x:c r="N10" s="98" t="str">
        <x:f>IF($B10="","",IFERROR(IF(INDEX('Leads'!$AE$8:$AE$107,MATCH($B10,'Leads'!$A$8:$A$107,0))="","",INDEX('Leads'!$AE$8:$AE$107,MATCH($B10,'Leads'!$A$8:$A$107,0))),""))</x:f>
      </x:c>
      <x:c r="O10" s="42" t="str">
        <x:f>IF($B10="","",IFERROR(IF(INDEX('Leads'!$AA$8:$AA$107,MATCH($B10,'Leads'!$A$8:$A$107,0))="","",INDEX('Leads'!$AA$8:$AA$107,MATCH($B10,'Leads'!$A$8:$A$107,0))),""))</x:f>
      </x:c>
      <x:c r="P10" s="42" t="str">
        <x:f>IF(AND($A10="",$B10="",$D10=""),"",IF(AND($Q10=1,$R10=1,OR($I10="Active",AND(ISNUMBER($K10),$L10&lt;&gt;""))),"ครบ",IF($A10="","ขาด Order ID; ","")&amp;IF(AND($A10&lt;&gt;"",COUNTIF('Orders_PO'!$A$8:$A$107,$A10)&gt;1),"Order ID ซ้ำ; ","")&amp;IF(COUNTIF('Leads'!$A$8:$A$107,$B10)&lt;&gt;1,"ตรวจรหัส Lead; ","")&amp;IF(AND($B10&lt;&gt;"",IFERROR(INDEX('Leads'!$BA$8:$BA$107,MATCH($B10,'Leads'!$A$8:$A$107,0)),0)&lt;&gt;1),"Lead ยังไม่นับผลจริง; ","")&amp;IF(OR($C10="",$D10="",NOT(ISNUMBER($E10))),"ขาดบริษัท/เลข PO/วันรับ; ","")&amp;IF($J10="","ขาดหลักฐาน PO; ","")&amp;IF(NOT(OR($I10="Active",$I10="Cancelled")),"เลือกสถานะ PO; ","")&amp;IF(COUNTIFS('Orders_PO'!$C$8:$C$107,$C10,'Orders_PO'!$D$8:$D$107,$D10)&gt;1,"PO/ผู้ออกซ้ำ; ","")&amp;IF(OR(NOT(ISNUMBER($F10)),$G10="",$H10="",$H10="ไม่ทราบ"),"ตรวจมูลค่า/สกุล/ฐาน VAT; ","")&amp;IF(AND($I10="Cancelled",OR(NOT(ISNUMBER($K10)),$L10="")),"ขาดวัน/เหตุผลยกเลิก; ","")))</x:f>
      </x:c>
      <x:c r="Q10" s="42" t="str">
        <x:f>IF(AND($A10="",$B10="",$D10=""),"",IF(AND($A10&lt;&gt;"",COUNTIF('Orders_PO'!$A$8:$A$107,$A10)=1,COUNTIF('Leads'!$A$8:$A$107,$B10)=1,$N10&lt;&gt;"",IFERROR(INDEX('Leads'!$BA$8:$BA$107,MATCH($B10,'Leads'!$A$8:$A$107,0)),0)=1,$C10&lt;&gt;"",$D10&lt;&gt;"",ISNUMBER($E10),$E10&gt;0,$J10&lt;&gt;"",OR($I10="Active",$I10="Cancelled"),COUNTIFS('Orders_PO'!$C$8:$C$107,$C10,'Orders_PO'!$D$8:$D$107,$D10)=1),1,0))</x:f>
      </x:c>
      <x:c r="R10" s="42" t="str">
        <x:f>IF($Q10="","",IF(AND($Q10=1,ISNUMBER($F10),$F10&gt;=0,$G10&lt;&gt;"",OR($H10="รวม VAT",$H10="ไม่รวม VAT")),1,0))</x:f>
      </x:c>
    </x:row>
    <x:row r="11" ht="30" customHeight="1">
      <x:c r="A11" s="96"/>
      <x:c r="B11" s="96"/>
      <x:c r="C11" s="36"/>
      <x:c r="D11" s="96"/>
      <x:c r="E11" s="82"/>
      <x:c r="F11" s="84"/>
      <x:c r="G11" s="36"/>
      <x:c r="H11" s="36"/>
      <x:c r="I11" s="36"/>
      <x:c r="J11" s="96"/>
      <x:c r="K11" s="82"/>
      <x:c r="L11" s="36"/>
      <x:c r="M11" s="36"/>
      <x:c r="N11" s="98" t="str">
        <x:f>IF($B11="","",IFERROR(IF(INDEX('Leads'!$AE$8:$AE$107,MATCH($B11,'Leads'!$A$8:$A$107,0))="","",INDEX('Leads'!$AE$8:$AE$107,MATCH($B11,'Leads'!$A$8:$A$107,0))),""))</x:f>
      </x:c>
      <x:c r="O11" s="42" t="str">
        <x:f>IF($B11="","",IFERROR(IF(INDEX('Leads'!$AA$8:$AA$107,MATCH($B11,'Leads'!$A$8:$A$107,0))="","",INDEX('Leads'!$AA$8:$AA$107,MATCH($B11,'Leads'!$A$8:$A$107,0))),""))</x:f>
      </x:c>
      <x:c r="P11" s="42" t="str">
        <x:f>IF(AND($A11="",$B11="",$D11=""),"",IF(AND($Q11=1,$R11=1,OR($I11="Active",AND(ISNUMBER($K11),$L11&lt;&gt;""))),"ครบ",IF($A11="","ขาด Order ID; ","")&amp;IF(AND($A11&lt;&gt;"",COUNTIF('Orders_PO'!$A$8:$A$107,$A11)&gt;1),"Order ID ซ้ำ; ","")&amp;IF(COUNTIF('Leads'!$A$8:$A$107,$B11)&lt;&gt;1,"ตรวจรหัส Lead; ","")&amp;IF(AND($B11&lt;&gt;"",IFERROR(INDEX('Leads'!$BA$8:$BA$107,MATCH($B11,'Leads'!$A$8:$A$107,0)),0)&lt;&gt;1),"Lead ยังไม่นับผลจริง; ","")&amp;IF(OR($C11="",$D11="",NOT(ISNUMBER($E11))),"ขาดบริษัท/เลข PO/วันรับ; ","")&amp;IF($J11="","ขาดหลักฐาน PO; ","")&amp;IF(NOT(OR($I11="Active",$I11="Cancelled")),"เลือกสถานะ PO; ","")&amp;IF(COUNTIFS('Orders_PO'!$C$8:$C$107,$C11,'Orders_PO'!$D$8:$D$107,$D11)&gt;1,"PO/ผู้ออกซ้ำ; ","")&amp;IF(OR(NOT(ISNUMBER($F11)),$G11="",$H11="",$H11="ไม่ทราบ"),"ตรวจมูลค่า/สกุล/ฐาน VAT; ","")&amp;IF(AND($I11="Cancelled",OR(NOT(ISNUMBER($K11)),$L11="")),"ขาดวัน/เหตุผลยกเลิก; ","")))</x:f>
      </x:c>
      <x:c r="Q11" s="42" t="str">
        <x:f>IF(AND($A11="",$B11="",$D11=""),"",IF(AND($A11&lt;&gt;"",COUNTIF('Orders_PO'!$A$8:$A$107,$A11)=1,COUNTIF('Leads'!$A$8:$A$107,$B11)=1,$N11&lt;&gt;"",IFERROR(INDEX('Leads'!$BA$8:$BA$107,MATCH($B11,'Leads'!$A$8:$A$107,0)),0)=1,$C11&lt;&gt;"",$D11&lt;&gt;"",ISNUMBER($E11),$E11&gt;0,$J11&lt;&gt;"",OR($I11="Active",$I11="Cancelled"),COUNTIFS('Orders_PO'!$C$8:$C$107,$C11,'Orders_PO'!$D$8:$D$107,$D11)=1),1,0))</x:f>
      </x:c>
      <x:c r="R11" s="42" t="str">
        <x:f>IF($Q11="","",IF(AND($Q11=1,ISNUMBER($F11),$F11&gt;=0,$G11&lt;&gt;"",OR($H11="รวม VAT",$H11="ไม่รวม VAT")),1,0))</x:f>
      </x:c>
    </x:row>
    <x:row r="12" ht="30" customHeight="1">
      <x:c r="A12" s="96"/>
      <x:c r="B12" s="96"/>
      <x:c r="C12" s="36"/>
      <x:c r="D12" s="96"/>
      <x:c r="E12" s="82"/>
      <x:c r="F12" s="84"/>
      <x:c r="G12" s="36"/>
      <x:c r="H12" s="36"/>
      <x:c r="I12" s="36"/>
      <x:c r="J12" s="96"/>
      <x:c r="K12" s="82"/>
      <x:c r="L12" s="36"/>
      <x:c r="M12" s="36"/>
      <x:c r="N12" s="98" t="str">
        <x:f>IF($B12="","",IFERROR(IF(INDEX('Leads'!$AE$8:$AE$107,MATCH($B12,'Leads'!$A$8:$A$107,0))="","",INDEX('Leads'!$AE$8:$AE$107,MATCH($B12,'Leads'!$A$8:$A$107,0))),""))</x:f>
      </x:c>
      <x:c r="O12" s="42" t="str">
        <x:f>IF($B12="","",IFERROR(IF(INDEX('Leads'!$AA$8:$AA$107,MATCH($B12,'Leads'!$A$8:$A$107,0))="","",INDEX('Leads'!$AA$8:$AA$107,MATCH($B12,'Leads'!$A$8:$A$107,0))),""))</x:f>
      </x:c>
      <x:c r="P12" s="42" t="str">
        <x:f>IF(AND($A12="",$B12="",$D12=""),"",IF(AND($Q12=1,$R12=1,OR($I12="Active",AND(ISNUMBER($K12),$L12&lt;&gt;""))),"ครบ",IF($A12="","ขาด Order ID; ","")&amp;IF(AND($A12&lt;&gt;"",COUNTIF('Orders_PO'!$A$8:$A$107,$A12)&gt;1),"Order ID ซ้ำ; ","")&amp;IF(COUNTIF('Leads'!$A$8:$A$107,$B12)&lt;&gt;1,"ตรวจรหัส Lead; ","")&amp;IF(AND($B12&lt;&gt;"",IFERROR(INDEX('Leads'!$BA$8:$BA$107,MATCH($B12,'Leads'!$A$8:$A$107,0)),0)&lt;&gt;1),"Lead ยังไม่นับผลจริง; ","")&amp;IF(OR($C12="",$D12="",NOT(ISNUMBER($E12))),"ขาดบริษัท/เลข PO/วันรับ; ","")&amp;IF($J12="","ขาดหลักฐาน PO; ","")&amp;IF(NOT(OR($I12="Active",$I12="Cancelled")),"เลือกสถานะ PO; ","")&amp;IF(COUNTIFS('Orders_PO'!$C$8:$C$107,$C12,'Orders_PO'!$D$8:$D$107,$D12)&gt;1,"PO/ผู้ออกซ้ำ; ","")&amp;IF(OR(NOT(ISNUMBER($F12)),$G12="",$H12="",$H12="ไม่ทราบ"),"ตรวจมูลค่า/สกุล/ฐาน VAT; ","")&amp;IF(AND($I12="Cancelled",OR(NOT(ISNUMBER($K12)),$L12="")),"ขาดวัน/เหตุผลยกเลิก; ","")))</x:f>
      </x:c>
      <x:c r="Q12" s="42" t="str">
        <x:f>IF(AND($A12="",$B12="",$D12=""),"",IF(AND($A12&lt;&gt;"",COUNTIF('Orders_PO'!$A$8:$A$107,$A12)=1,COUNTIF('Leads'!$A$8:$A$107,$B12)=1,$N12&lt;&gt;"",IFERROR(INDEX('Leads'!$BA$8:$BA$107,MATCH($B12,'Leads'!$A$8:$A$107,0)),0)=1,$C12&lt;&gt;"",$D12&lt;&gt;"",ISNUMBER($E12),$E12&gt;0,$J12&lt;&gt;"",OR($I12="Active",$I12="Cancelled"),COUNTIFS('Orders_PO'!$C$8:$C$107,$C12,'Orders_PO'!$D$8:$D$107,$D12)=1),1,0))</x:f>
      </x:c>
      <x:c r="R12" s="42" t="str">
        <x:f>IF($Q12="","",IF(AND($Q12=1,ISNUMBER($F12),$F12&gt;=0,$G12&lt;&gt;"",OR($H12="รวม VAT",$H12="ไม่รวม VAT")),1,0))</x:f>
      </x:c>
    </x:row>
    <x:row r="13" ht="30" customHeight="1">
      <x:c r="A13" s="96"/>
      <x:c r="B13" s="96"/>
      <x:c r="C13" s="36"/>
      <x:c r="D13" s="96"/>
      <x:c r="E13" s="82"/>
      <x:c r="F13" s="84"/>
      <x:c r="G13" s="36"/>
      <x:c r="H13" s="36"/>
      <x:c r="I13" s="36"/>
      <x:c r="J13" s="96"/>
      <x:c r="K13" s="82"/>
      <x:c r="L13" s="36"/>
      <x:c r="M13" s="36"/>
      <x:c r="N13" s="98" t="str">
        <x:f>IF($B13="","",IFERROR(IF(INDEX('Leads'!$AE$8:$AE$107,MATCH($B13,'Leads'!$A$8:$A$107,0))="","",INDEX('Leads'!$AE$8:$AE$107,MATCH($B13,'Leads'!$A$8:$A$107,0))),""))</x:f>
      </x:c>
      <x:c r="O13" s="42" t="str">
        <x:f>IF($B13="","",IFERROR(IF(INDEX('Leads'!$AA$8:$AA$107,MATCH($B13,'Leads'!$A$8:$A$107,0))="","",INDEX('Leads'!$AA$8:$AA$107,MATCH($B13,'Leads'!$A$8:$A$107,0))),""))</x:f>
      </x:c>
      <x:c r="P13" s="42" t="str">
        <x:f>IF(AND($A13="",$B13="",$D13=""),"",IF(AND($Q13=1,$R13=1,OR($I13="Active",AND(ISNUMBER($K13),$L13&lt;&gt;""))),"ครบ",IF($A13="","ขาด Order ID; ","")&amp;IF(AND($A13&lt;&gt;"",COUNTIF('Orders_PO'!$A$8:$A$107,$A13)&gt;1),"Order ID ซ้ำ; ","")&amp;IF(COUNTIF('Leads'!$A$8:$A$107,$B13)&lt;&gt;1,"ตรวจรหัส Lead; ","")&amp;IF(AND($B13&lt;&gt;"",IFERROR(INDEX('Leads'!$BA$8:$BA$107,MATCH($B13,'Leads'!$A$8:$A$107,0)),0)&lt;&gt;1),"Lead ยังไม่นับผลจริง; ","")&amp;IF(OR($C13="",$D13="",NOT(ISNUMBER($E13))),"ขาดบริษัท/เลข PO/วันรับ; ","")&amp;IF($J13="","ขาดหลักฐาน PO; ","")&amp;IF(NOT(OR($I13="Active",$I13="Cancelled")),"เลือกสถานะ PO; ","")&amp;IF(COUNTIFS('Orders_PO'!$C$8:$C$107,$C13,'Orders_PO'!$D$8:$D$107,$D13)&gt;1,"PO/ผู้ออกซ้ำ; ","")&amp;IF(OR(NOT(ISNUMBER($F13)),$G13="",$H13="",$H13="ไม่ทราบ"),"ตรวจมูลค่า/สกุล/ฐาน VAT; ","")&amp;IF(AND($I13="Cancelled",OR(NOT(ISNUMBER($K13)),$L13="")),"ขาดวัน/เหตุผลยกเลิก; ","")))</x:f>
      </x:c>
      <x:c r="Q13" s="42" t="str">
        <x:f>IF(AND($A13="",$B13="",$D13=""),"",IF(AND($A13&lt;&gt;"",COUNTIF('Orders_PO'!$A$8:$A$107,$A13)=1,COUNTIF('Leads'!$A$8:$A$107,$B13)=1,$N13&lt;&gt;"",IFERROR(INDEX('Leads'!$BA$8:$BA$107,MATCH($B13,'Leads'!$A$8:$A$107,0)),0)=1,$C13&lt;&gt;"",$D13&lt;&gt;"",ISNUMBER($E13),$E13&gt;0,$J13&lt;&gt;"",OR($I13="Active",$I13="Cancelled"),COUNTIFS('Orders_PO'!$C$8:$C$107,$C13,'Orders_PO'!$D$8:$D$107,$D13)=1),1,0))</x:f>
      </x:c>
      <x:c r="R13" s="42" t="str">
        <x:f>IF($Q13="","",IF(AND($Q13=1,ISNUMBER($F13),$F13&gt;=0,$G13&lt;&gt;"",OR($H13="รวม VAT",$H13="ไม่รวม VAT")),1,0))</x:f>
      </x:c>
    </x:row>
    <x:row r="14" ht="30" customHeight="1">
      <x:c r="A14" s="96"/>
      <x:c r="B14" s="96"/>
      <x:c r="C14" s="36"/>
      <x:c r="D14" s="96"/>
      <x:c r="E14" s="82"/>
      <x:c r="F14" s="84"/>
      <x:c r="G14" s="36"/>
      <x:c r="H14" s="36"/>
      <x:c r="I14" s="36"/>
      <x:c r="J14" s="96"/>
      <x:c r="K14" s="82"/>
      <x:c r="L14" s="36"/>
      <x:c r="M14" s="36"/>
      <x:c r="N14" s="98" t="str">
        <x:f>IF($B14="","",IFERROR(IF(INDEX('Leads'!$AE$8:$AE$107,MATCH($B14,'Leads'!$A$8:$A$107,0))="","",INDEX('Leads'!$AE$8:$AE$107,MATCH($B14,'Leads'!$A$8:$A$107,0))),""))</x:f>
      </x:c>
      <x:c r="O14" s="42" t="str">
        <x:f>IF($B14="","",IFERROR(IF(INDEX('Leads'!$AA$8:$AA$107,MATCH($B14,'Leads'!$A$8:$A$107,0))="","",INDEX('Leads'!$AA$8:$AA$107,MATCH($B14,'Leads'!$A$8:$A$107,0))),""))</x:f>
      </x:c>
      <x:c r="P14" s="42" t="str">
        <x:f>IF(AND($A14="",$B14="",$D14=""),"",IF(AND($Q14=1,$R14=1,OR($I14="Active",AND(ISNUMBER($K14),$L14&lt;&gt;""))),"ครบ",IF($A14="","ขาด Order ID; ","")&amp;IF(AND($A14&lt;&gt;"",COUNTIF('Orders_PO'!$A$8:$A$107,$A14)&gt;1),"Order ID ซ้ำ; ","")&amp;IF(COUNTIF('Leads'!$A$8:$A$107,$B14)&lt;&gt;1,"ตรวจรหัส Lead; ","")&amp;IF(AND($B14&lt;&gt;"",IFERROR(INDEX('Leads'!$BA$8:$BA$107,MATCH($B14,'Leads'!$A$8:$A$107,0)),0)&lt;&gt;1),"Lead ยังไม่นับผลจริง; ","")&amp;IF(OR($C14="",$D14="",NOT(ISNUMBER($E14))),"ขาดบริษัท/เลข PO/วันรับ; ","")&amp;IF($J14="","ขาดหลักฐาน PO; ","")&amp;IF(NOT(OR($I14="Active",$I14="Cancelled")),"เลือกสถานะ PO; ","")&amp;IF(COUNTIFS('Orders_PO'!$C$8:$C$107,$C14,'Orders_PO'!$D$8:$D$107,$D14)&gt;1,"PO/ผู้ออกซ้ำ; ","")&amp;IF(OR(NOT(ISNUMBER($F14)),$G14="",$H14="",$H14="ไม่ทราบ"),"ตรวจมูลค่า/สกุล/ฐาน VAT; ","")&amp;IF(AND($I14="Cancelled",OR(NOT(ISNUMBER($K14)),$L14="")),"ขาดวัน/เหตุผลยกเลิก; ","")))</x:f>
      </x:c>
      <x:c r="Q14" s="42" t="str">
        <x:f>IF(AND($A14="",$B14="",$D14=""),"",IF(AND($A14&lt;&gt;"",COUNTIF('Orders_PO'!$A$8:$A$107,$A14)=1,COUNTIF('Leads'!$A$8:$A$107,$B14)=1,$N14&lt;&gt;"",IFERROR(INDEX('Leads'!$BA$8:$BA$107,MATCH($B14,'Leads'!$A$8:$A$107,0)),0)=1,$C14&lt;&gt;"",$D14&lt;&gt;"",ISNUMBER($E14),$E14&gt;0,$J14&lt;&gt;"",OR($I14="Active",$I14="Cancelled"),COUNTIFS('Orders_PO'!$C$8:$C$107,$C14,'Orders_PO'!$D$8:$D$107,$D14)=1),1,0))</x:f>
      </x:c>
      <x:c r="R14" s="42" t="str">
        <x:f>IF($Q14="","",IF(AND($Q14=1,ISNUMBER($F14),$F14&gt;=0,$G14&lt;&gt;"",OR($H14="รวม VAT",$H14="ไม่รวม VAT")),1,0))</x:f>
      </x:c>
    </x:row>
    <x:row r="15" ht="30" customHeight="1">
      <x:c r="A15" s="96"/>
      <x:c r="B15" s="96"/>
      <x:c r="C15" s="36"/>
      <x:c r="D15" s="96"/>
      <x:c r="E15" s="82"/>
      <x:c r="F15" s="84"/>
      <x:c r="G15" s="36"/>
      <x:c r="H15" s="36"/>
      <x:c r="I15" s="36"/>
      <x:c r="J15" s="96"/>
      <x:c r="K15" s="82"/>
      <x:c r="L15" s="36"/>
      <x:c r="M15" s="36"/>
      <x:c r="N15" s="98" t="str">
        <x:f>IF($B15="","",IFERROR(IF(INDEX('Leads'!$AE$8:$AE$107,MATCH($B15,'Leads'!$A$8:$A$107,0))="","",INDEX('Leads'!$AE$8:$AE$107,MATCH($B15,'Leads'!$A$8:$A$107,0))),""))</x:f>
      </x:c>
      <x:c r="O15" s="42" t="str">
        <x:f>IF($B15="","",IFERROR(IF(INDEX('Leads'!$AA$8:$AA$107,MATCH($B15,'Leads'!$A$8:$A$107,0))="","",INDEX('Leads'!$AA$8:$AA$107,MATCH($B15,'Leads'!$A$8:$A$107,0))),""))</x:f>
      </x:c>
      <x:c r="P15" s="42" t="str">
        <x:f>IF(AND($A15="",$B15="",$D15=""),"",IF(AND($Q15=1,$R15=1,OR($I15="Active",AND(ISNUMBER($K15),$L15&lt;&gt;""))),"ครบ",IF($A15="","ขาด Order ID; ","")&amp;IF(AND($A15&lt;&gt;"",COUNTIF('Orders_PO'!$A$8:$A$107,$A15)&gt;1),"Order ID ซ้ำ; ","")&amp;IF(COUNTIF('Leads'!$A$8:$A$107,$B15)&lt;&gt;1,"ตรวจรหัส Lead; ","")&amp;IF(AND($B15&lt;&gt;"",IFERROR(INDEX('Leads'!$BA$8:$BA$107,MATCH($B15,'Leads'!$A$8:$A$107,0)),0)&lt;&gt;1),"Lead ยังไม่นับผลจริง; ","")&amp;IF(OR($C15="",$D15="",NOT(ISNUMBER($E15))),"ขาดบริษัท/เลข PO/วันรับ; ","")&amp;IF($J15="","ขาดหลักฐาน PO; ","")&amp;IF(NOT(OR($I15="Active",$I15="Cancelled")),"เลือกสถานะ PO; ","")&amp;IF(COUNTIFS('Orders_PO'!$C$8:$C$107,$C15,'Orders_PO'!$D$8:$D$107,$D15)&gt;1,"PO/ผู้ออกซ้ำ; ","")&amp;IF(OR(NOT(ISNUMBER($F15)),$G15="",$H15="",$H15="ไม่ทราบ"),"ตรวจมูลค่า/สกุล/ฐาน VAT; ","")&amp;IF(AND($I15="Cancelled",OR(NOT(ISNUMBER($K15)),$L15="")),"ขาดวัน/เหตุผลยกเลิก; ","")))</x:f>
      </x:c>
      <x:c r="Q15" s="42" t="str">
        <x:f>IF(AND($A15="",$B15="",$D15=""),"",IF(AND($A15&lt;&gt;"",COUNTIF('Orders_PO'!$A$8:$A$107,$A15)=1,COUNTIF('Leads'!$A$8:$A$107,$B15)=1,$N15&lt;&gt;"",IFERROR(INDEX('Leads'!$BA$8:$BA$107,MATCH($B15,'Leads'!$A$8:$A$107,0)),0)=1,$C15&lt;&gt;"",$D15&lt;&gt;"",ISNUMBER($E15),$E15&gt;0,$J15&lt;&gt;"",OR($I15="Active",$I15="Cancelled"),COUNTIFS('Orders_PO'!$C$8:$C$107,$C15,'Orders_PO'!$D$8:$D$107,$D15)=1),1,0))</x:f>
      </x:c>
      <x:c r="R15" s="42" t="str">
        <x:f>IF($Q15="","",IF(AND($Q15=1,ISNUMBER($F15),$F15&gt;=0,$G15&lt;&gt;"",OR($H15="รวม VAT",$H15="ไม่รวม VAT")),1,0))</x:f>
      </x:c>
    </x:row>
    <x:row r="16" ht="30" customHeight="1">
      <x:c r="A16" s="96"/>
      <x:c r="B16" s="96"/>
      <x:c r="C16" s="36"/>
      <x:c r="D16" s="96"/>
      <x:c r="E16" s="82"/>
      <x:c r="F16" s="84"/>
      <x:c r="G16" s="36"/>
      <x:c r="H16" s="36"/>
      <x:c r="I16" s="36"/>
      <x:c r="J16" s="96"/>
      <x:c r="K16" s="82"/>
      <x:c r="L16" s="36"/>
      <x:c r="M16" s="36"/>
      <x:c r="N16" s="98" t="str">
        <x:f>IF($B16="","",IFERROR(IF(INDEX('Leads'!$AE$8:$AE$107,MATCH($B16,'Leads'!$A$8:$A$107,0))="","",INDEX('Leads'!$AE$8:$AE$107,MATCH($B16,'Leads'!$A$8:$A$107,0))),""))</x:f>
      </x:c>
      <x:c r="O16" s="42" t="str">
        <x:f>IF($B16="","",IFERROR(IF(INDEX('Leads'!$AA$8:$AA$107,MATCH($B16,'Leads'!$A$8:$A$107,0))="","",INDEX('Leads'!$AA$8:$AA$107,MATCH($B16,'Leads'!$A$8:$A$107,0))),""))</x:f>
      </x:c>
      <x:c r="P16" s="42" t="str">
        <x:f>IF(AND($A16="",$B16="",$D16=""),"",IF(AND($Q16=1,$R16=1,OR($I16="Active",AND(ISNUMBER($K16),$L16&lt;&gt;""))),"ครบ",IF($A16="","ขาด Order ID; ","")&amp;IF(AND($A16&lt;&gt;"",COUNTIF('Orders_PO'!$A$8:$A$107,$A16)&gt;1),"Order ID ซ้ำ; ","")&amp;IF(COUNTIF('Leads'!$A$8:$A$107,$B16)&lt;&gt;1,"ตรวจรหัส Lead; ","")&amp;IF(AND($B16&lt;&gt;"",IFERROR(INDEX('Leads'!$BA$8:$BA$107,MATCH($B16,'Leads'!$A$8:$A$107,0)),0)&lt;&gt;1),"Lead ยังไม่นับผลจริง; ","")&amp;IF(OR($C16="",$D16="",NOT(ISNUMBER($E16))),"ขาดบริษัท/เลข PO/วันรับ; ","")&amp;IF($J16="","ขาดหลักฐาน PO; ","")&amp;IF(NOT(OR($I16="Active",$I16="Cancelled")),"เลือกสถานะ PO; ","")&amp;IF(COUNTIFS('Orders_PO'!$C$8:$C$107,$C16,'Orders_PO'!$D$8:$D$107,$D16)&gt;1,"PO/ผู้ออกซ้ำ; ","")&amp;IF(OR(NOT(ISNUMBER($F16)),$G16="",$H16="",$H16="ไม่ทราบ"),"ตรวจมูลค่า/สกุล/ฐาน VAT; ","")&amp;IF(AND($I16="Cancelled",OR(NOT(ISNUMBER($K16)),$L16="")),"ขาดวัน/เหตุผลยกเลิก; ","")))</x:f>
      </x:c>
      <x:c r="Q16" s="42" t="str">
        <x:f>IF(AND($A16="",$B16="",$D16=""),"",IF(AND($A16&lt;&gt;"",COUNTIF('Orders_PO'!$A$8:$A$107,$A16)=1,COUNTIF('Leads'!$A$8:$A$107,$B16)=1,$N16&lt;&gt;"",IFERROR(INDEX('Leads'!$BA$8:$BA$107,MATCH($B16,'Leads'!$A$8:$A$107,0)),0)=1,$C16&lt;&gt;"",$D16&lt;&gt;"",ISNUMBER($E16),$E16&gt;0,$J16&lt;&gt;"",OR($I16="Active",$I16="Cancelled"),COUNTIFS('Orders_PO'!$C$8:$C$107,$C16,'Orders_PO'!$D$8:$D$107,$D16)=1),1,0))</x:f>
      </x:c>
      <x:c r="R16" s="42" t="str">
        <x:f>IF($Q16="","",IF(AND($Q16=1,ISNUMBER($F16),$F16&gt;=0,$G16&lt;&gt;"",OR($H16="รวม VAT",$H16="ไม่รวม VAT")),1,0))</x:f>
      </x:c>
    </x:row>
    <x:row r="17" ht="30" customHeight="1">
      <x:c r="A17" s="96"/>
      <x:c r="B17" s="96"/>
      <x:c r="C17" s="36"/>
      <x:c r="D17" s="96"/>
      <x:c r="E17" s="82"/>
      <x:c r="F17" s="84"/>
      <x:c r="G17" s="36"/>
      <x:c r="H17" s="36"/>
      <x:c r="I17" s="36"/>
      <x:c r="J17" s="96"/>
      <x:c r="K17" s="82"/>
      <x:c r="L17" s="36"/>
      <x:c r="M17" s="36"/>
      <x:c r="N17" s="98" t="str">
        <x:f>IF($B17="","",IFERROR(IF(INDEX('Leads'!$AE$8:$AE$107,MATCH($B17,'Leads'!$A$8:$A$107,0))="","",INDEX('Leads'!$AE$8:$AE$107,MATCH($B17,'Leads'!$A$8:$A$107,0))),""))</x:f>
      </x:c>
      <x:c r="O17" s="42" t="str">
        <x:f>IF($B17="","",IFERROR(IF(INDEX('Leads'!$AA$8:$AA$107,MATCH($B17,'Leads'!$A$8:$A$107,0))="","",INDEX('Leads'!$AA$8:$AA$107,MATCH($B17,'Leads'!$A$8:$A$107,0))),""))</x:f>
      </x:c>
      <x:c r="P17" s="42" t="str">
        <x:f>IF(AND($A17="",$B17="",$D17=""),"",IF(AND($Q17=1,$R17=1,OR($I17="Active",AND(ISNUMBER($K17),$L17&lt;&gt;""))),"ครบ",IF($A17="","ขาด Order ID; ","")&amp;IF(AND($A17&lt;&gt;"",COUNTIF('Orders_PO'!$A$8:$A$107,$A17)&gt;1),"Order ID ซ้ำ; ","")&amp;IF(COUNTIF('Leads'!$A$8:$A$107,$B17)&lt;&gt;1,"ตรวจรหัส Lead; ","")&amp;IF(AND($B17&lt;&gt;"",IFERROR(INDEX('Leads'!$BA$8:$BA$107,MATCH($B17,'Leads'!$A$8:$A$107,0)),0)&lt;&gt;1),"Lead ยังไม่นับผลจริง; ","")&amp;IF(OR($C17="",$D17="",NOT(ISNUMBER($E17))),"ขาดบริษัท/เลข PO/วันรับ; ","")&amp;IF($J17="","ขาดหลักฐาน PO; ","")&amp;IF(NOT(OR($I17="Active",$I17="Cancelled")),"เลือกสถานะ PO; ","")&amp;IF(COUNTIFS('Orders_PO'!$C$8:$C$107,$C17,'Orders_PO'!$D$8:$D$107,$D17)&gt;1,"PO/ผู้ออกซ้ำ; ","")&amp;IF(OR(NOT(ISNUMBER($F17)),$G17="",$H17="",$H17="ไม่ทราบ"),"ตรวจมูลค่า/สกุล/ฐาน VAT; ","")&amp;IF(AND($I17="Cancelled",OR(NOT(ISNUMBER($K17)),$L17="")),"ขาดวัน/เหตุผลยกเลิก; ","")))</x:f>
      </x:c>
      <x:c r="Q17" s="42" t="str">
        <x:f>IF(AND($A17="",$B17="",$D17=""),"",IF(AND($A17&lt;&gt;"",COUNTIF('Orders_PO'!$A$8:$A$107,$A17)=1,COUNTIF('Leads'!$A$8:$A$107,$B17)=1,$N17&lt;&gt;"",IFERROR(INDEX('Leads'!$BA$8:$BA$107,MATCH($B17,'Leads'!$A$8:$A$107,0)),0)=1,$C17&lt;&gt;"",$D17&lt;&gt;"",ISNUMBER($E17),$E17&gt;0,$J17&lt;&gt;"",OR($I17="Active",$I17="Cancelled"),COUNTIFS('Orders_PO'!$C$8:$C$107,$C17,'Orders_PO'!$D$8:$D$107,$D17)=1),1,0))</x:f>
      </x:c>
      <x:c r="R17" s="42" t="str">
        <x:f>IF($Q17="","",IF(AND($Q17=1,ISNUMBER($F17),$F17&gt;=0,$G17&lt;&gt;"",OR($H17="รวม VAT",$H17="ไม่รวม VAT")),1,0))</x:f>
      </x:c>
    </x:row>
    <x:row r="18" ht="30" customHeight="1">
      <x:c r="A18" s="96"/>
      <x:c r="B18" s="96"/>
      <x:c r="C18" s="36"/>
      <x:c r="D18" s="96"/>
      <x:c r="E18" s="82"/>
      <x:c r="F18" s="84"/>
      <x:c r="G18" s="36"/>
      <x:c r="H18" s="36"/>
      <x:c r="I18" s="36"/>
      <x:c r="J18" s="96"/>
      <x:c r="K18" s="82"/>
      <x:c r="L18" s="36"/>
      <x:c r="M18" s="36"/>
      <x:c r="N18" s="98" t="str">
        <x:f>IF($B18="","",IFERROR(IF(INDEX('Leads'!$AE$8:$AE$107,MATCH($B18,'Leads'!$A$8:$A$107,0))="","",INDEX('Leads'!$AE$8:$AE$107,MATCH($B18,'Leads'!$A$8:$A$107,0))),""))</x:f>
      </x:c>
      <x:c r="O18" s="42" t="str">
        <x:f>IF($B18="","",IFERROR(IF(INDEX('Leads'!$AA$8:$AA$107,MATCH($B18,'Leads'!$A$8:$A$107,0))="","",INDEX('Leads'!$AA$8:$AA$107,MATCH($B18,'Leads'!$A$8:$A$107,0))),""))</x:f>
      </x:c>
      <x:c r="P18" s="42" t="str">
        <x:f>IF(AND($A18="",$B18="",$D18=""),"",IF(AND($Q18=1,$R18=1,OR($I18="Active",AND(ISNUMBER($K18),$L18&lt;&gt;""))),"ครบ",IF($A18="","ขาด Order ID; ","")&amp;IF(AND($A18&lt;&gt;"",COUNTIF('Orders_PO'!$A$8:$A$107,$A18)&gt;1),"Order ID ซ้ำ; ","")&amp;IF(COUNTIF('Leads'!$A$8:$A$107,$B18)&lt;&gt;1,"ตรวจรหัส Lead; ","")&amp;IF(AND($B18&lt;&gt;"",IFERROR(INDEX('Leads'!$BA$8:$BA$107,MATCH($B18,'Leads'!$A$8:$A$107,0)),0)&lt;&gt;1),"Lead ยังไม่นับผลจริง; ","")&amp;IF(OR($C18="",$D18="",NOT(ISNUMBER($E18))),"ขาดบริษัท/เลข PO/วันรับ; ","")&amp;IF($J18="","ขาดหลักฐาน PO; ","")&amp;IF(NOT(OR($I18="Active",$I18="Cancelled")),"เลือกสถานะ PO; ","")&amp;IF(COUNTIFS('Orders_PO'!$C$8:$C$107,$C18,'Orders_PO'!$D$8:$D$107,$D18)&gt;1,"PO/ผู้ออกซ้ำ; ","")&amp;IF(OR(NOT(ISNUMBER($F18)),$G18="",$H18="",$H18="ไม่ทราบ"),"ตรวจมูลค่า/สกุล/ฐาน VAT; ","")&amp;IF(AND($I18="Cancelled",OR(NOT(ISNUMBER($K18)),$L18="")),"ขาดวัน/เหตุผลยกเลิก; ","")))</x:f>
      </x:c>
      <x:c r="Q18" s="42" t="str">
        <x:f>IF(AND($A18="",$B18="",$D18=""),"",IF(AND($A18&lt;&gt;"",COUNTIF('Orders_PO'!$A$8:$A$107,$A18)=1,COUNTIF('Leads'!$A$8:$A$107,$B18)=1,$N18&lt;&gt;"",IFERROR(INDEX('Leads'!$BA$8:$BA$107,MATCH($B18,'Leads'!$A$8:$A$107,0)),0)=1,$C18&lt;&gt;"",$D18&lt;&gt;"",ISNUMBER($E18),$E18&gt;0,$J18&lt;&gt;"",OR($I18="Active",$I18="Cancelled"),COUNTIFS('Orders_PO'!$C$8:$C$107,$C18,'Orders_PO'!$D$8:$D$107,$D18)=1),1,0))</x:f>
      </x:c>
      <x:c r="R18" s="42" t="str">
        <x:f>IF($Q18="","",IF(AND($Q18=1,ISNUMBER($F18),$F18&gt;=0,$G18&lt;&gt;"",OR($H18="รวม VAT",$H18="ไม่รวม VAT")),1,0))</x:f>
      </x:c>
    </x:row>
    <x:row r="19" ht="30" customHeight="1">
      <x:c r="A19" s="96"/>
      <x:c r="B19" s="96"/>
      <x:c r="C19" s="36"/>
      <x:c r="D19" s="96"/>
      <x:c r="E19" s="82"/>
      <x:c r="F19" s="84"/>
      <x:c r="G19" s="36"/>
      <x:c r="H19" s="36"/>
      <x:c r="I19" s="36"/>
      <x:c r="J19" s="96"/>
      <x:c r="K19" s="82"/>
      <x:c r="L19" s="36"/>
      <x:c r="M19" s="36"/>
      <x:c r="N19" s="98" t="str">
        <x:f>IF($B19="","",IFERROR(IF(INDEX('Leads'!$AE$8:$AE$107,MATCH($B19,'Leads'!$A$8:$A$107,0))="","",INDEX('Leads'!$AE$8:$AE$107,MATCH($B19,'Leads'!$A$8:$A$107,0))),""))</x:f>
      </x:c>
      <x:c r="O19" s="42" t="str">
        <x:f>IF($B19="","",IFERROR(IF(INDEX('Leads'!$AA$8:$AA$107,MATCH($B19,'Leads'!$A$8:$A$107,0))="","",INDEX('Leads'!$AA$8:$AA$107,MATCH($B19,'Leads'!$A$8:$A$107,0))),""))</x:f>
      </x:c>
      <x:c r="P19" s="42" t="str">
        <x:f>IF(AND($A19="",$B19="",$D19=""),"",IF(AND($Q19=1,$R19=1,OR($I19="Active",AND(ISNUMBER($K19),$L19&lt;&gt;""))),"ครบ",IF($A19="","ขาด Order ID; ","")&amp;IF(AND($A19&lt;&gt;"",COUNTIF('Orders_PO'!$A$8:$A$107,$A19)&gt;1),"Order ID ซ้ำ; ","")&amp;IF(COUNTIF('Leads'!$A$8:$A$107,$B19)&lt;&gt;1,"ตรวจรหัส Lead; ","")&amp;IF(AND($B19&lt;&gt;"",IFERROR(INDEX('Leads'!$BA$8:$BA$107,MATCH($B19,'Leads'!$A$8:$A$107,0)),0)&lt;&gt;1),"Lead ยังไม่นับผลจริง; ","")&amp;IF(OR($C19="",$D19="",NOT(ISNUMBER($E19))),"ขาดบริษัท/เลข PO/วันรับ; ","")&amp;IF($J19="","ขาดหลักฐาน PO; ","")&amp;IF(NOT(OR($I19="Active",$I19="Cancelled")),"เลือกสถานะ PO; ","")&amp;IF(COUNTIFS('Orders_PO'!$C$8:$C$107,$C19,'Orders_PO'!$D$8:$D$107,$D19)&gt;1,"PO/ผู้ออกซ้ำ; ","")&amp;IF(OR(NOT(ISNUMBER($F19)),$G19="",$H19="",$H19="ไม่ทราบ"),"ตรวจมูลค่า/สกุล/ฐาน VAT; ","")&amp;IF(AND($I19="Cancelled",OR(NOT(ISNUMBER($K19)),$L19="")),"ขาดวัน/เหตุผลยกเลิก; ","")))</x:f>
      </x:c>
      <x:c r="Q19" s="42" t="str">
        <x:f>IF(AND($A19="",$B19="",$D19=""),"",IF(AND($A19&lt;&gt;"",COUNTIF('Orders_PO'!$A$8:$A$107,$A19)=1,COUNTIF('Leads'!$A$8:$A$107,$B19)=1,$N19&lt;&gt;"",IFERROR(INDEX('Leads'!$BA$8:$BA$107,MATCH($B19,'Leads'!$A$8:$A$107,0)),0)=1,$C19&lt;&gt;"",$D19&lt;&gt;"",ISNUMBER($E19),$E19&gt;0,$J19&lt;&gt;"",OR($I19="Active",$I19="Cancelled"),COUNTIFS('Orders_PO'!$C$8:$C$107,$C19,'Orders_PO'!$D$8:$D$107,$D19)=1),1,0))</x:f>
      </x:c>
      <x:c r="R19" s="42" t="str">
        <x:f>IF($Q19="","",IF(AND($Q19=1,ISNUMBER($F19),$F19&gt;=0,$G19&lt;&gt;"",OR($H19="รวม VAT",$H19="ไม่รวม VAT")),1,0))</x:f>
      </x:c>
    </x:row>
    <x:row r="20" ht="30" customHeight="1">
      <x:c r="A20" s="96"/>
      <x:c r="B20" s="96"/>
      <x:c r="C20" s="36"/>
      <x:c r="D20" s="96"/>
      <x:c r="E20" s="82"/>
      <x:c r="F20" s="84"/>
      <x:c r="G20" s="36"/>
      <x:c r="H20" s="36"/>
      <x:c r="I20" s="36"/>
      <x:c r="J20" s="96"/>
      <x:c r="K20" s="82"/>
      <x:c r="L20" s="36"/>
      <x:c r="M20" s="36"/>
      <x:c r="N20" s="98" t="str">
        <x:f>IF($B20="","",IFERROR(IF(INDEX('Leads'!$AE$8:$AE$107,MATCH($B20,'Leads'!$A$8:$A$107,0))="","",INDEX('Leads'!$AE$8:$AE$107,MATCH($B20,'Leads'!$A$8:$A$107,0))),""))</x:f>
      </x:c>
      <x:c r="O20" s="42" t="str">
        <x:f>IF($B20="","",IFERROR(IF(INDEX('Leads'!$AA$8:$AA$107,MATCH($B20,'Leads'!$A$8:$A$107,0))="","",INDEX('Leads'!$AA$8:$AA$107,MATCH($B20,'Leads'!$A$8:$A$107,0))),""))</x:f>
      </x:c>
      <x:c r="P20" s="42" t="str">
        <x:f>IF(AND($A20="",$B20="",$D20=""),"",IF(AND($Q20=1,$R20=1,OR($I20="Active",AND(ISNUMBER($K20),$L20&lt;&gt;""))),"ครบ",IF($A20="","ขาด Order ID; ","")&amp;IF(AND($A20&lt;&gt;"",COUNTIF('Orders_PO'!$A$8:$A$107,$A20)&gt;1),"Order ID ซ้ำ; ","")&amp;IF(COUNTIF('Leads'!$A$8:$A$107,$B20)&lt;&gt;1,"ตรวจรหัส Lead; ","")&amp;IF(AND($B20&lt;&gt;"",IFERROR(INDEX('Leads'!$BA$8:$BA$107,MATCH($B20,'Leads'!$A$8:$A$107,0)),0)&lt;&gt;1),"Lead ยังไม่นับผลจริง; ","")&amp;IF(OR($C20="",$D20="",NOT(ISNUMBER($E20))),"ขาดบริษัท/เลข PO/วันรับ; ","")&amp;IF($J20="","ขาดหลักฐาน PO; ","")&amp;IF(NOT(OR($I20="Active",$I20="Cancelled")),"เลือกสถานะ PO; ","")&amp;IF(COUNTIFS('Orders_PO'!$C$8:$C$107,$C20,'Orders_PO'!$D$8:$D$107,$D20)&gt;1,"PO/ผู้ออกซ้ำ; ","")&amp;IF(OR(NOT(ISNUMBER($F20)),$G20="",$H20="",$H20="ไม่ทราบ"),"ตรวจมูลค่า/สกุล/ฐาน VAT; ","")&amp;IF(AND($I20="Cancelled",OR(NOT(ISNUMBER($K20)),$L20="")),"ขาดวัน/เหตุผลยกเลิก; ","")))</x:f>
      </x:c>
      <x:c r="Q20" s="42" t="str">
        <x:f>IF(AND($A20="",$B20="",$D20=""),"",IF(AND($A20&lt;&gt;"",COUNTIF('Orders_PO'!$A$8:$A$107,$A20)=1,COUNTIF('Leads'!$A$8:$A$107,$B20)=1,$N20&lt;&gt;"",IFERROR(INDEX('Leads'!$BA$8:$BA$107,MATCH($B20,'Leads'!$A$8:$A$107,0)),0)=1,$C20&lt;&gt;"",$D20&lt;&gt;"",ISNUMBER($E20),$E20&gt;0,$J20&lt;&gt;"",OR($I20="Active",$I20="Cancelled"),COUNTIFS('Orders_PO'!$C$8:$C$107,$C20,'Orders_PO'!$D$8:$D$107,$D20)=1),1,0))</x:f>
      </x:c>
      <x:c r="R20" s="42" t="str">
        <x:f>IF($Q20="","",IF(AND($Q20=1,ISNUMBER($F20),$F20&gt;=0,$G20&lt;&gt;"",OR($H20="รวม VAT",$H20="ไม่รวม VAT")),1,0))</x:f>
      </x:c>
    </x:row>
    <x:row r="21" ht="30" customHeight="1">
      <x:c r="A21" s="96"/>
      <x:c r="B21" s="96"/>
      <x:c r="C21" s="36"/>
      <x:c r="D21" s="96"/>
      <x:c r="E21" s="82"/>
      <x:c r="F21" s="84"/>
      <x:c r="G21" s="36"/>
      <x:c r="H21" s="36"/>
      <x:c r="I21" s="36"/>
      <x:c r="J21" s="96"/>
      <x:c r="K21" s="82"/>
      <x:c r="L21" s="36"/>
      <x:c r="M21" s="36"/>
      <x:c r="N21" s="98" t="str">
        <x:f>IF($B21="","",IFERROR(IF(INDEX('Leads'!$AE$8:$AE$107,MATCH($B21,'Leads'!$A$8:$A$107,0))="","",INDEX('Leads'!$AE$8:$AE$107,MATCH($B21,'Leads'!$A$8:$A$107,0))),""))</x:f>
      </x:c>
      <x:c r="O21" s="42" t="str">
        <x:f>IF($B21="","",IFERROR(IF(INDEX('Leads'!$AA$8:$AA$107,MATCH($B21,'Leads'!$A$8:$A$107,0))="","",INDEX('Leads'!$AA$8:$AA$107,MATCH($B21,'Leads'!$A$8:$A$107,0))),""))</x:f>
      </x:c>
      <x:c r="P21" s="42" t="str">
        <x:f>IF(AND($A21="",$B21="",$D21=""),"",IF(AND($Q21=1,$R21=1,OR($I21="Active",AND(ISNUMBER($K21),$L21&lt;&gt;""))),"ครบ",IF($A21="","ขาด Order ID; ","")&amp;IF(AND($A21&lt;&gt;"",COUNTIF('Orders_PO'!$A$8:$A$107,$A21)&gt;1),"Order ID ซ้ำ; ","")&amp;IF(COUNTIF('Leads'!$A$8:$A$107,$B21)&lt;&gt;1,"ตรวจรหัส Lead; ","")&amp;IF(AND($B21&lt;&gt;"",IFERROR(INDEX('Leads'!$BA$8:$BA$107,MATCH($B21,'Leads'!$A$8:$A$107,0)),0)&lt;&gt;1),"Lead ยังไม่นับผลจริง; ","")&amp;IF(OR($C21="",$D21="",NOT(ISNUMBER($E21))),"ขาดบริษัท/เลข PO/วันรับ; ","")&amp;IF($J21="","ขาดหลักฐาน PO; ","")&amp;IF(NOT(OR($I21="Active",$I21="Cancelled")),"เลือกสถานะ PO; ","")&amp;IF(COUNTIFS('Orders_PO'!$C$8:$C$107,$C21,'Orders_PO'!$D$8:$D$107,$D21)&gt;1,"PO/ผู้ออกซ้ำ; ","")&amp;IF(OR(NOT(ISNUMBER($F21)),$G21="",$H21="",$H21="ไม่ทราบ"),"ตรวจมูลค่า/สกุล/ฐาน VAT; ","")&amp;IF(AND($I21="Cancelled",OR(NOT(ISNUMBER($K21)),$L21="")),"ขาดวัน/เหตุผลยกเลิก; ","")))</x:f>
      </x:c>
      <x:c r="Q21" s="42" t="str">
        <x:f>IF(AND($A21="",$B21="",$D21=""),"",IF(AND($A21&lt;&gt;"",COUNTIF('Orders_PO'!$A$8:$A$107,$A21)=1,COUNTIF('Leads'!$A$8:$A$107,$B21)=1,$N21&lt;&gt;"",IFERROR(INDEX('Leads'!$BA$8:$BA$107,MATCH($B21,'Leads'!$A$8:$A$107,0)),0)=1,$C21&lt;&gt;"",$D21&lt;&gt;"",ISNUMBER($E21),$E21&gt;0,$J21&lt;&gt;"",OR($I21="Active",$I21="Cancelled"),COUNTIFS('Orders_PO'!$C$8:$C$107,$C21,'Orders_PO'!$D$8:$D$107,$D21)=1),1,0))</x:f>
      </x:c>
      <x:c r="R21" s="42" t="str">
        <x:f>IF($Q21="","",IF(AND($Q21=1,ISNUMBER($F21),$F21&gt;=0,$G21&lt;&gt;"",OR($H21="รวม VAT",$H21="ไม่รวม VAT")),1,0))</x:f>
      </x:c>
    </x:row>
    <x:row r="22" ht="30" customHeight="1">
      <x:c r="A22" s="96"/>
      <x:c r="B22" s="96"/>
      <x:c r="C22" s="36"/>
      <x:c r="D22" s="96"/>
      <x:c r="E22" s="82"/>
      <x:c r="F22" s="84"/>
      <x:c r="G22" s="36"/>
      <x:c r="H22" s="36"/>
      <x:c r="I22" s="36"/>
      <x:c r="J22" s="96"/>
      <x:c r="K22" s="82"/>
      <x:c r="L22" s="36"/>
      <x:c r="M22" s="36"/>
      <x:c r="N22" s="98" t="str">
        <x:f>IF($B22="","",IFERROR(IF(INDEX('Leads'!$AE$8:$AE$107,MATCH($B22,'Leads'!$A$8:$A$107,0))="","",INDEX('Leads'!$AE$8:$AE$107,MATCH($B22,'Leads'!$A$8:$A$107,0))),""))</x:f>
      </x:c>
      <x:c r="O22" s="42" t="str">
        <x:f>IF($B22="","",IFERROR(IF(INDEX('Leads'!$AA$8:$AA$107,MATCH($B22,'Leads'!$A$8:$A$107,0))="","",INDEX('Leads'!$AA$8:$AA$107,MATCH($B22,'Leads'!$A$8:$A$107,0))),""))</x:f>
      </x:c>
      <x:c r="P22" s="42" t="str">
        <x:f>IF(AND($A22="",$B22="",$D22=""),"",IF(AND($Q22=1,$R22=1,OR($I22="Active",AND(ISNUMBER($K22),$L22&lt;&gt;""))),"ครบ",IF($A22="","ขาด Order ID; ","")&amp;IF(AND($A22&lt;&gt;"",COUNTIF('Orders_PO'!$A$8:$A$107,$A22)&gt;1),"Order ID ซ้ำ; ","")&amp;IF(COUNTIF('Leads'!$A$8:$A$107,$B22)&lt;&gt;1,"ตรวจรหัส Lead; ","")&amp;IF(AND($B22&lt;&gt;"",IFERROR(INDEX('Leads'!$BA$8:$BA$107,MATCH($B22,'Leads'!$A$8:$A$107,0)),0)&lt;&gt;1),"Lead ยังไม่นับผลจริง; ","")&amp;IF(OR($C22="",$D22="",NOT(ISNUMBER($E22))),"ขาดบริษัท/เลข PO/วันรับ; ","")&amp;IF($J22="","ขาดหลักฐาน PO; ","")&amp;IF(NOT(OR($I22="Active",$I22="Cancelled")),"เลือกสถานะ PO; ","")&amp;IF(COUNTIFS('Orders_PO'!$C$8:$C$107,$C22,'Orders_PO'!$D$8:$D$107,$D22)&gt;1,"PO/ผู้ออกซ้ำ; ","")&amp;IF(OR(NOT(ISNUMBER($F22)),$G22="",$H22="",$H22="ไม่ทราบ"),"ตรวจมูลค่า/สกุล/ฐาน VAT; ","")&amp;IF(AND($I22="Cancelled",OR(NOT(ISNUMBER($K22)),$L22="")),"ขาดวัน/เหตุผลยกเลิก; ","")))</x:f>
      </x:c>
      <x:c r="Q22" s="42" t="str">
        <x:f>IF(AND($A22="",$B22="",$D22=""),"",IF(AND($A22&lt;&gt;"",COUNTIF('Orders_PO'!$A$8:$A$107,$A22)=1,COUNTIF('Leads'!$A$8:$A$107,$B22)=1,$N22&lt;&gt;"",IFERROR(INDEX('Leads'!$BA$8:$BA$107,MATCH($B22,'Leads'!$A$8:$A$107,0)),0)=1,$C22&lt;&gt;"",$D22&lt;&gt;"",ISNUMBER($E22),$E22&gt;0,$J22&lt;&gt;"",OR($I22="Active",$I22="Cancelled"),COUNTIFS('Orders_PO'!$C$8:$C$107,$C22,'Orders_PO'!$D$8:$D$107,$D22)=1),1,0))</x:f>
      </x:c>
      <x:c r="R22" s="42" t="str">
        <x:f>IF($Q22="","",IF(AND($Q22=1,ISNUMBER($F22),$F22&gt;=0,$G22&lt;&gt;"",OR($H22="รวม VAT",$H22="ไม่รวม VAT")),1,0))</x:f>
      </x:c>
    </x:row>
    <x:row r="23" ht="30" customHeight="1">
      <x:c r="A23" s="96"/>
      <x:c r="B23" s="96"/>
      <x:c r="C23" s="36"/>
      <x:c r="D23" s="96"/>
      <x:c r="E23" s="82"/>
      <x:c r="F23" s="84"/>
      <x:c r="G23" s="36"/>
      <x:c r="H23" s="36"/>
      <x:c r="I23" s="36"/>
      <x:c r="J23" s="96"/>
      <x:c r="K23" s="82"/>
      <x:c r="L23" s="36"/>
      <x:c r="M23" s="36"/>
      <x:c r="N23" s="98" t="str">
        <x:f>IF($B23="","",IFERROR(IF(INDEX('Leads'!$AE$8:$AE$107,MATCH($B23,'Leads'!$A$8:$A$107,0))="","",INDEX('Leads'!$AE$8:$AE$107,MATCH($B23,'Leads'!$A$8:$A$107,0))),""))</x:f>
      </x:c>
      <x:c r="O23" s="42" t="str">
        <x:f>IF($B23="","",IFERROR(IF(INDEX('Leads'!$AA$8:$AA$107,MATCH($B23,'Leads'!$A$8:$A$107,0))="","",INDEX('Leads'!$AA$8:$AA$107,MATCH($B23,'Leads'!$A$8:$A$107,0))),""))</x:f>
      </x:c>
      <x:c r="P23" s="42" t="str">
        <x:f>IF(AND($A23="",$B23="",$D23=""),"",IF(AND($Q23=1,$R23=1,OR($I23="Active",AND(ISNUMBER($K23),$L23&lt;&gt;""))),"ครบ",IF($A23="","ขาด Order ID; ","")&amp;IF(AND($A23&lt;&gt;"",COUNTIF('Orders_PO'!$A$8:$A$107,$A23)&gt;1),"Order ID ซ้ำ; ","")&amp;IF(COUNTIF('Leads'!$A$8:$A$107,$B23)&lt;&gt;1,"ตรวจรหัส Lead; ","")&amp;IF(AND($B23&lt;&gt;"",IFERROR(INDEX('Leads'!$BA$8:$BA$107,MATCH($B23,'Leads'!$A$8:$A$107,0)),0)&lt;&gt;1),"Lead ยังไม่นับผลจริง; ","")&amp;IF(OR($C23="",$D23="",NOT(ISNUMBER($E23))),"ขาดบริษัท/เลข PO/วันรับ; ","")&amp;IF($J23="","ขาดหลักฐาน PO; ","")&amp;IF(NOT(OR($I23="Active",$I23="Cancelled")),"เลือกสถานะ PO; ","")&amp;IF(COUNTIFS('Orders_PO'!$C$8:$C$107,$C23,'Orders_PO'!$D$8:$D$107,$D23)&gt;1,"PO/ผู้ออกซ้ำ; ","")&amp;IF(OR(NOT(ISNUMBER($F23)),$G23="",$H23="",$H23="ไม่ทราบ"),"ตรวจมูลค่า/สกุล/ฐาน VAT; ","")&amp;IF(AND($I23="Cancelled",OR(NOT(ISNUMBER($K23)),$L23="")),"ขาดวัน/เหตุผลยกเลิก; ","")))</x:f>
      </x:c>
      <x:c r="Q23" s="42" t="str">
        <x:f>IF(AND($A23="",$B23="",$D23=""),"",IF(AND($A23&lt;&gt;"",COUNTIF('Orders_PO'!$A$8:$A$107,$A23)=1,COUNTIF('Leads'!$A$8:$A$107,$B23)=1,$N23&lt;&gt;"",IFERROR(INDEX('Leads'!$BA$8:$BA$107,MATCH($B23,'Leads'!$A$8:$A$107,0)),0)=1,$C23&lt;&gt;"",$D23&lt;&gt;"",ISNUMBER($E23),$E23&gt;0,$J23&lt;&gt;"",OR($I23="Active",$I23="Cancelled"),COUNTIFS('Orders_PO'!$C$8:$C$107,$C23,'Orders_PO'!$D$8:$D$107,$D23)=1),1,0))</x:f>
      </x:c>
      <x:c r="R23" s="42" t="str">
        <x:f>IF($Q23="","",IF(AND($Q23=1,ISNUMBER($F23),$F23&gt;=0,$G23&lt;&gt;"",OR($H23="รวม VAT",$H23="ไม่รวม VAT")),1,0))</x:f>
      </x:c>
    </x:row>
    <x:row r="24" ht="30" customHeight="1">
      <x:c r="A24" s="96"/>
      <x:c r="B24" s="96"/>
      <x:c r="C24" s="36"/>
      <x:c r="D24" s="96"/>
      <x:c r="E24" s="82"/>
      <x:c r="F24" s="84"/>
      <x:c r="G24" s="36"/>
      <x:c r="H24" s="36"/>
      <x:c r="I24" s="36"/>
      <x:c r="J24" s="96"/>
      <x:c r="K24" s="82"/>
      <x:c r="L24" s="36"/>
      <x:c r="M24" s="36"/>
      <x:c r="N24" s="98" t="str">
        <x:f>IF($B24="","",IFERROR(IF(INDEX('Leads'!$AE$8:$AE$107,MATCH($B24,'Leads'!$A$8:$A$107,0))="","",INDEX('Leads'!$AE$8:$AE$107,MATCH($B24,'Leads'!$A$8:$A$107,0))),""))</x:f>
      </x:c>
      <x:c r="O24" s="42" t="str">
        <x:f>IF($B24="","",IFERROR(IF(INDEX('Leads'!$AA$8:$AA$107,MATCH($B24,'Leads'!$A$8:$A$107,0))="","",INDEX('Leads'!$AA$8:$AA$107,MATCH($B24,'Leads'!$A$8:$A$107,0))),""))</x:f>
      </x:c>
      <x:c r="P24" s="42" t="str">
        <x:f>IF(AND($A24="",$B24="",$D24=""),"",IF(AND($Q24=1,$R24=1,OR($I24="Active",AND(ISNUMBER($K24),$L24&lt;&gt;""))),"ครบ",IF($A24="","ขาด Order ID; ","")&amp;IF(AND($A24&lt;&gt;"",COUNTIF('Orders_PO'!$A$8:$A$107,$A24)&gt;1),"Order ID ซ้ำ; ","")&amp;IF(COUNTIF('Leads'!$A$8:$A$107,$B24)&lt;&gt;1,"ตรวจรหัส Lead; ","")&amp;IF(AND($B24&lt;&gt;"",IFERROR(INDEX('Leads'!$BA$8:$BA$107,MATCH($B24,'Leads'!$A$8:$A$107,0)),0)&lt;&gt;1),"Lead ยังไม่นับผลจริง; ","")&amp;IF(OR($C24="",$D24="",NOT(ISNUMBER($E24))),"ขาดบริษัท/เลข PO/วันรับ; ","")&amp;IF($J24="","ขาดหลักฐาน PO; ","")&amp;IF(NOT(OR($I24="Active",$I24="Cancelled")),"เลือกสถานะ PO; ","")&amp;IF(COUNTIFS('Orders_PO'!$C$8:$C$107,$C24,'Orders_PO'!$D$8:$D$107,$D24)&gt;1,"PO/ผู้ออกซ้ำ; ","")&amp;IF(OR(NOT(ISNUMBER($F24)),$G24="",$H24="",$H24="ไม่ทราบ"),"ตรวจมูลค่า/สกุล/ฐาน VAT; ","")&amp;IF(AND($I24="Cancelled",OR(NOT(ISNUMBER($K24)),$L24="")),"ขาดวัน/เหตุผลยกเลิก; ","")))</x:f>
      </x:c>
      <x:c r="Q24" s="42" t="str">
        <x:f>IF(AND($A24="",$B24="",$D24=""),"",IF(AND($A24&lt;&gt;"",COUNTIF('Orders_PO'!$A$8:$A$107,$A24)=1,COUNTIF('Leads'!$A$8:$A$107,$B24)=1,$N24&lt;&gt;"",IFERROR(INDEX('Leads'!$BA$8:$BA$107,MATCH($B24,'Leads'!$A$8:$A$107,0)),0)=1,$C24&lt;&gt;"",$D24&lt;&gt;"",ISNUMBER($E24),$E24&gt;0,$J24&lt;&gt;"",OR($I24="Active",$I24="Cancelled"),COUNTIFS('Orders_PO'!$C$8:$C$107,$C24,'Orders_PO'!$D$8:$D$107,$D24)=1),1,0))</x:f>
      </x:c>
      <x:c r="R24" s="42" t="str">
        <x:f>IF($Q24="","",IF(AND($Q24=1,ISNUMBER($F24),$F24&gt;=0,$G24&lt;&gt;"",OR($H24="รวม VAT",$H24="ไม่รวม VAT")),1,0))</x:f>
      </x:c>
    </x:row>
    <x:row r="25" ht="30" customHeight="1">
      <x:c r="A25" s="96"/>
      <x:c r="B25" s="96"/>
      <x:c r="C25" s="36"/>
      <x:c r="D25" s="96"/>
      <x:c r="E25" s="82"/>
      <x:c r="F25" s="84"/>
      <x:c r="G25" s="36"/>
      <x:c r="H25" s="36"/>
      <x:c r="I25" s="36"/>
      <x:c r="J25" s="96"/>
      <x:c r="K25" s="82"/>
      <x:c r="L25" s="36"/>
      <x:c r="M25" s="36"/>
      <x:c r="N25" s="98" t="str">
        <x:f>IF($B25="","",IFERROR(IF(INDEX('Leads'!$AE$8:$AE$107,MATCH($B25,'Leads'!$A$8:$A$107,0))="","",INDEX('Leads'!$AE$8:$AE$107,MATCH($B25,'Leads'!$A$8:$A$107,0))),""))</x:f>
      </x:c>
      <x:c r="O25" s="42" t="str">
        <x:f>IF($B25="","",IFERROR(IF(INDEX('Leads'!$AA$8:$AA$107,MATCH($B25,'Leads'!$A$8:$A$107,0))="","",INDEX('Leads'!$AA$8:$AA$107,MATCH($B25,'Leads'!$A$8:$A$107,0))),""))</x:f>
      </x:c>
      <x:c r="P25" s="42" t="str">
        <x:f>IF(AND($A25="",$B25="",$D25=""),"",IF(AND($Q25=1,$R25=1,OR($I25="Active",AND(ISNUMBER($K25),$L25&lt;&gt;""))),"ครบ",IF($A25="","ขาด Order ID; ","")&amp;IF(AND($A25&lt;&gt;"",COUNTIF('Orders_PO'!$A$8:$A$107,$A25)&gt;1),"Order ID ซ้ำ; ","")&amp;IF(COUNTIF('Leads'!$A$8:$A$107,$B25)&lt;&gt;1,"ตรวจรหัส Lead; ","")&amp;IF(AND($B25&lt;&gt;"",IFERROR(INDEX('Leads'!$BA$8:$BA$107,MATCH($B25,'Leads'!$A$8:$A$107,0)),0)&lt;&gt;1),"Lead ยังไม่นับผลจริง; ","")&amp;IF(OR($C25="",$D25="",NOT(ISNUMBER($E25))),"ขาดบริษัท/เลข PO/วันรับ; ","")&amp;IF($J25="","ขาดหลักฐาน PO; ","")&amp;IF(NOT(OR($I25="Active",$I25="Cancelled")),"เลือกสถานะ PO; ","")&amp;IF(COUNTIFS('Orders_PO'!$C$8:$C$107,$C25,'Orders_PO'!$D$8:$D$107,$D25)&gt;1,"PO/ผู้ออกซ้ำ; ","")&amp;IF(OR(NOT(ISNUMBER($F25)),$G25="",$H25="",$H25="ไม่ทราบ"),"ตรวจมูลค่า/สกุล/ฐาน VAT; ","")&amp;IF(AND($I25="Cancelled",OR(NOT(ISNUMBER($K25)),$L25="")),"ขาดวัน/เหตุผลยกเลิก; ","")))</x:f>
      </x:c>
      <x:c r="Q25" s="42" t="str">
        <x:f>IF(AND($A25="",$B25="",$D25=""),"",IF(AND($A25&lt;&gt;"",COUNTIF('Orders_PO'!$A$8:$A$107,$A25)=1,COUNTIF('Leads'!$A$8:$A$107,$B25)=1,$N25&lt;&gt;"",IFERROR(INDEX('Leads'!$BA$8:$BA$107,MATCH($B25,'Leads'!$A$8:$A$107,0)),0)=1,$C25&lt;&gt;"",$D25&lt;&gt;"",ISNUMBER($E25),$E25&gt;0,$J25&lt;&gt;"",OR($I25="Active",$I25="Cancelled"),COUNTIFS('Orders_PO'!$C$8:$C$107,$C25,'Orders_PO'!$D$8:$D$107,$D25)=1),1,0))</x:f>
      </x:c>
      <x:c r="R25" s="42" t="str">
        <x:f>IF($Q25="","",IF(AND($Q25=1,ISNUMBER($F25),$F25&gt;=0,$G25&lt;&gt;"",OR($H25="รวม VAT",$H25="ไม่รวม VAT")),1,0))</x:f>
      </x:c>
    </x:row>
    <x:row r="26" ht="30" customHeight="1">
      <x:c r="A26" s="96"/>
      <x:c r="B26" s="96"/>
      <x:c r="C26" s="36"/>
      <x:c r="D26" s="96"/>
      <x:c r="E26" s="82"/>
      <x:c r="F26" s="84"/>
      <x:c r="G26" s="36"/>
      <x:c r="H26" s="36"/>
      <x:c r="I26" s="36"/>
      <x:c r="J26" s="96"/>
      <x:c r="K26" s="82"/>
      <x:c r="L26" s="36"/>
      <x:c r="M26" s="36"/>
      <x:c r="N26" s="98" t="str">
        <x:f>IF($B26="","",IFERROR(IF(INDEX('Leads'!$AE$8:$AE$107,MATCH($B26,'Leads'!$A$8:$A$107,0))="","",INDEX('Leads'!$AE$8:$AE$107,MATCH($B26,'Leads'!$A$8:$A$107,0))),""))</x:f>
      </x:c>
      <x:c r="O26" s="42" t="str">
        <x:f>IF($B26="","",IFERROR(IF(INDEX('Leads'!$AA$8:$AA$107,MATCH($B26,'Leads'!$A$8:$A$107,0))="","",INDEX('Leads'!$AA$8:$AA$107,MATCH($B26,'Leads'!$A$8:$A$107,0))),""))</x:f>
      </x:c>
      <x:c r="P26" s="42" t="str">
        <x:f>IF(AND($A26="",$B26="",$D26=""),"",IF(AND($Q26=1,$R26=1,OR($I26="Active",AND(ISNUMBER($K26),$L26&lt;&gt;""))),"ครบ",IF($A26="","ขาด Order ID; ","")&amp;IF(AND($A26&lt;&gt;"",COUNTIF('Orders_PO'!$A$8:$A$107,$A26)&gt;1),"Order ID ซ้ำ; ","")&amp;IF(COUNTIF('Leads'!$A$8:$A$107,$B26)&lt;&gt;1,"ตรวจรหัส Lead; ","")&amp;IF(AND($B26&lt;&gt;"",IFERROR(INDEX('Leads'!$BA$8:$BA$107,MATCH($B26,'Leads'!$A$8:$A$107,0)),0)&lt;&gt;1),"Lead ยังไม่นับผลจริง; ","")&amp;IF(OR($C26="",$D26="",NOT(ISNUMBER($E26))),"ขาดบริษัท/เลข PO/วันรับ; ","")&amp;IF($J26="","ขาดหลักฐาน PO; ","")&amp;IF(NOT(OR($I26="Active",$I26="Cancelled")),"เลือกสถานะ PO; ","")&amp;IF(COUNTIFS('Orders_PO'!$C$8:$C$107,$C26,'Orders_PO'!$D$8:$D$107,$D26)&gt;1,"PO/ผู้ออกซ้ำ; ","")&amp;IF(OR(NOT(ISNUMBER($F26)),$G26="",$H26="",$H26="ไม่ทราบ"),"ตรวจมูลค่า/สกุล/ฐาน VAT; ","")&amp;IF(AND($I26="Cancelled",OR(NOT(ISNUMBER($K26)),$L26="")),"ขาดวัน/เหตุผลยกเลิก; ","")))</x:f>
      </x:c>
      <x:c r="Q26" s="42" t="str">
        <x:f>IF(AND($A26="",$B26="",$D26=""),"",IF(AND($A26&lt;&gt;"",COUNTIF('Orders_PO'!$A$8:$A$107,$A26)=1,COUNTIF('Leads'!$A$8:$A$107,$B26)=1,$N26&lt;&gt;"",IFERROR(INDEX('Leads'!$BA$8:$BA$107,MATCH($B26,'Leads'!$A$8:$A$107,0)),0)=1,$C26&lt;&gt;"",$D26&lt;&gt;"",ISNUMBER($E26),$E26&gt;0,$J26&lt;&gt;"",OR($I26="Active",$I26="Cancelled"),COUNTIFS('Orders_PO'!$C$8:$C$107,$C26,'Orders_PO'!$D$8:$D$107,$D26)=1),1,0))</x:f>
      </x:c>
      <x:c r="R26" s="42" t="str">
        <x:f>IF($Q26="","",IF(AND($Q26=1,ISNUMBER($F26),$F26&gt;=0,$G26&lt;&gt;"",OR($H26="รวม VAT",$H26="ไม่รวม VAT")),1,0))</x:f>
      </x:c>
    </x:row>
    <x:row r="27" ht="30" customHeight="1">
      <x:c r="A27" s="96"/>
      <x:c r="B27" s="96"/>
      <x:c r="C27" s="36"/>
      <x:c r="D27" s="96"/>
      <x:c r="E27" s="82"/>
      <x:c r="F27" s="84"/>
      <x:c r="G27" s="36"/>
      <x:c r="H27" s="36"/>
      <x:c r="I27" s="36"/>
      <x:c r="J27" s="96"/>
      <x:c r="K27" s="82"/>
      <x:c r="L27" s="36"/>
      <x:c r="M27" s="36"/>
      <x:c r="N27" s="98" t="str">
        <x:f>IF($B27="","",IFERROR(IF(INDEX('Leads'!$AE$8:$AE$107,MATCH($B27,'Leads'!$A$8:$A$107,0))="","",INDEX('Leads'!$AE$8:$AE$107,MATCH($B27,'Leads'!$A$8:$A$107,0))),""))</x:f>
      </x:c>
      <x:c r="O27" s="42" t="str">
        <x:f>IF($B27="","",IFERROR(IF(INDEX('Leads'!$AA$8:$AA$107,MATCH($B27,'Leads'!$A$8:$A$107,0))="","",INDEX('Leads'!$AA$8:$AA$107,MATCH($B27,'Leads'!$A$8:$A$107,0))),""))</x:f>
      </x:c>
      <x:c r="P27" s="42" t="str">
        <x:f>IF(AND($A27="",$B27="",$D27=""),"",IF(AND($Q27=1,$R27=1,OR($I27="Active",AND(ISNUMBER($K27),$L27&lt;&gt;""))),"ครบ",IF($A27="","ขาด Order ID; ","")&amp;IF(AND($A27&lt;&gt;"",COUNTIF('Orders_PO'!$A$8:$A$107,$A27)&gt;1),"Order ID ซ้ำ; ","")&amp;IF(COUNTIF('Leads'!$A$8:$A$107,$B27)&lt;&gt;1,"ตรวจรหัส Lead; ","")&amp;IF(AND($B27&lt;&gt;"",IFERROR(INDEX('Leads'!$BA$8:$BA$107,MATCH($B27,'Leads'!$A$8:$A$107,0)),0)&lt;&gt;1),"Lead ยังไม่นับผลจริง; ","")&amp;IF(OR($C27="",$D27="",NOT(ISNUMBER($E27))),"ขาดบริษัท/เลข PO/วันรับ; ","")&amp;IF($J27="","ขาดหลักฐาน PO; ","")&amp;IF(NOT(OR($I27="Active",$I27="Cancelled")),"เลือกสถานะ PO; ","")&amp;IF(COUNTIFS('Orders_PO'!$C$8:$C$107,$C27,'Orders_PO'!$D$8:$D$107,$D27)&gt;1,"PO/ผู้ออกซ้ำ; ","")&amp;IF(OR(NOT(ISNUMBER($F27)),$G27="",$H27="",$H27="ไม่ทราบ"),"ตรวจมูลค่า/สกุล/ฐาน VAT; ","")&amp;IF(AND($I27="Cancelled",OR(NOT(ISNUMBER($K27)),$L27="")),"ขาดวัน/เหตุผลยกเลิก; ","")))</x:f>
      </x:c>
      <x:c r="Q27" s="42" t="str">
        <x:f>IF(AND($A27="",$B27="",$D27=""),"",IF(AND($A27&lt;&gt;"",COUNTIF('Orders_PO'!$A$8:$A$107,$A27)=1,COUNTIF('Leads'!$A$8:$A$107,$B27)=1,$N27&lt;&gt;"",IFERROR(INDEX('Leads'!$BA$8:$BA$107,MATCH($B27,'Leads'!$A$8:$A$107,0)),0)=1,$C27&lt;&gt;"",$D27&lt;&gt;"",ISNUMBER($E27),$E27&gt;0,$J27&lt;&gt;"",OR($I27="Active",$I27="Cancelled"),COUNTIFS('Orders_PO'!$C$8:$C$107,$C27,'Orders_PO'!$D$8:$D$107,$D27)=1),1,0))</x:f>
      </x:c>
      <x:c r="R27" s="42" t="str">
        <x:f>IF($Q27="","",IF(AND($Q27=1,ISNUMBER($F27),$F27&gt;=0,$G27&lt;&gt;"",OR($H27="รวม VAT",$H27="ไม่รวม VAT")),1,0))</x:f>
      </x:c>
    </x:row>
    <x:row r="28" ht="30" customHeight="1">
      <x:c r="A28" s="96"/>
      <x:c r="B28" s="96"/>
      <x:c r="C28" s="36"/>
      <x:c r="D28" s="96"/>
      <x:c r="E28" s="82"/>
      <x:c r="F28" s="84"/>
      <x:c r="G28" s="36"/>
      <x:c r="H28" s="36"/>
      <x:c r="I28" s="36"/>
      <x:c r="J28" s="96"/>
      <x:c r="K28" s="82"/>
      <x:c r="L28" s="36"/>
      <x:c r="M28" s="36"/>
      <x:c r="N28" s="98" t="str">
        <x:f>IF($B28="","",IFERROR(IF(INDEX('Leads'!$AE$8:$AE$107,MATCH($B28,'Leads'!$A$8:$A$107,0))="","",INDEX('Leads'!$AE$8:$AE$107,MATCH($B28,'Leads'!$A$8:$A$107,0))),""))</x:f>
      </x:c>
      <x:c r="O28" s="42" t="str">
        <x:f>IF($B28="","",IFERROR(IF(INDEX('Leads'!$AA$8:$AA$107,MATCH($B28,'Leads'!$A$8:$A$107,0))="","",INDEX('Leads'!$AA$8:$AA$107,MATCH($B28,'Leads'!$A$8:$A$107,0))),""))</x:f>
      </x:c>
      <x:c r="P28" s="42" t="str">
        <x:f>IF(AND($A28="",$B28="",$D28=""),"",IF(AND($Q28=1,$R28=1,OR($I28="Active",AND(ISNUMBER($K28),$L28&lt;&gt;""))),"ครบ",IF($A28="","ขาด Order ID; ","")&amp;IF(AND($A28&lt;&gt;"",COUNTIF('Orders_PO'!$A$8:$A$107,$A28)&gt;1),"Order ID ซ้ำ; ","")&amp;IF(COUNTIF('Leads'!$A$8:$A$107,$B28)&lt;&gt;1,"ตรวจรหัส Lead; ","")&amp;IF(AND($B28&lt;&gt;"",IFERROR(INDEX('Leads'!$BA$8:$BA$107,MATCH($B28,'Leads'!$A$8:$A$107,0)),0)&lt;&gt;1),"Lead ยังไม่นับผลจริง; ","")&amp;IF(OR($C28="",$D28="",NOT(ISNUMBER($E28))),"ขาดบริษัท/เลข PO/วันรับ; ","")&amp;IF($J28="","ขาดหลักฐาน PO; ","")&amp;IF(NOT(OR($I28="Active",$I28="Cancelled")),"เลือกสถานะ PO; ","")&amp;IF(COUNTIFS('Orders_PO'!$C$8:$C$107,$C28,'Orders_PO'!$D$8:$D$107,$D28)&gt;1,"PO/ผู้ออกซ้ำ; ","")&amp;IF(OR(NOT(ISNUMBER($F28)),$G28="",$H28="",$H28="ไม่ทราบ"),"ตรวจมูลค่า/สกุล/ฐาน VAT; ","")&amp;IF(AND($I28="Cancelled",OR(NOT(ISNUMBER($K28)),$L28="")),"ขาดวัน/เหตุผลยกเลิก; ","")))</x:f>
      </x:c>
      <x:c r="Q28" s="42" t="str">
        <x:f>IF(AND($A28="",$B28="",$D28=""),"",IF(AND($A28&lt;&gt;"",COUNTIF('Orders_PO'!$A$8:$A$107,$A28)=1,COUNTIF('Leads'!$A$8:$A$107,$B28)=1,$N28&lt;&gt;"",IFERROR(INDEX('Leads'!$BA$8:$BA$107,MATCH($B28,'Leads'!$A$8:$A$107,0)),0)=1,$C28&lt;&gt;"",$D28&lt;&gt;"",ISNUMBER($E28),$E28&gt;0,$J28&lt;&gt;"",OR($I28="Active",$I28="Cancelled"),COUNTIFS('Orders_PO'!$C$8:$C$107,$C28,'Orders_PO'!$D$8:$D$107,$D28)=1),1,0))</x:f>
      </x:c>
      <x:c r="R28" s="42" t="str">
        <x:f>IF($Q28="","",IF(AND($Q28=1,ISNUMBER($F28),$F28&gt;=0,$G28&lt;&gt;"",OR($H28="รวม VAT",$H28="ไม่รวม VAT")),1,0))</x:f>
      </x:c>
    </x:row>
    <x:row r="29" ht="30" customHeight="1">
      <x:c r="A29" s="96"/>
      <x:c r="B29" s="96"/>
      <x:c r="C29" s="36"/>
      <x:c r="D29" s="96"/>
      <x:c r="E29" s="82"/>
      <x:c r="F29" s="84"/>
      <x:c r="G29" s="36"/>
      <x:c r="H29" s="36"/>
      <x:c r="I29" s="36"/>
      <x:c r="J29" s="96"/>
      <x:c r="K29" s="82"/>
      <x:c r="L29" s="36"/>
      <x:c r="M29" s="36"/>
      <x:c r="N29" s="98" t="str">
        <x:f>IF($B29="","",IFERROR(IF(INDEX('Leads'!$AE$8:$AE$107,MATCH($B29,'Leads'!$A$8:$A$107,0))="","",INDEX('Leads'!$AE$8:$AE$107,MATCH($B29,'Leads'!$A$8:$A$107,0))),""))</x:f>
      </x:c>
      <x:c r="O29" s="42" t="str">
        <x:f>IF($B29="","",IFERROR(IF(INDEX('Leads'!$AA$8:$AA$107,MATCH($B29,'Leads'!$A$8:$A$107,0))="","",INDEX('Leads'!$AA$8:$AA$107,MATCH($B29,'Leads'!$A$8:$A$107,0))),""))</x:f>
      </x:c>
      <x:c r="P29" s="42" t="str">
        <x:f>IF(AND($A29="",$B29="",$D29=""),"",IF(AND($Q29=1,$R29=1,OR($I29="Active",AND(ISNUMBER($K29),$L29&lt;&gt;""))),"ครบ",IF($A29="","ขาด Order ID; ","")&amp;IF(AND($A29&lt;&gt;"",COUNTIF('Orders_PO'!$A$8:$A$107,$A29)&gt;1),"Order ID ซ้ำ; ","")&amp;IF(COUNTIF('Leads'!$A$8:$A$107,$B29)&lt;&gt;1,"ตรวจรหัส Lead; ","")&amp;IF(AND($B29&lt;&gt;"",IFERROR(INDEX('Leads'!$BA$8:$BA$107,MATCH($B29,'Leads'!$A$8:$A$107,0)),0)&lt;&gt;1),"Lead ยังไม่นับผลจริง; ","")&amp;IF(OR($C29="",$D29="",NOT(ISNUMBER($E29))),"ขาดบริษัท/เลข PO/วันรับ; ","")&amp;IF($J29="","ขาดหลักฐาน PO; ","")&amp;IF(NOT(OR($I29="Active",$I29="Cancelled")),"เลือกสถานะ PO; ","")&amp;IF(COUNTIFS('Orders_PO'!$C$8:$C$107,$C29,'Orders_PO'!$D$8:$D$107,$D29)&gt;1,"PO/ผู้ออกซ้ำ; ","")&amp;IF(OR(NOT(ISNUMBER($F29)),$G29="",$H29="",$H29="ไม่ทราบ"),"ตรวจมูลค่า/สกุล/ฐาน VAT; ","")&amp;IF(AND($I29="Cancelled",OR(NOT(ISNUMBER($K29)),$L29="")),"ขาดวัน/เหตุผลยกเลิก; ","")))</x:f>
      </x:c>
      <x:c r="Q29" s="42" t="str">
        <x:f>IF(AND($A29="",$B29="",$D29=""),"",IF(AND($A29&lt;&gt;"",COUNTIF('Orders_PO'!$A$8:$A$107,$A29)=1,COUNTIF('Leads'!$A$8:$A$107,$B29)=1,$N29&lt;&gt;"",IFERROR(INDEX('Leads'!$BA$8:$BA$107,MATCH($B29,'Leads'!$A$8:$A$107,0)),0)=1,$C29&lt;&gt;"",$D29&lt;&gt;"",ISNUMBER($E29),$E29&gt;0,$J29&lt;&gt;"",OR($I29="Active",$I29="Cancelled"),COUNTIFS('Orders_PO'!$C$8:$C$107,$C29,'Orders_PO'!$D$8:$D$107,$D29)=1),1,0))</x:f>
      </x:c>
      <x:c r="R29" s="42" t="str">
        <x:f>IF($Q29="","",IF(AND($Q29=1,ISNUMBER($F29),$F29&gt;=0,$G29&lt;&gt;"",OR($H29="รวม VAT",$H29="ไม่รวม VAT")),1,0))</x:f>
      </x:c>
    </x:row>
    <x:row r="30" ht="30" customHeight="1">
      <x:c r="A30" s="96"/>
      <x:c r="B30" s="96"/>
      <x:c r="C30" s="36"/>
      <x:c r="D30" s="96"/>
      <x:c r="E30" s="82"/>
      <x:c r="F30" s="84"/>
      <x:c r="G30" s="36"/>
      <x:c r="H30" s="36"/>
      <x:c r="I30" s="36"/>
      <x:c r="J30" s="96"/>
      <x:c r="K30" s="82"/>
      <x:c r="L30" s="36"/>
      <x:c r="M30" s="36"/>
      <x:c r="N30" s="98" t="str">
        <x:f>IF($B30="","",IFERROR(IF(INDEX('Leads'!$AE$8:$AE$107,MATCH($B30,'Leads'!$A$8:$A$107,0))="","",INDEX('Leads'!$AE$8:$AE$107,MATCH($B30,'Leads'!$A$8:$A$107,0))),""))</x:f>
      </x:c>
      <x:c r="O30" s="42" t="str">
        <x:f>IF($B30="","",IFERROR(IF(INDEX('Leads'!$AA$8:$AA$107,MATCH($B30,'Leads'!$A$8:$A$107,0))="","",INDEX('Leads'!$AA$8:$AA$107,MATCH($B30,'Leads'!$A$8:$A$107,0))),""))</x:f>
      </x:c>
      <x:c r="P30" s="42" t="str">
        <x:f>IF(AND($A30="",$B30="",$D30=""),"",IF(AND($Q30=1,$R30=1,OR($I30="Active",AND(ISNUMBER($K30),$L30&lt;&gt;""))),"ครบ",IF($A30="","ขาด Order ID; ","")&amp;IF(AND($A30&lt;&gt;"",COUNTIF('Orders_PO'!$A$8:$A$107,$A30)&gt;1),"Order ID ซ้ำ; ","")&amp;IF(COUNTIF('Leads'!$A$8:$A$107,$B30)&lt;&gt;1,"ตรวจรหัส Lead; ","")&amp;IF(AND($B30&lt;&gt;"",IFERROR(INDEX('Leads'!$BA$8:$BA$107,MATCH($B30,'Leads'!$A$8:$A$107,0)),0)&lt;&gt;1),"Lead ยังไม่นับผลจริง; ","")&amp;IF(OR($C30="",$D30="",NOT(ISNUMBER($E30))),"ขาดบริษัท/เลข PO/วันรับ; ","")&amp;IF($J30="","ขาดหลักฐาน PO; ","")&amp;IF(NOT(OR($I30="Active",$I30="Cancelled")),"เลือกสถานะ PO; ","")&amp;IF(COUNTIFS('Orders_PO'!$C$8:$C$107,$C30,'Orders_PO'!$D$8:$D$107,$D30)&gt;1,"PO/ผู้ออกซ้ำ; ","")&amp;IF(OR(NOT(ISNUMBER($F30)),$G30="",$H30="",$H30="ไม่ทราบ"),"ตรวจมูลค่า/สกุล/ฐาน VAT; ","")&amp;IF(AND($I30="Cancelled",OR(NOT(ISNUMBER($K30)),$L30="")),"ขาดวัน/เหตุผลยกเลิก; ","")))</x:f>
      </x:c>
      <x:c r="Q30" s="42" t="str">
        <x:f>IF(AND($A30="",$B30="",$D30=""),"",IF(AND($A30&lt;&gt;"",COUNTIF('Orders_PO'!$A$8:$A$107,$A30)=1,COUNTIF('Leads'!$A$8:$A$107,$B30)=1,$N30&lt;&gt;"",IFERROR(INDEX('Leads'!$BA$8:$BA$107,MATCH($B30,'Leads'!$A$8:$A$107,0)),0)=1,$C30&lt;&gt;"",$D30&lt;&gt;"",ISNUMBER($E30),$E30&gt;0,$J30&lt;&gt;"",OR($I30="Active",$I30="Cancelled"),COUNTIFS('Orders_PO'!$C$8:$C$107,$C30,'Orders_PO'!$D$8:$D$107,$D30)=1),1,0))</x:f>
      </x:c>
      <x:c r="R30" s="42" t="str">
        <x:f>IF($Q30="","",IF(AND($Q30=1,ISNUMBER($F30),$F30&gt;=0,$G30&lt;&gt;"",OR($H30="รวม VAT",$H30="ไม่รวม VAT")),1,0))</x:f>
      </x:c>
    </x:row>
    <x:row r="31" ht="30" customHeight="1">
      <x:c r="A31" s="96"/>
      <x:c r="B31" s="96"/>
      <x:c r="C31" s="36"/>
      <x:c r="D31" s="96"/>
      <x:c r="E31" s="82"/>
      <x:c r="F31" s="84"/>
      <x:c r="G31" s="36"/>
      <x:c r="H31" s="36"/>
      <x:c r="I31" s="36"/>
      <x:c r="J31" s="96"/>
      <x:c r="K31" s="82"/>
      <x:c r="L31" s="36"/>
      <x:c r="M31" s="36"/>
      <x:c r="N31" s="98" t="str">
        <x:f>IF($B31="","",IFERROR(IF(INDEX('Leads'!$AE$8:$AE$107,MATCH($B31,'Leads'!$A$8:$A$107,0))="","",INDEX('Leads'!$AE$8:$AE$107,MATCH($B31,'Leads'!$A$8:$A$107,0))),""))</x:f>
      </x:c>
      <x:c r="O31" s="42" t="str">
        <x:f>IF($B31="","",IFERROR(IF(INDEX('Leads'!$AA$8:$AA$107,MATCH($B31,'Leads'!$A$8:$A$107,0))="","",INDEX('Leads'!$AA$8:$AA$107,MATCH($B31,'Leads'!$A$8:$A$107,0))),""))</x:f>
      </x:c>
      <x:c r="P31" s="42" t="str">
        <x:f>IF(AND($A31="",$B31="",$D31=""),"",IF(AND($Q31=1,$R31=1,OR($I31="Active",AND(ISNUMBER($K31),$L31&lt;&gt;""))),"ครบ",IF($A31="","ขาด Order ID; ","")&amp;IF(AND($A31&lt;&gt;"",COUNTIF('Orders_PO'!$A$8:$A$107,$A31)&gt;1),"Order ID ซ้ำ; ","")&amp;IF(COUNTIF('Leads'!$A$8:$A$107,$B31)&lt;&gt;1,"ตรวจรหัส Lead; ","")&amp;IF(AND($B31&lt;&gt;"",IFERROR(INDEX('Leads'!$BA$8:$BA$107,MATCH($B31,'Leads'!$A$8:$A$107,0)),0)&lt;&gt;1),"Lead ยังไม่นับผลจริง; ","")&amp;IF(OR($C31="",$D31="",NOT(ISNUMBER($E31))),"ขาดบริษัท/เลข PO/วันรับ; ","")&amp;IF($J31="","ขาดหลักฐาน PO; ","")&amp;IF(NOT(OR($I31="Active",$I31="Cancelled")),"เลือกสถานะ PO; ","")&amp;IF(COUNTIFS('Orders_PO'!$C$8:$C$107,$C31,'Orders_PO'!$D$8:$D$107,$D31)&gt;1,"PO/ผู้ออกซ้ำ; ","")&amp;IF(OR(NOT(ISNUMBER($F31)),$G31="",$H31="",$H31="ไม่ทราบ"),"ตรวจมูลค่า/สกุล/ฐาน VAT; ","")&amp;IF(AND($I31="Cancelled",OR(NOT(ISNUMBER($K31)),$L31="")),"ขาดวัน/เหตุผลยกเลิก; ","")))</x:f>
      </x:c>
      <x:c r="Q31" s="42" t="str">
        <x:f>IF(AND($A31="",$B31="",$D31=""),"",IF(AND($A31&lt;&gt;"",COUNTIF('Orders_PO'!$A$8:$A$107,$A31)=1,COUNTIF('Leads'!$A$8:$A$107,$B31)=1,$N31&lt;&gt;"",IFERROR(INDEX('Leads'!$BA$8:$BA$107,MATCH($B31,'Leads'!$A$8:$A$107,0)),0)=1,$C31&lt;&gt;"",$D31&lt;&gt;"",ISNUMBER($E31),$E31&gt;0,$J31&lt;&gt;"",OR($I31="Active",$I31="Cancelled"),COUNTIFS('Orders_PO'!$C$8:$C$107,$C31,'Orders_PO'!$D$8:$D$107,$D31)=1),1,0))</x:f>
      </x:c>
      <x:c r="R31" s="42" t="str">
        <x:f>IF($Q31="","",IF(AND($Q31=1,ISNUMBER($F31),$F31&gt;=0,$G31&lt;&gt;"",OR($H31="รวม VAT",$H31="ไม่รวม VAT")),1,0))</x:f>
      </x:c>
    </x:row>
    <x:row r="32" ht="30" customHeight="1">
      <x:c r="A32" s="96"/>
      <x:c r="B32" s="96"/>
      <x:c r="C32" s="36"/>
      <x:c r="D32" s="96"/>
      <x:c r="E32" s="82"/>
      <x:c r="F32" s="84"/>
      <x:c r="G32" s="36"/>
      <x:c r="H32" s="36"/>
      <x:c r="I32" s="36"/>
      <x:c r="J32" s="96"/>
      <x:c r="K32" s="82"/>
      <x:c r="L32" s="36"/>
      <x:c r="M32" s="36"/>
      <x:c r="N32" s="98" t="str">
        <x:f>IF($B32="","",IFERROR(IF(INDEX('Leads'!$AE$8:$AE$107,MATCH($B32,'Leads'!$A$8:$A$107,0))="","",INDEX('Leads'!$AE$8:$AE$107,MATCH($B32,'Leads'!$A$8:$A$107,0))),""))</x:f>
      </x:c>
      <x:c r="O32" s="42" t="str">
        <x:f>IF($B32="","",IFERROR(IF(INDEX('Leads'!$AA$8:$AA$107,MATCH($B32,'Leads'!$A$8:$A$107,0))="","",INDEX('Leads'!$AA$8:$AA$107,MATCH($B32,'Leads'!$A$8:$A$107,0))),""))</x:f>
      </x:c>
      <x:c r="P32" s="42" t="str">
        <x:f>IF(AND($A32="",$B32="",$D32=""),"",IF(AND($Q32=1,$R32=1,OR($I32="Active",AND(ISNUMBER($K32),$L32&lt;&gt;""))),"ครบ",IF($A32="","ขาด Order ID; ","")&amp;IF(AND($A32&lt;&gt;"",COUNTIF('Orders_PO'!$A$8:$A$107,$A32)&gt;1),"Order ID ซ้ำ; ","")&amp;IF(COUNTIF('Leads'!$A$8:$A$107,$B32)&lt;&gt;1,"ตรวจรหัส Lead; ","")&amp;IF(AND($B32&lt;&gt;"",IFERROR(INDEX('Leads'!$BA$8:$BA$107,MATCH($B32,'Leads'!$A$8:$A$107,0)),0)&lt;&gt;1),"Lead ยังไม่นับผลจริง; ","")&amp;IF(OR($C32="",$D32="",NOT(ISNUMBER($E32))),"ขาดบริษัท/เลข PO/วันรับ; ","")&amp;IF($J32="","ขาดหลักฐาน PO; ","")&amp;IF(NOT(OR($I32="Active",$I32="Cancelled")),"เลือกสถานะ PO; ","")&amp;IF(COUNTIFS('Orders_PO'!$C$8:$C$107,$C32,'Orders_PO'!$D$8:$D$107,$D32)&gt;1,"PO/ผู้ออกซ้ำ; ","")&amp;IF(OR(NOT(ISNUMBER($F32)),$G32="",$H32="",$H32="ไม่ทราบ"),"ตรวจมูลค่า/สกุล/ฐาน VAT; ","")&amp;IF(AND($I32="Cancelled",OR(NOT(ISNUMBER($K32)),$L32="")),"ขาดวัน/เหตุผลยกเลิก; ","")))</x:f>
      </x:c>
      <x:c r="Q32" s="42" t="str">
        <x:f>IF(AND($A32="",$B32="",$D32=""),"",IF(AND($A32&lt;&gt;"",COUNTIF('Orders_PO'!$A$8:$A$107,$A32)=1,COUNTIF('Leads'!$A$8:$A$107,$B32)=1,$N32&lt;&gt;"",IFERROR(INDEX('Leads'!$BA$8:$BA$107,MATCH($B32,'Leads'!$A$8:$A$107,0)),0)=1,$C32&lt;&gt;"",$D32&lt;&gt;"",ISNUMBER($E32),$E32&gt;0,$J32&lt;&gt;"",OR($I32="Active",$I32="Cancelled"),COUNTIFS('Orders_PO'!$C$8:$C$107,$C32,'Orders_PO'!$D$8:$D$107,$D32)=1),1,0))</x:f>
      </x:c>
      <x:c r="R32" s="42" t="str">
        <x:f>IF($Q32="","",IF(AND($Q32=1,ISNUMBER($F32),$F32&gt;=0,$G32&lt;&gt;"",OR($H32="รวม VAT",$H32="ไม่รวม VAT")),1,0))</x:f>
      </x:c>
    </x:row>
    <x:row r="33" ht="30" customHeight="1">
      <x:c r="A33" s="96"/>
      <x:c r="B33" s="96"/>
      <x:c r="C33" s="36"/>
      <x:c r="D33" s="96"/>
      <x:c r="E33" s="82"/>
      <x:c r="F33" s="84"/>
      <x:c r="G33" s="36"/>
      <x:c r="H33" s="36"/>
      <x:c r="I33" s="36"/>
      <x:c r="J33" s="96"/>
      <x:c r="K33" s="82"/>
      <x:c r="L33" s="36"/>
      <x:c r="M33" s="36"/>
      <x:c r="N33" s="98" t="str">
        <x:f>IF($B33="","",IFERROR(IF(INDEX('Leads'!$AE$8:$AE$107,MATCH($B33,'Leads'!$A$8:$A$107,0))="","",INDEX('Leads'!$AE$8:$AE$107,MATCH($B33,'Leads'!$A$8:$A$107,0))),""))</x:f>
      </x:c>
      <x:c r="O33" s="42" t="str">
        <x:f>IF($B33="","",IFERROR(IF(INDEX('Leads'!$AA$8:$AA$107,MATCH($B33,'Leads'!$A$8:$A$107,0))="","",INDEX('Leads'!$AA$8:$AA$107,MATCH($B33,'Leads'!$A$8:$A$107,0))),""))</x:f>
      </x:c>
      <x:c r="P33" s="42" t="str">
        <x:f>IF(AND($A33="",$B33="",$D33=""),"",IF(AND($Q33=1,$R33=1,OR($I33="Active",AND(ISNUMBER($K33),$L33&lt;&gt;""))),"ครบ",IF($A33="","ขาด Order ID; ","")&amp;IF(AND($A33&lt;&gt;"",COUNTIF('Orders_PO'!$A$8:$A$107,$A33)&gt;1),"Order ID ซ้ำ; ","")&amp;IF(COUNTIF('Leads'!$A$8:$A$107,$B33)&lt;&gt;1,"ตรวจรหัส Lead; ","")&amp;IF(AND($B33&lt;&gt;"",IFERROR(INDEX('Leads'!$BA$8:$BA$107,MATCH($B33,'Leads'!$A$8:$A$107,0)),0)&lt;&gt;1),"Lead ยังไม่นับผลจริง; ","")&amp;IF(OR($C33="",$D33="",NOT(ISNUMBER($E33))),"ขาดบริษัท/เลข PO/วันรับ; ","")&amp;IF($J33="","ขาดหลักฐาน PO; ","")&amp;IF(NOT(OR($I33="Active",$I33="Cancelled")),"เลือกสถานะ PO; ","")&amp;IF(COUNTIFS('Orders_PO'!$C$8:$C$107,$C33,'Orders_PO'!$D$8:$D$107,$D33)&gt;1,"PO/ผู้ออกซ้ำ; ","")&amp;IF(OR(NOT(ISNUMBER($F33)),$G33="",$H33="",$H33="ไม่ทราบ"),"ตรวจมูลค่า/สกุล/ฐาน VAT; ","")&amp;IF(AND($I33="Cancelled",OR(NOT(ISNUMBER($K33)),$L33="")),"ขาดวัน/เหตุผลยกเลิก; ","")))</x:f>
      </x:c>
      <x:c r="Q33" s="42" t="str">
        <x:f>IF(AND($A33="",$B33="",$D33=""),"",IF(AND($A33&lt;&gt;"",COUNTIF('Orders_PO'!$A$8:$A$107,$A33)=1,COUNTIF('Leads'!$A$8:$A$107,$B33)=1,$N33&lt;&gt;"",IFERROR(INDEX('Leads'!$BA$8:$BA$107,MATCH($B33,'Leads'!$A$8:$A$107,0)),0)=1,$C33&lt;&gt;"",$D33&lt;&gt;"",ISNUMBER($E33),$E33&gt;0,$J33&lt;&gt;"",OR($I33="Active",$I33="Cancelled"),COUNTIFS('Orders_PO'!$C$8:$C$107,$C33,'Orders_PO'!$D$8:$D$107,$D33)=1),1,0))</x:f>
      </x:c>
      <x:c r="R33" s="42" t="str">
        <x:f>IF($Q33="","",IF(AND($Q33=1,ISNUMBER($F33),$F33&gt;=0,$G33&lt;&gt;"",OR($H33="รวม VAT",$H33="ไม่รวม VAT")),1,0))</x:f>
      </x:c>
    </x:row>
    <x:row r="34" ht="30" customHeight="1">
      <x:c r="A34" s="96"/>
      <x:c r="B34" s="96"/>
      <x:c r="C34" s="36"/>
      <x:c r="D34" s="96"/>
      <x:c r="E34" s="82"/>
      <x:c r="F34" s="84"/>
      <x:c r="G34" s="36"/>
      <x:c r="H34" s="36"/>
      <x:c r="I34" s="36"/>
      <x:c r="J34" s="96"/>
      <x:c r="K34" s="82"/>
      <x:c r="L34" s="36"/>
      <x:c r="M34" s="36"/>
      <x:c r="N34" s="98" t="str">
        <x:f>IF($B34="","",IFERROR(IF(INDEX('Leads'!$AE$8:$AE$107,MATCH($B34,'Leads'!$A$8:$A$107,0))="","",INDEX('Leads'!$AE$8:$AE$107,MATCH($B34,'Leads'!$A$8:$A$107,0))),""))</x:f>
      </x:c>
      <x:c r="O34" s="42" t="str">
        <x:f>IF($B34="","",IFERROR(IF(INDEX('Leads'!$AA$8:$AA$107,MATCH($B34,'Leads'!$A$8:$A$107,0))="","",INDEX('Leads'!$AA$8:$AA$107,MATCH($B34,'Leads'!$A$8:$A$107,0))),""))</x:f>
      </x:c>
      <x:c r="P34" s="42" t="str">
        <x:f>IF(AND($A34="",$B34="",$D34=""),"",IF(AND($Q34=1,$R34=1,OR($I34="Active",AND(ISNUMBER($K34),$L34&lt;&gt;""))),"ครบ",IF($A34="","ขาด Order ID; ","")&amp;IF(AND($A34&lt;&gt;"",COUNTIF('Orders_PO'!$A$8:$A$107,$A34)&gt;1),"Order ID ซ้ำ; ","")&amp;IF(COUNTIF('Leads'!$A$8:$A$107,$B34)&lt;&gt;1,"ตรวจรหัส Lead; ","")&amp;IF(AND($B34&lt;&gt;"",IFERROR(INDEX('Leads'!$BA$8:$BA$107,MATCH($B34,'Leads'!$A$8:$A$107,0)),0)&lt;&gt;1),"Lead ยังไม่นับผลจริง; ","")&amp;IF(OR($C34="",$D34="",NOT(ISNUMBER($E34))),"ขาดบริษัท/เลข PO/วันรับ; ","")&amp;IF($J34="","ขาดหลักฐาน PO; ","")&amp;IF(NOT(OR($I34="Active",$I34="Cancelled")),"เลือกสถานะ PO; ","")&amp;IF(COUNTIFS('Orders_PO'!$C$8:$C$107,$C34,'Orders_PO'!$D$8:$D$107,$D34)&gt;1,"PO/ผู้ออกซ้ำ; ","")&amp;IF(OR(NOT(ISNUMBER($F34)),$G34="",$H34="",$H34="ไม่ทราบ"),"ตรวจมูลค่า/สกุล/ฐาน VAT; ","")&amp;IF(AND($I34="Cancelled",OR(NOT(ISNUMBER($K34)),$L34="")),"ขาดวัน/เหตุผลยกเลิก; ","")))</x:f>
      </x:c>
      <x:c r="Q34" s="42" t="str">
        <x:f>IF(AND($A34="",$B34="",$D34=""),"",IF(AND($A34&lt;&gt;"",COUNTIF('Orders_PO'!$A$8:$A$107,$A34)=1,COUNTIF('Leads'!$A$8:$A$107,$B34)=1,$N34&lt;&gt;"",IFERROR(INDEX('Leads'!$BA$8:$BA$107,MATCH($B34,'Leads'!$A$8:$A$107,0)),0)=1,$C34&lt;&gt;"",$D34&lt;&gt;"",ISNUMBER($E34),$E34&gt;0,$J34&lt;&gt;"",OR($I34="Active",$I34="Cancelled"),COUNTIFS('Orders_PO'!$C$8:$C$107,$C34,'Orders_PO'!$D$8:$D$107,$D34)=1),1,0))</x:f>
      </x:c>
      <x:c r="R34" s="42" t="str">
        <x:f>IF($Q34="","",IF(AND($Q34=1,ISNUMBER($F34),$F34&gt;=0,$G34&lt;&gt;"",OR($H34="รวม VAT",$H34="ไม่รวม VAT")),1,0))</x:f>
      </x:c>
    </x:row>
    <x:row r="35" ht="30" customHeight="1">
      <x:c r="A35" s="96"/>
      <x:c r="B35" s="96"/>
      <x:c r="C35" s="36"/>
      <x:c r="D35" s="96"/>
      <x:c r="E35" s="82"/>
      <x:c r="F35" s="84"/>
      <x:c r="G35" s="36"/>
      <x:c r="H35" s="36"/>
      <x:c r="I35" s="36"/>
      <x:c r="J35" s="96"/>
      <x:c r="K35" s="82"/>
      <x:c r="L35" s="36"/>
      <x:c r="M35" s="36"/>
      <x:c r="N35" s="98" t="str">
        <x:f>IF($B35="","",IFERROR(IF(INDEX('Leads'!$AE$8:$AE$107,MATCH($B35,'Leads'!$A$8:$A$107,0))="","",INDEX('Leads'!$AE$8:$AE$107,MATCH($B35,'Leads'!$A$8:$A$107,0))),""))</x:f>
      </x:c>
      <x:c r="O35" s="42" t="str">
        <x:f>IF($B35="","",IFERROR(IF(INDEX('Leads'!$AA$8:$AA$107,MATCH($B35,'Leads'!$A$8:$A$107,0))="","",INDEX('Leads'!$AA$8:$AA$107,MATCH($B35,'Leads'!$A$8:$A$107,0))),""))</x:f>
      </x:c>
      <x:c r="P35" s="42" t="str">
        <x:f>IF(AND($A35="",$B35="",$D35=""),"",IF(AND($Q35=1,$R35=1,OR($I35="Active",AND(ISNUMBER($K35),$L35&lt;&gt;""))),"ครบ",IF($A35="","ขาด Order ID; ","")&amp;IF(AND($A35&lt;&gt;"",COUNTIF('Orders_PO'!$A$8:$A$107,$A35)&gt;1),"Order ID ซ้ำ; ","")&amp;IF(COUNTIF('Leads'!$A$8:$A$107,$B35)&lt;&gt;1,"ตรวจรหัส Lead; ","")&amp;IF(AND($B35&lt;&gt;"",IFERROR(INDEX('Leads'!$BA$8:$BA$107,MATCH($B35,'Leads'!$A$8:$A$107,0)),0)&lt;&gt;1),"Lead ยังไม่นับผลจริง; ","")&amp;IF(OR($C35="",$D35="",NOT(ISNUMBER($E35))),"ขาดบริษัท/เลข PO/วันรับ; ","")&amp;IF($J35="","ขาดหลักฐาน PO; ","")&amp;IF(NOT(OR($I35="Active",$I35="Cancelled")),"เลือกสถานะ PO; ","")&amp;IF(COUNTIFS('Orders_PO'!$C$8:$C$107,$C35,'Orders_PO'!$D$8:$D$107,$D35)&gt;1,"PO/ผู้ออกซ้ำ; ","")&amp;IF(OR(NOT(ISNUMBER($F35)),$G35="",$H35="",$H35="ไม่ทราบ"),"ตรวจมูลค่า/สกุล/ฐาน VAT; ","")&amp;IF(AND($I35="Cancelled",OR(NOT(ISNUMBER($K35)),$L35="")),"ขาดวัน/เหตุผลยกเลิก; ","")))</x:f>
      </x:c>
      <x:c r="Q35" s="42" t="str">
        <x:f>IF(AND($A35="",$B35="",$D35=""),"",IF(AND($A35&lt;&gt;"",COUNTIF('Orders_PO'!$A$8:$A$107,$A35)=1,COUNTIF('Leads'!$A$8:$A$107,$B35)=1,$N35&lt;&gt;"",IFERROR(INDEX('Leads'!$BA$8:$BA$107,MATCH($B35,'Leads'!$A$8:$A$107,0)),0)=1,$C35&lt;&gt;"",$D35&lt;&gt;"",ISNUMBER($E35),$E35&gt;0,$J35&lt;&gt;"",OR($I35="Active",$I35="Cancelled"),COUNTIFS('Orders_PO'!$C$8:$C$107,$C35,'Orders_PO'!$D$8:$D$107,$D35)=1),1,0))</x:f>
      </x:c>
      <x:c r="R35" s="42" t="str">
        <x:f>IF($Q35="","",IF(AND($Q35=1,ISNUMBER($F35),$F35&gt;=0,$G35&lt;&gt;"",OR($H35="รวม VAT",$H35="ไม่รวม VAT")),1,0))</x:f>
      </x:c>
    </x:row>
    <x:row r="36" ht="30" customHeight="1">
      <x:c r="A36" s="96"/>
      <x:c r="B36" s="96"/>
      <x:c r="C36" s="36"/>
      <x:c r="D36" s="96"/>
      <x:c r="E36" s="82"/>
      <x:c r="F36" s="84"/>
      <x:c r="G36" s="36"/>
      <x:c r="H36" s="36"/>
      <x:c r="I36" s="36"/>
      <x:c r="J36" s="96"/>
      <x:c r="K36" s="82"/>
      <x:c r="L36" s="36"/>
      <x:c r="M36" s="36"/>
      <x:c r="N36" s="98" t="str">
        <x:f>IF($B36="","",IFERROR(IF(INDEX('Leads'!$AE$8:$AE$107,MATCH($B36,'Leads'!$A$8:$A$107,0))="","",INDEX('Leads'!$AE$8:$AE$107,MATCH($B36,'Leads'!$A$8:$A$107,0))),""))</x:f>
      </x:c>
      <x:c r="O36" s="42" t="str">
        <x:f>IF($B36="","",IFERROR(IF(INDEX('Leads'!$AA$8:$AA$107,MATCH($B36,'Leads'!$A$8:$A$107,0))="","",INDEX('Leads'!$AA$8:$AA$107,MATCH($B36,'Leads'!$A$8:$A$107,0))),""))</x:f>
      </x:c>
      <x:c r="P36" s="42" t="str">
        <x:f>IF(AND($A36="",$B36="",$D36=""),"",IF(AND($Q36=1,$R36=1,OR($I36="Active",AND(ISNUMBER($K36),$L36&lt;&gt;""))),"ครบ",IF($A36="","ขาด Order ID; ","")&amp;IF(AND($A36&lt;&gt;"",COUNTIF('Orders_PO'!$A$8:$A$107,$A36)&gt;1),"Order ID ซ้ำ; ","")&amp;IF(COUNTIF('Leads'!$A$8:$A$107,$B36)&lt;&gt;1,"ตรวจรหัส Lead; ","")&amp;IF(AND($B36&lt;&gt;"",IFERROR(INDEX('Leads'!$BA$8:$BA$107,MATCH($B36,'Leads'!$A$8:$A$107,0)),0)&lt;&gt;1),"Lead ยังไม่นับผลจริง; ","")&amp;IF(OR($C36="",$D36="",NOT(ISNUMBER($E36))),"ขาดบริษัท/เลข PO/วันรับ; ","")&amp;IF($J36="","ขาดหลักฐาน PO; ","")&amp;IF(NOT(OR($I36="Active",$I36="Cancelled")),"เลือกสถานะ PO; ","")&amp;IF(COUNTIFS('Orders_PO'!$C$8:$C$107,$C36,'Orders_PO'!$D$8:$D$107,$D36)&gt;1,"PO/ผู้ออกซ้ำ; ","")&amp;IF(OR(NOT(ISNUMBER($F36)),$G36="",$H36="",$H36="ไม่ทราบ"),"ตรวจมูลค่า/สกุล/ฐาน VAT; ","")&amp;IF(AND($I36="Cancelled",OR(NOT(ISNUMBER($K36)),$L36="")),"ขาดวัน/เหตุผลยกเลิก; ","")))</x:f>
      </x:c>
      <x:c r="Q36" s="42" t="str">
        <x:f>IF(AND($A36="",$B36="",$D36=""),"",IF(AND($A36&lt;&gt;"",COUNTIF('Orders_PO'!$A$8:$A$107,$A36)=1,COUNTIF('Leads'!$A$8:$A$107,$B36)=1,$N36&lt;&gt;"",IFERROR(INDEX('Leads'!$BA$8:$BA$107,MATCH($B36,'Leads'!$A$8:$A$107,0)),0)=1,$C36&lt;&gt;"",$D36&lt;&gt;"",ISNUMBER($E36),$E36&gt;0,$J36&lt;&gt;"",OR($I36="Active",$I36="Cancelled"),COUNTIFS('Orders_PO'!$C$8:$C$107,$C36,'Orders_PO'!$D$8:$D$107,$D36)=1),1,0))</x:f>
      </x:c>
      <x:c r="R36" s="42" t="str">
        <x:f>IF($Q36="","",IF(AND($Q36=1,ISNUMBER($F36),$F36&gt;=0,$G36&lt;&gt;"",OR($H36="รวม VAT",$H36="ไม่รวม VAT")),1,0))</x:f>
      </x:c>
    </x:row>
    <x:row r="37" ht="30" customHeight="1">
      <x:c r="A37" s="96"/>
      <x:c r="B37" s="96"/>
      <x:c r="C37" s="36"/>
      <x:c r="D37" s="96"/>
      <x:c r="E37" s="82"/>
      <x:c r="F37" s="84"/>
      <x:c r="G37" s="36"/>
      <x:c r="H37" s="36"/>
      <x:c r="I37" s="36"/>
      <x:c r="J37" s="96"/>
      <x:c r="K37" s="82"/>
      <x:c r="L37" s="36"/>
      <x:c r="M37" s="36"/>
      <x:c r="N37" s="98" t="str">
        <x:f>IF($B37="","",IFERROR(IF(INDEX('Leads'!$AE$8:$AE$107,MATCH($B37,'Leads'!$A$8:$A$107,0))="","",INDEX('Leads'!$AE$8:$AE$107,MATCH($B37,'Leads'!$A$8:$A$107,0))),""))</x:f>
      </x:c>
      <x:c r="O37" s="42" t="str">
        <x:f>IF($B37="","",IFERROR(IF(INDEX('Leads'!$AA$8:$AA$107,MATCH($B37,'Leads'!$A$8:$A$107,0))="","",INDEX('Leads'!$AA$8:$AA$107,MATCH($B37,'Leads'!$A$8:$A$107,0))),""))</x:f>
      </x:c>
      <x:c r="P37" s="42" t="str">
        <x:f>IF(AND($A37="",$B37="",$D37=""),"",IF(AND($Q37=1,$R37=1,OR($I37="Active",AND(ISNUMBER($K37),$L37&lt;&gt;""))),"ครบ",IF($A37="","ขาด Order ID; ","")&amp;IF(AND($A37&lt;&gt;"",COUNTIF('Orders_PO'!$A$8:$A$107,$A37)&gt;1),"Order ID ซ้ำ; ","")&amp;IF(COUNTIF('Leads'!$A$8:$A$107,$B37)&lt;&gt;1,"ตรวจรหัส Lead; ","")&amp;IF(AND($B37&lt;&gt;"",IFERROR(INDEX('Leads'!$BA$8:$BA$107,MATCH($B37,'Leads'!$A$8:$A$107,0)),0)&lt;&gt;1),"Lead ยังไม่นับผลจริง; ","")&amp;IF(OR($C37="",$D37="",NOT(ISNUMBER($E37))),"ขาดบริษัท/เลข PO/วันรับ; ","")&amp;IF($J37="","ขาดหลักฐาน PO; ","")&amp;IF(NOT(OR($I37="Active",$I37="Cancelled")),"เลือกสถานะ PO; ","")&amp;IF(COUNTIFS('Orders_PO'!$C$8:$C$107,$C37,'Orders_PO'!$D$8:$D$107,$D37)&gt;1,"PO/ผู้ออกซ้ำ; ","")&amp;IF(OR(NOT(ISNUMBER($F37)),$G37="",$H37="",$H37="ไม่ทราบ"),"ตรวจมูลค่า/สกุล/ฐาน VAT; ","")&amp;IF(AND($I37="Cancelled",OR(NOT(ISNUMBER($K37)),$L37="")),"ขาดวัน/เหตุผลยกเลิก; ","")))</x:f>
      </x:c>
      <x:c r="Q37" s="42" t="str">
        <x:f>IF(AND($A37="",$B37="",$D37=""),"",IF(AND($A37&lt;&gt;"",COUNTIF('Orders_PO'!$A$8:$A$107,$A37)=1,COUNTIF('Leads'!$A$8:$A$107,$B37)=1,$N37&lt;&gt;"",IFERROR(INDEX('Leads'!$BA$8:$BA$107,MATCH($B37,'Leads'!$A$8:$A$107,0)),0)=1,$C37&lt;&gt;"",$D37&lt;&gt;"",ISNUMBER($E37),$E37&gt;0,$J37&lt;&gt;"",OR($I37="Active",$I37="Cancelled"),COUNTIFS('Orders_PO'!$C$8:$C$107,$C37,'Orders_PO'!$D$8:$D$107,$D37)=1),1,0))</x:f>
      </x:c>
      <x:c r="R37" s="42" t="str">
        <x:f>IF($Q37="","",IF(AND($Q37=1,ISNUMBER($F37),$F37&gt;=0,$G37&lt;&gt;"",OR($H37="รวม VAT",$H37="ไม่รวม VAT")),1,0))</x:f>
      </x:c>
    </x:row>
    <x:row r="38" ht="30" customHeight="1">
      <x:c r="A38" s="96"/>
      <x:c r="B38" s="96"/>
      <x:c r="C38" s="36"/>
      <x:c r="D38" s="96"/>
      <x:c r="E38" s="82"/>
      <x:c r="F38" s="84"/>
      <x:c r="G38" s="36"/>
      <x:c r="H38" s="36"/>
      <x:c r="I38" s="36"/>
      <x:c r="J38" s="96"/>
      <x:c r="K38" s="82"/>
      <x:c r="L38" s="36"/>
      <x:c r="M38" s="36"/>
      <x:c r="N38" s="98" t="str">
        <x:f>IF($B38="","",IFERROR(IF(INDEX('Leads'!$AE$8:$AE$107,MATCH($B38,'Leads'!$A$8:$A$107,0))="","",INDEX('Leads'!$AE$8:$AE$107,MATCH($B38,'Leads'!$A$8:$A$107,0))),""))</x:f>
      </x:c>
      <x:c r="O38" s="42" t="str">
        <x:f>IF($B38="","",IFERROR(IF(INDEX('Leads'!$AA$8:$AA$107,MATCH($B38,'Leads'!$A$8:$A$107,0))="","",INDEX('Leads'!$AA$8:$AA$107,MATCH($B38,'Leads'!$A$8:$A$107,0))),""))</x:f>
      </x:c>
      <x:c r="P38" s="42" t="str">
        <x:f>IF(AND($A38="",$B38="",$D38=""),"",IF(AND($Q38=1,$R38=1,OR($I38="Active",AND(ISNUMBER($K38),$L38&lt;&gt;""))),"ครบ",IF($A38="","ขาด Order ID; ","")&amp;IF(AND($A38&lt;&gt;"",COUNTIF('Orders_PO'!$A$8:$A$107,$A38)&gt;1),"Order ID ซ้ำ; ","")&amp;IF(COUNTIF('Leads'!$A$8:$A$107,$B38)&lt;&gt;1,"ตรวจรหัส Lead; ","")&amp;IF(AND($B38&lt;&gt;"",IFERROR(INDEX('Leads'!$BA$8:$BA$107,MATCH($B38,'Leads'!$A$8:$A$107,0)),0)&lt;&gt;1),"Lead ยังไม่นับผลจริง; ","")&amp;IF(OR($C38="",$D38="",NOT(ISNUMBER($E38))),"ขาดบริษัท/เลข PO/วันรับ; ","")&amp;IF($J38="","ขาดหลักฐาน PO; ","")&amp;IF(NOT(OR($I38="Active",$I38="Cancelled")),"เลือกสถานะ PO; ","")&amp;IF(COUNTIFS('Orders_PO'!$C$8:$C$107,$C38,'Orders_PO'!$D$8:$D$107,$D38)&gt;1,"PO/ผู้ออกซ้ำ; ","")&amp;IF(OR(NOT(ISNUMBER($F38)),$G38="",$H38="",$H38="ไม่ทราบ"),"ตรวจมูลค่า/สกุล/ฐาน VAT; ","")&amp;IF(AND($I38="Cancelled",OR(NOT(ISNUMBER($K38)),$L38="")),"ขาดวัน/เหตุผลยกเลิก; ","")))</x:f>
      </x:c>
      <x:c r="Q38" s="42" t="str">
        <x:f>IF(AND($A38="",$B38="",$D38=""),"",IF(AND($A38&lt;&gt;"",COUNTIF('Orders_PO'!$A$8:$A$107,$A38)=1,COUNTIF('Leads'!$A$8:$A$107,$B38)=1,$N38&lt;&gt;"",IFERROR(INDEX('Leads'!$BA$8:$BA$107,MATCH($B38,'Leads'!$A$8:$A$107,0)),0)=1,$C38&lt;&gt;"",$D38&lt;&gt;"",ISNUMBER($E38),$E38&gt;0,$J38&lt;&gt;"",OR($I38="Active",$I38="Cancelled"),COUNTIFS('Orders_PO'!$C$8:$C$107,$C38,'Orders_PO'!$D$8:$D$107,$D38)=1),1,0))</x:f>
      </x:c>
      <x:c r="R38" s="42" t="str">
        <x:f>IF($Q38="","",IF(AND($Q38=1,ISNUMBER($F38),$F38&gt;=0,$G38&lt;&gt;"",OR($H38="รวม VAT",$H38="ไม่รวม VAT")),1,0))</x:f>
      </x:c>
    </x:row>
    <x:row r="39" ht="30" customHeight="1">
      <x:c r="A39" s="96"/>
      <x:c r="B39" s="96"/>
      <x:c r="C39" s="36"/>
      <x:c r="D39" s="96"/>
      <x:c r="E39" s="82"/>
      <x:c r="F39" s="84"/>
      <x:c r="G39" s="36"/>
      <x:c r="H39" s="36"/>
      <x:c r="I39" s="36"/>
      <x:c r="J39" s="96"/>
      <x:c r="K39" s="82"/>
      <x:c r="L39" s="36"/>
      <x:c r="M39" s="36"/>
      <x:c r="N39" s="98" t="str">
        <x:f>IF($B39="","",IFERROR(IF(INDEX('Leads'!$AE$8:$AE$107,MATCH($B39,'Leads'!$A$8:$A$107,0))="","",INDEX('Leads'!$AE$8:$AE$107,MATCH($B39,'Leads'!$A$8:$A$107,0))),""))</x:f>
      </x:c>
      <x:c r="O39" s="42" t="str">
        <x:f>IF($B39="","",IFERROR(IF(INDEX('Leads'!$AA$8:$AA$107,MATCH($B39,'Leads'!$A$8:$A$107,0))="","",INDEX('Leads'!$AA$8:$AA$107,MATCH($B39,'Leads'!$A$8:$A$107,0))),""))</x:f>
      </x:c>
      <x:c r="P39" s="42" t="str">
        <x:f>IF(AND($A39="",$B39="",$D39=""),"",IF(AND($Q39=1,$R39=1,OR($I39="Active",AND(ISNUMBER($K39),$L39&lt;&gt;""))),"ครบ",IF($A39="","ขาด Order ID; ","")&amp;IF(AND($A39&lt;&gt;"",COUNTIF('Orders_PO'!$A$8:$A$107,$A39)&gt;1),"Order ID ซ้ำ; ","")&amp;IF(COUNTIF('Leads'!$A$8:$A$107,$B39)&lt;&gt;1,"ตรวจรหัส Lead; ","")&amp;IF(AND($B39&lt;&gt;"",IFERROR(INDEX('Leads'!$BA$8:$BA$107,MATCH($B39,'Leads'!$A$8:$A$107,0)),0)&lt;&gt;1),"Lead ยังไม่นับผลจริง; ","")&amp;IF(OR($C39="",$D39="",NOT(ISNUMBER($E39))),"ขาดบริษัท/เลข PO/วันรับ; ","")&amp;IF($J39="","ขาดหลักฐาน PO; ","")&amp;IF(NOT(OR($I39="Active",$I39="Cancelled")),"เลือกสถานะ PO; ","")&amp;IF(COUNTIFS('Orders_PO'!$C$8:$C$107,$C39,'Orders_PO'!$D$8:$D$107,$D39)&gt;1,"PO/ผู้ออกซ้ำ; ","")&amp;IF(OR(NOT(ISNUMBER($F39)),$G39="",$H39="",$H39="ไม่ทราบ"),"ตรวจมูลค่า/สกุล/ฐาน VAT; ","")&amp;IF(AND($I39="Cancelled",OR(NOT(ISNUMBER($K39)),$L39="")),"ขาดวัน/เหตุผลยกเลิก; ","")))</x:f>
      </x:c>
      <x:c r="Q39" s="42" t="str">
        <x:f>IF(AND($A39="",$B39="",$D39=""),"",IF(AND($A39&lt;&gt;"",COUNTIF('Orders_PO'!$A$8:$A$107,$A39)=1,COUNTIF('Leads'!$A$8:$A$107,$B39)=1,$N39&lt;&gt;"",IFERROR(INDEX('Leads'!$BA$8:$BA$107,MATCH($B39,'Leads'!$A$8:$A$107,0)),0)=1,$C39&lt;&gt;"",$D39&lt;&gt;"",ISNUMBER($E39),$E39&gt;0,$J39&lt;&gt;"",OR($I39="Active",$I39="Cancelled"),COUNTIFS('Orders_PO'!$C$8:$C$107,$C39,'Orders_PO'!$D$8:$D$107,$D39)=1),1,0))</x:f>
      </x:c>
      <x:c r="R39" s="42" t="str">
        <x:f>IF($Q39="","",IF(AND($Q39=1,ISNUMBER($F39),$F39&gt;=0,$G39&lt;&gt;"",OR($H39="รวม VAT",$H39="ไม่รวม VAT")),1,0))</x:f>
      </x:c>
    </x:row>
    <x:row r="40" ht="30" customHeight="1">
      <x:c r="A40" s="96"/>
      <x:c r="B40" s="96"/>
      <x:c r="C40" s="36"/>
      <x:c r="D40" s="96"/>
      <x:c r="E40" s="82"/>
      <x:c r="F40" s="84"/>
      <x:c r="G40" s="36"/>
      <x:c r="H40" s="36"/>
      <x:c r="I40" s="36"/>
      <x:c r="J40" s="96"/>
      <x:c r="K40" s="82"/>
      <x:c r="L40" s="36"/>
      <x:c r="M40" s="36"/>
      <x:c r="N40" s="98" t="str">
        <x:f>IF($B40="","",IFERROR(IF(INDEX('Leads'!$AE$8:$AE$107,MATCH($B40,'Leads'!$A$8:$A$107,0))="","",INDEX('Leads'!$AE$8:$AE$107,MATCH($B40,'Leads'!$A$8:$A$107,0))),""))</x:f>
      </x:c>
      <x:c r="O40" s="42" t="str">
        <x:f>IF($B40="","",IFERROR(IF(INDEX('Leads'!$AA$8:$AA$107,MATCH($B40,'Leads'!$A$8:$A$107,0))="","",INDEX('Leads'!$AA$8:$AA$107,MATCH($B40,'Leads'!$A$8:$A$107,0))),""))</x:f>
      </x:c>
      <x:c r="P40" s="42" t="str">
        <x:f>IF(AND($A40="",$B40="",$D40=""),"",IF(AND($Q40=1,$R40=1,OR($I40="Active",AND(ISNUMBER($K40),$L40&lt;&gt;""))),"ครบ",IF($A40="","ขาด Order ID; ","")&amp;IF(AND($A40&lt;&gt;"",COUNTIF('Orders_PO'!$A$8:$A$107,$A40)&gt;1),"Order ID ซ้ำ; ","")&amp;IF(COUNTIF('Leads'!$A$8:$A$107,$B40)&lt;&gt;1,"ตรวจรหัส Lead; ","")&amp;IF(AND($B40&lt;&gt;"",IFERROR(INDEX('Leads'!$BA$8:$BA$107,MATCH($B40,'Leads'!$A$8:$A$107,0)),0)&lt;&gt;1),"Lead ยังไม่นับผลจริง; ","")&amp;IF(OR($C40="",$D40="",NOT(ISNUMBER($E40))),"ขาดบริษัท/เลข PO/วันรับ; ","")&amp;IF($J40="","ขาดหลักฐาน PO; ","")&amp;IF(NOT(OR($I40="Active",$I40="Cancelled")),"เลือกสถานะ PO; ","")&amp;IF(COUNTIFS('Orders_PO'!$C$8:$C$107,$C40,'Orders_PO'!$D$8:$D$107,$D40)&gt;1,"PO/ผู้ออกซ้ำ; ","")&amp;IF(OR(NOT(ISNUMBER($F40)),$G40="",$H40="",$H40="ไม่ทราบ"),"ตรวจมูลค่า/สกุล/ฐาน VAT; ","")&amp;IF(AND($I40="Cancelled",OR(NOT(ISNUMBER($K40)),$L40="")),"ขาดวัน/เหตุผลยกเลิก; ","")))</x:f>
      </x:c>
      <x:c r="Q40" s="42" t="str">
        <x:f>IF(AND($A40="",$B40="",$D40=""),"",IF(AND($A40&lt;&gt;"",COUNTIF('Orders_PO'!$A$8:$A$107,$A40)=1,COUNTIF('Leads'!$A$8:$A$107,$B40)=1,$N40&lt;&gt;"",IFERROR(INDEX('Leads'!$BA$8:$BA$107,MATCH($B40,'Leads'!$A$8:$A$107,0)),0)=1,$C40&lt;&gt;"",$D40&lt;&gt;"",ISNUMBER($E40),$E40&gt;0,$J40&lt;&gt;"",OR($I40="Active",$I40="Cancelled"),COUNTIFS('Orders_PO'!$C$8:$C$107,$C40,'Orders_PO'!$D$8:$D$107,$D40)=1),1,0))</x:f>
      </x:c>
      <x:c r="R40" s="42" t="str">
        <x:f>IF($Q40="","",IF(AND($Q40=1,ISNUMBER($F40),$F40&gt;=0,$G40&lt;&gt;"",OR($H40="รวม VAT",$H40="ไม่รวม VAT")),1,0))</x:f>
      </x:c>
    </x:row>
    <x:row r="41" ht="30" customHeight="1">
      <x:c r="A41" s="96"/>
      <x:c r="B41" s="96"/>
      <x:c r="C41" s="36"/>
      <x:c r="D41" s="96"/>
      <x:c r="E41" s="82"/>
      <x:c r="F41" s="84"/>
      <x:c r="G41" s="36"/>
      <x:c r="H41" s="36"/>
      <x:c r="I41" s="36"/>
      <x:c r="J41" s="96"/>
      <x:c r="K41" s="82"/>
      <x:c r="L41" s="36"/>
      <x:c r="M41" s="36"/>
      <x:c r="N41" s="98" t="str">
        <x:f>IF($B41="","",IFERROR(IF(INDEX('Leads'!$AE$8:$AE$107,MATCH($B41,'Leads'!$A$8:$A$107,0))="","",INDEX('Leads'!$AE$8:$AE$107,MATCH($B41,'Leads'!$A$8:$A$107,0))),""))</x:f>
      </x:c>
      <x:c r="O41" s="42" t="str">
        <x:f>IF($B41="","",IFERROR(IF(INDEX('Leads'!$AA$8:$AA$107,MATCH($B41,'Leads'!$A$8:$A$107,0))="","",INDEX('Leads'!$AA$8:$AA$107,MATCH($B41,'Leads'!$A$8:$A$107,0))),""))</x:f>
      </x:c>
      <x:c r="P41" s="42" t="str">
        <x:f>IF(AND($A41="",$B41="",$D41=""),"",IF(AND($Q41=1,$R41=1,OR($I41="Active",AND(ISNUMBER($K41),$L41&lt;&gt;""))),"ครบ",IF($A41="","ขาด Order ID; ","")&amp;IF(AND($A41&lt;&gt;"",COUNTIF('Orders_PO'!$A$8:$A$107,$A41)&gt;1),"Order ID ซ้ำ; ","")&amp;IF(COUNTIF('Leads'!$A$8:$A$107,$B41)&lt;&gt;1,"ตรวจรหัส Lead; ","")&amp;IF(AND($B41&lt;&gt;"",IFERROR(INDEX('Leads'!$BA$8:$BA$107,MATCH($B41,'Leads'!$A$8:$A$107,0)),0)&lt;&gt;1),"Lead ยังไม่นับผลจริง; ","")&amp;IF(OR($C41="",$D41="",NOT(ISNUMBER($E41))),"ขาดบริษัท/เลข PO/วันรับ; ","")&amp;IF($J41="","ขาดหลักฐาน PO; ","")&amp;IF(NOT(OR($I41="Active",$I41="Cancelled")),"เลือกสถานะ PO; ","")&amp;IF(COUNTIFS('Orders_PO'!$C$8:$C$107,$C41,'Orders_PO'!$D$8:$D$107,$D41)&gt;1,"PO/ผู้ออกซ้ำ; ","")&amp;IF(OR(NOT(ISNUMBER($F41)),$G41="",$H41="",$H41="ไม่ทราบ"),"ตรวจมูลค่า/สกุล/ฐาน VAT; ","")&amp;IF(AND($I41="Cancelled",OR(NOT(ISNUMBER($K41)),$L41="")),"ขาดวัน/เหตุผลยกเลิก; ","")))</x:f>
      </x:c>
      <x:c r="Q41" s="42" t="str">
        <x:f>IF(AND($A41="",$B41="",$D41=""),"",IF(AND($A41&lt;&gt;"",COUNTIF('Orders_PO'!$A$8:$A$107,$A41)=1,COUNTIF('Leads'!$A$8:$A$107,$B41)=1,$N41&lt;&gt;"",IFERROR(INDEX('Leads'!$BA$8:$BA$107,MATCH($B41,'Leads'!$A$8:$A$107,0)),0)=1,$C41&lt;&gt;"",$D41&lt;&gt;"",ISNUMBER($E41),$E41&gt;0,$J41&lt;&gt;"",OR($I41="Active",$I41="Cancelled"),COUNTIFS('Orders_PO'!$C$8:$C$107,$C41,'Orders_PO'!$D$8:$D$107,$D41)=1),1,0))</x:f>
      </x:c>
      <x:c r="R41" s="42" t="str">
        <x:f>IF($Q41="","",IF(AND($Q41=1,ISNUMBER($F41),$F41&gt;=0,$G41&lt;&gt;"",OR($H41="รวม VAT",$H41="ไม่รวม VAT")),1,0))</x:f>
      </x:c>
    </x:row>
    <x:row r="42" ht="30" customHeight="1">
      <x:c r="A42" s="96"/>
      <x:c r="B42" s="96"/>
      <x:c r="C42" s="36"/>
      <x:c r="D42" s="96"/>
      <x:c r="E42" s="82"/>
      <x:c r="F42" s="84"/>
      <x:c r="G42" s="36"/>
      <x:c r="H42" s="36"/>
      <x:c r="I42" s="36"/>
      <x:c r="J42" s="96"/>
      <x:c r="K42" s="82"/>
      <x:c r="L42" s="36"/>
      <x:c r="M42" s="36"/>
      <x:c r="N42" s="98" t="str">
        <x:f>IF($B42="","",IFERROR(IF(INDEX('Leads'!$AE$8:$AE$107,MATCH($B42,'Leads'!$A$8:$A$107,0))="","",INDEX('Leads'!$AE$8:$AE$107,MATCH($B42,'Leads'!$A$8:$A$107,0))),""))</x:f>
      </x:c>
      <x:c r="O42" s="42" t="str">
        <x:f>IF($B42="","",IFERROR(IF(INDEX('Leads'!$AA$8:$AA$107,MATCH($B42,'Leads'!$A$8:$A$107,0))="","",INDEX('Leads'!$AA$8:$AA$107,MATCH($B42,'Leads'!$A$8:$A$107,0))),""))</x:f>
      </x:c>
      <x:c r="P42" s="42" t="str">
        <x:f>IF(AND($A42="",$B42="",$D42=""),"",IF(AND($Q42=1,$R42=1,OR($I42="Active",AND(ISNUMBER($K42),$L42&lt;&gt;""))),"ครบ",IF($A42="","ขาด Order ID; ","")&amp;IF(AND($A42&lt;&gt;"",COUNTIF('Orders_PO'!$A$8:$A$107,$A42)&gt;1),"Order ID ซ้ำ; ","")&amp;IF(COUNTIF('Leads'!$A$8:$A$107,$B42)&lt;&gt;1,"ตรวจรหัส Lead; ","")&amp;IF(AND($B42&lt;&gt;"",IFERROR(INDEX('Leads'!$BA$8:$BA$107,MATCH($B42,'Leads'!$A$8:$A$107,0)),0)&lt;&gt;1),"Lead ยังไม่นับผลจริง; ","")&amp;IF(OR($C42="",$D42="",NOT(ISNUMBER($E42))),"ขาดบริษัท/เลข PO/วันรับ; ","")&amp;IF($J42="","ขาดหลักฐาน PO; ","")&amp;IF(NOT(OR($I42="Active",$I42="Cancelled")),"เลือกสถานะ PO; ","")&amp;IF(COUNTIFS('Orders_PO'!$C$8:$C$107,$C42,'Orders_PO'!$D$8:$D$107,$D42)&gt;1,"PO/ผู้ออกซ้ำ; ","")&amp;IF(OR(NOT(ISNUMBER($F42)),$G42="",$H42="",$H42="ไม่ทราบ"),"ตรวจมูลค่า/สกุล/ฐาน VAT; ","")&amp;IF(AND($I42="Cancelled",OR(NOT(ISNUMBER($K42)),$L42="")),"ขาดวัน/เหตุผลยกเลิก; ","")))</x:f>
      </x:c>
      <x:c r="Q42" s="42" t="str">
        <x:f>IF(AND($A42="",$B42="",$D42=""),"",IF(AND($A42&lt;&gt;"",COUNTIF('Orders_PO'!$A$8:$A$107,$A42)=1,COUNTIF('Leads'!$A$8:$A$107,$B42)=1,$N42&lt;&gt;"",IFERROR(INDEX('Leads'!$BA$8:$BA$107,MATCH($B42,'Leads'!$A$8:$A$107,0)),0)=1,$C42&lt;&gt;"",$D42&lt;&gt;"",ISNUMBER($E42),$E42&gt;0,$J42&lt;&gt;"",OR($I42="Active",$I42="Cancelled"),COUNTIFS('Orders_PO'!$C$8:$C$107,$C42,'Orders_PO'!$D$8:$D$107,$D42)=1),1,0))</x:f>
      </x:c>
      <x:c r="R42" s="42" t="str">
        <x:f>IF($Q42="","",IF(AND($Q42=1,ISNUMBER($F42),$F42&gt;=0,$G42&lt;&gt;"",OR($H42="รวม VAT",$H42="ไม่รวม VAT")),1,0))</x:f>
      </x:c>
    </x:row>
    <x:row r="43" ht="30" customHeight="1">
      <x:c r="A43" s="96"/>
      <x:c r="B43" s="96"/>
      <x:c r="C43" s="36"/>
      <x:c r="D43" s="96"/>
      <x:c r="E43" s="82"/>
      <x:c r="F43" s="84"/>
      <x:c r="G43" s="36"/>
      <x:c r="H43" s="36"/>
      <x:c r="I43" s="36"/>
      <x:c r="J43" s="96"/>
      <x:c r="K43" s="82"/>
      <x:c r="L43" s="36"/>
      <x:c r="M43" s="36"/>
      <x:c r="N43" s="98" t="str">
        <x:f>IF($B43="","",IFERROR(IF(INDEX('Leads'!$AE$8:$AE$107,MATCH($B43,'Leads'!$A$8:$A$107,0))="","",INDEX('Leads'!$AE$8:$AE$107,MATCH($B43,'Leads'!$A$8:$A$107,0))),""))</x:f>
      </x:c>
      <x:c r="O43" s="42" t="str">
        <x:f>IF($B43="","",IFERROR(IF(INDEX('Leads'!$AA$8:$AA$107,MATCH($B43,'Leads'!$A$8:$A$107,0))="","",INDEX('Leads'!$AA$8:$AA$107,MATCH($B43,'Leads'!$A$8:$A$107,0))),""))</x:f>
      </x:c>
      <x:c r="P43" s="42" t="str">
        <x:f>IF(AND($A43="",$B43="",$D43=""),"",IF(AND($Q43=1,$R43=1,OR($I43="Active",AND(ISNUMBER($K43),$L43&lt;&gt;""))),"ครบ",IF($A43="","ขาด Order ID; ","")&amp;IF(AND($A43&lt;&gt;"",COUNTIF('Orders_PO'!$A$8:$A$107,$A43)&gt;1),"Order ID ซ้ำ; ","")&amp;IF(COUNTIF('Leads'!$A$8:$A$107,$B43)&lt;&gt;1,"ตรวจรหัส Lead; ","")&amp;IF(AND($B43&lt;&gt;"",IFERROR(INDEX('Leads'!$BA$8:$BA$107,MATCH($B43,'Leads'!$A$8:$A$107,0)),0)&lt;&gt;1),"Lead ยังไม่นับผลจริง; ","")&amp;IF(OR($C43="",$D43="",NOT(ISNUMBER($E43))),"ขาดบริษัท/เลข PO/วันรับ; ","")&amp;IF($J43="","ขาดหลักฐาน PO; ","")&amp;IF(NOT(OR($I43="Active",$I43="Cancelled")),"เลือกสถานะ PO; ","")&amp;IF(COUNTIFS('Orders_PO'!$C$8:$C$107,$C43,'Orders_PO'!$D$8:$D$107,$D43)&gt;1,"PO/ผู้ออกซ้ำ; ","")&amp;IF(OR(NOT(ISNUMBER($F43)),$G43="",$H43="",$H43="ไม่ทราบ"),"ตรวจมูลค่า/สกุล/ฐาน VAT; ","")&amp;IF(AND($I43="Cancelled",OR(NOT(ISNUMBER($K43)),$L43="")),"ขาดวัน/เหตุผลยกเลิก; ","")))</x:f>
      </x:c>
      <x:c r="Q43" s="42" t="str">
        <x:f>IF(AND($A43="",$B43="",$D43=""),"",IF(AND($A43&lt;&gt;"",COUNTIF('Orders_PO'!$A$8:$A$107,$A43)=1,COUNTIF('Leads'!$A$8:$A$107,$B43)=1,$N43&lt;&gt;"",IFERROR(INDEX('Leads'!$BA$8:$BA$107,MATCH($B43,'Leads'!$A$8:$A$107,0)),0)=1,$C43&lt;&gt;"",$D43&lt;&gt;"",ISNUMBER($E43),$E43&gt;0,$J43&lt;&gt;"",OR($I43="Active",$I43="Cancelled"),COUNTIFS('Orders_PO'!$C$8:$C$107,$C43,'Orders_PO'!$D$8:$D$107,$D43)=1),1,0))</x:f>
      </x:c>
      <x:c r="R43" s="42" t="str">
        <x:f>IF($Q43="","",IF(AND($Q43=1,ISNUMBER($F43),$F43&gt;=0,$G43&lt;&gt;"",OR($H43="รวม VAT",$H43="ไม่รวม VAT")),1,0))</x:f>
      </x:c>
    </x:row>
    <x:row r="44" ht="30" customHeight="1">
      <x:c r="A44" s="96"/>
      <x:c r="B44" s="96"/>
      <x:c r="C44" s="36"/>
      <x:c r="D44" s="96"/>
      <x:c r="E44" s="82"/>
      <x:c r="F44" s="84"/>
      <x:c r="G44" s="36"/>
      <x:c r="H44" s="36"/>
      <x:c r="I44" s="36"/>
      <x:c r="J44" s="96"/>
      <x:c r="K44" s="82"/>
      <x:c r="L44" s="36"/>
      <x:c r="M44" s="36"/>
      <x:c r="N44" s="98" t="str">
        <x:f>IF($B44="","",IFERROR(IF(INDEX('Leads'!$AE$8:$AE$107,MATCH($B44,'Leads'!$A$8:$A$107,0))="","",INDEX('Leads'!$AE$8:$AE$107,MATCH($B44,'Leads'!$A$8:$A$107,0))),""))</x:f>
      </x:c>
      <x:c r="O44" s="42" t="str">
        <x:f>IF($B44="","",IFERROR(IF(INDEX('Leads'!$AA$8:$AA$107,MATCH($B44,'Leads'!$A$8:$A$107,0))="","",INDEX('Leads'!$AA$8:$AA$107,MATCH($B44,'Leads'!$A$8:$A$107,0))),""))</x:f>
      </x:c>
      <x:c r="P44" s="42" t="str">
        <x:f>IF(AND($A44="",$B44="",$D44=""),"",IF(AND($Q44=1,$R44=1,OR($I44="Active",AND(ISNUMBER($K44),$L44&lt;&gt;""))),"ครบ",IF($A44="","ขาด Order ID; ","")&amp;IF(AND($A44&lt;&gt;"",COUNTIF('Orders_PO'!$A$8:$A$107,$A44)&gt;1),"Order ID ซ้ำ; ","")&amp;IF(COUNTIF('Leads'!$A$8:$A$107,$B44)&lt;&gt;1,"ตรวจรหัส Lead; ","")&amp;IF(AND($B44&lt;&gt;"",IFERROR(INDEX('Leads'!$BA$8:$BA$107,MATCH($B44,'Leads'!$A$8:$A$107,0)),0)&lt;&gt;1),"Lead ยังไม่นับผลจริง; ","")&amp;IF(OR($C44="",$D44="",NOT(ISNUMBER($E44))),"ขาดบริษัท/เลข PO/วันรับ; ","")&amp;IF($J44="","ขาดหลักฐาน PO; ","")&amp;IF(NOT(OR($I44="Active",$I44="Cancelled")),"เลือกสถานะ PO; ","")&amp;IF(COUNTIFS('Orders_PO'!$C$8:$C$107,$C44,'Orders_PO'!$D$8:$D$107,$D44)&gt;1,"PO/ผู้ออกซ้ำ; ","")&amp;IF(OR(NOT(ISNUMBER($F44)),$G44="",$H44="",$H44="ไม่ทราบ"),"ตรวจมูลค่า/สกุล/ฐาน VAT; ","")&amp;IF(AND($I44="Cancelled",OR(NOT(ISNUMBER($K44)),$L44="")),"ขาดวัน/เหตุผลยกเลิก; ","")))</x:f>
      </x:c>
      <x:c r="Q44" s="42" t="str">
        <x:f>IF(AND($A44="",$B44="",$D44=""),"",IF(AND($A44&lt;&gt;"",COUNTIF('Orders_PO'!$A$8:$A$107,$A44)=1,COUNTIF('Leads'!$A$8:$A$107,$B44)=1,$N44&lt;&gt;"",IFERROR(INDEX('Leads'!$BA$8:$BA$107,MATCH($B44,'Leads'!$A$8:$A$107,0)),0)=1,$C44&lt;&gt;"",$D44&lt;&gt;"",ISNUMBER($E44),$E44&gt;0,$J44&lt;&gt;"",OR($I44="Active",$I44="Cancelled"),COUNTIFS('Orders_PO'!$C$8:$C$107,$C44,'Orders_PO'!$D$8:$D$107,$D44)=1),1,0))</x:f>
      </x:c>
      <x:c r="R44" s="42" t="str">
        <x:f>IF($Q44="","",IF(AND($Q44=1,ISNUMBER($F44),$F44&gt;=0,$G44&lt;&gt;"",OR($H44="รวม VAT",$H44="ไม่รวม VAT")),1,0))</x:f>
      </x:c>
    </x:row>
    <x:row r="45" ht="30" customHeight="1">
      <x:c r="A45" s="96"/>
      <x:c r="B45" s="96"/>
      <x:c r="C45" s="36"/>
      <x:c r="D45" s="96"/>
      <x:c r="E45" s="82"/>
      <x:c r="F45" s="84"/>
      <x:c r="G45" s="36"/>
      <x:c r="H45" s="36"/>
      <x:c r="I45" s="36"/>
      <x:c r="J45" s="96"/>
      <x:c r="K45" s="82"/>
      <x:c r="L45" s="36"/>
      <x:c r="M45" s="36"/>
      <x:c r="N45" s="98" t="str">
        <x:f>IF($B45="","",IFERROR(IF(INDEX('Leads'!$AE$8:$AE$107,MATCH($B45,'Leads'!$A$8:$A$107,0))="","",INDEX('Leads'!$AE$8:$AE$107,MATCH($B45,'Leads'!$A$8:$A$107,0))),""))</x:f>
      </x:c>
      <x:c r="O45" s="42" t="str">
        <x:f>IF($B45="","",IFERROR(IF(INDEX('Leads'!$AA$8:$AA$107,MATCH($B45,'Leads'!$A$8:$A$107,0))="","",INDEX('Leads'!$AA$8:$AA$107,MATCH($B45,'Leads'!$A$8:$A$107,0))),""))</x:f>
      </x:c>
      <x:c r="P45" s="42" t="str">
        <x:f>IF(AND($A45="",$B45="",$D45=""),"",IF(AND($Q45=1,$R45=1,OR($I45="Active",AND(ISNUMBER($K45),$L45&lt;&gt;""))),"ครบ",IF($A45="","ขาด Order ID; ","")&amp;IF(AND($A45&lt;&gt;"",COUNTIF('Orders_PO'!$A$8:$A$107,$A45)&gt;1),"Order ID ซ้ำ; ","")&amp;IF(COUNTIF('Leads'!$A$8:$A$107,$B45)&lt;&gt;1,"ตรวจรหัส Lead; ","")&amp;IF(AND($B45&lt;&gt;"",IFERROR(INDEX('Leads'!$BA$8:$BA$107,MATCH($B45,'Leads'!$A$8:$A$107,0)),0)&lt;&gt;1),"Lead ยังไม่นับผลจริง; ","")&amp;IF(OR($C45="",$D45="",NOT(ISNUMBER($E45))),"ขาดบริษัท/เลข PO/วันรับ; ","")&amp;IF($J45="","ขาดหลักฐาน PO; ","")&amp;IF(NOT(OR($I45="Active",$I45="Cancelled")),"เลือกสถานะ PO; ","")&amp;IF(COUNTIFS('Orders_PO'!$C$8:$C$107,$C45,'Orders_PO'!$D$8:$D$107,$D45)&gt;1,"PO/ผู้ออกซ้ำ; ","")&amp;IF(OR(NOT(ISNUMBER($F45)),$G45="",$H45="",$H45="ไม่ทราบ"),"ตรวจมูลค่า/สกุล/ฐาน VAT; ","")&amp;IF(AND($I45="Cancelled",OR(NOT(ISNUMBER($K45)),$L45="")),"ขาดวัน/เหตุผลยกเลิก; ","")))</x:f>
      </x:c>
      <x:c r="Q45" s="42" t="str">
        <x:f>IF(AND($A45="",$B45="",$D45=""),"",IF(AND($A45&lt;&gt;"",COUNTIF('Orders_PO'!$A$8:$A$107,$A45)=1,COUNTIF('Leads'!$A$8:$A$107,$B45)=1,$N45&lt;&gt;"",IFERROR(INDEX('Leads'!$BA$8:$BA$107,MATCH($B45,'Leads'!$A$8:$A$107,0)),0)=1,$C45&lt;&gt;"",$D45&lt;&gt;"",ISNUMBER($E45),$E45&gt;0,$J45&lt;&gt;"",OR($I45="Active",$I45="Cancelled"),COUNTIFS('Orders_PO'!$C$8:$C$107,$C45,'Orders_PO'!$D$8:$D$107,$D45)=1),1,0))</x:f>
      </x:c>
      <x:c r="R45" s="42" t="str">
        <x:f>IF($Q45="","",IF(AND($Q45=1,ISNUMBER($F45),$F45&gt;=0,$G45&lt;&gt;"",OR($H45="รวม VAT",$H45="ไม่รวม VAT")),1,0))</x:f>
      </x:c>
    </x:row>
    <x:row r="46" ht="30" customHeight="1">
      <x:c r="A46" s="96"/>
      <x:c r="B46" s="96"/>
      <x:c r="C46" s="36"/>
      <x:c r="D46" s="96"/>
      <x:c r="E46" s="82"/>
      <x:c r="F46" s="84"/>
      <x:c r="G46" s="36"/>
      <x:c r="H46" s="36"/>
      <x:c r="I46" s="36"/>
      <x:c r="J46" s="96"/>
      <x:c r="K46" s="82"/>
      <x:c r="L46" s="36"/>
      <x:c r="M46" s="36"/>
      <x:c r="N46" s="98" t="str">
        <x:f>IF($B46="","",IFERROR(IF(INDEX('Leads'!$AE$8:$AE$107,MATCH($B46,'Leads'!$A$8:$A$107,0))="","",INDEX('Leads'!$AE$8:$AE$107,MATCH($B46,'Leads'!$A$8:$A$107,0))),""))</x:f>
      </x:c>
      <x:c r="O46" s="42" t="str">
        <x:f>IF($B46="","",IFERROR(IF(INDEX('Leads'!$AA$8:$AA$107,MATCH($B46,'Leads'!$A$8:$A$107,0))="","",INDEX('Leads'!$AA$8:$AA$107,MATCH($B46,'Leads'!$A$8:$A$107,0))),""))</x:f>
      </x:c>
      <x:c r="P46" s="42" t="str">
        <x:f>IF(AND($A46="",$B46="",$D46=""),"",IF(AND($Q46=1,$R46=1,OR($I46="Active",AND(ISNUMBER($K46),$L46&lt;&gt;""))),"ครบ",IF($A46="","ขาด Order ID; ","")&amp;IF(AND($A46&lt;&gt;"",COUNTIF('Orders_PO'!$A$8:$A$107,$A46)&gt;1),"Order ID ซ้ำ; ","")&amp;IF(COUNTIF('Leads'!$A$8:$A$107,$B46)&lt;&gt;1,"ตรวจรหัส Lead; ","")&amp;IF(AND($B46&lt;&gt;"",IFERROR(INDEX('Leads'!$BA$8:$BA$107,MATCH($B46,'Leads'!$A$8:$A$107,0)),0)&lt;&gt;1),"Lead ยังไม่นับผลจริง; ","")&amp;IF(OR($C46="",$D46="",NOT(ISNUMBER($E46))),"ขาดบริษัท/เลข PO/วันรับ; ","")&amp;IF($J46="","ขาดหลักฐาน PO; ","")&amp;IF(NOT(OR($I46="Active",$I46="Cancelled")),"เลือกสถานะ PO; ","")&amp;IF(COUNTIFS('Orders_PO'!$C$8:$C$107,$C46,'Orders_PO'!$D$8:$D$107,$D46)&gt;1,"PO/ผู้ออกซ้ำ; ","")&amp;IF(OR(NOT(ISNUMBER($F46)),$G46="",$H46="",$H46="ไม่ทราบ"),"ตรวจมูลค่า/สกุล/ฐาน VAT; ","")&amp;IF(AND($I46="Cancelled",OR(NOT(ISNUMBER($K46)),$L46="")),"ขาดวัน/เหตุผลยกเลิก; ","")))</x:f>
      </x:c>
      <x:c r="Q46" s="42" t="str">
        <x:f>IF(AND($A46="",$B46="",$D46=""),"",IF(AND($A46&lt;&gt;"",COUNTIF('Orders_PO'!$A$8:$A$107,$A46)=1,COUNTIF('Leads'!$A$8:$A$107,$B46)=1,$N46&lt;&gt;"",IFERROR(INDEX('Leads'!$BA$8:$BA$107,MATCH($B46,'Leads'!$A$8:$A$107,0)),0)=1,$C46&lt;&gt;"",$D46&lt;&gt;"",ISNUMBER($E46),$E46&gt;0,$J46&lt;&gt;"",OR($I46="Active",$I46="Cancelled"),COUNTIFS('Orders_PO'!$C$8:$C$107,$C46,'Orders_PO'!$D$8:$D$107,$D46)=1),1,0))</x:f>
      </x:c>
      <x:c r="R46" s="42" t="str">
        <x:f>IF($Q46="","",IF(AND($Q46=1,ISNUMBER($F46),$F46&gt;=0,$G46&lt;&gt;"",OR($H46="รวม VAT",$H46="ไม่รวม VAT")),1,0))</x:f>
      </x:c>
    </x:row>
    <x:row r="47" ht="30" customHeight="1">
      <x:c r="A47" s="96"/>
      <x:c r="B47" s="96"/>
      <x:c r="C47" s="36"/>
      <x:c r="D47" s="96"/>
      <x:c r="E47" s="82"/>
      <x:c r="F47" s="84"/>
      <x:c r="G47" s="36"/>
      <x:c r="H47" s="36"/>
      <x:c r="I47" s="36"/>
      <x:c r="J47" s="96"/>
      <x:c r="K47" s="82"/>
      <x:c r="L47" s="36"/>
      <x:c r="M47" s="36"/>
      <x:c r="N47" s="98" t="str">
        <x:f>IF($B47="","",IFERROR(IF(INDEX('Leads'!$AE$8:$AE$107,MATCH($B47,'Leads'!$A$8:$A$107,0))="","",INDEX('Leads'!$AE$8:$AE$107,MATCH($B47,'Leads'!$A$8:$A$107,0))),""))</x:f>
      </x:c>
      <x:c r="O47" s="42" t="str">
        <x:f>IF($B47="","",IFERROR(IF(INDEX('Leads'!$AA$8:$AA$107,MATCH($B47,'Leads'!$A$8:$A$107,0))="","",INDEX('Leads'!$AA$8:$AA$107,MATCH($B47,'Leads'!$A$8:$A$107,0))),""))</x:f>
      </x:c>
      <x:c r="P47" s="42" t="str">
        <x:f>IF(AND($A47="",$B47="",$D47=""),"",IF(AND($Q47=1,$R47=1,OR($I47="Active",AND(ISNUMBER($K47),$L47&lt;&gt;""))),"ครบ",IF($A47="","ขาด Order ID; ","")&amp;IF(AND($A47&lt;&gt;"",COUNTIF('Orders_PO'!$A$8:$A$107,$A47)&gt;1),"Order ID ซ้ำ; ","")&amp;IF(COUNTIF('Leads'!$A$8:$A$107,$B47)&lt;&gt;1,"ตรวจรหัส Lead; ","")&amp;IF(AND($B47&lt;&gt;"",IFERROR(INDEX('Leads'!$BA$8:$BA$107,MATCH($B47,'Leads'!$A$8:$A$107,0)),0)&lt;&gt;1),"Lead ยังไม่นับผลจริง; ","")&amp;IF(OR($C47="",$D47="",NOT(ISNUMBER($E47))),"ขาดบริษัท/เลข PO/วันรับ; ","")&amp;IF($J47="","ขาดหลักฐาน PO; ","")&amp;IF(NOT(OR($I47="Active",$I47="Cancelled")),"เลือกสถานะ PO; ","")&amp;IF(COUNTIFS('Orders_PO'!$C$8:$C$107,$C47,'Orders_PO'!$D$8:$D$107,$D47)&gt;1,"PO/ผู้ออกซ้ำ; ","")&amp;IF(OR(NOT(ISNUMBER($F47)),$G47="",$H47="",$H47="ไม่ทราบ"),"ตรวจมูลค่า/สกุล/ฐาน VAT; ","")&amp;IF(AND($I47="Cancelled",OR(NOT(ISNUMBER($K47)),$L47="")),"ขาดวัน/เหตุผลยกเลิก; ","")))</x:f>
      </x:c>
      <x:c r="Q47" s="42" t="str">
        <x:f>IF(AND($A47="",$B47="",$D47=""),"",IF(AND($A47&lt;&gt;"",COUNTIF('Orders_PO'!$A$8:$A$107,$A47)=1,COUNTIF('Leads'!$A$8:$A$107,$B47)=1,$N47&lt;&gt;"",IFERROR(INDEX('Leads'!$BA$8:$BA$107,MATCH($B47,'Leads'!$A$8:$A$107,0)),0)=1,$C47&lt;&gt;"",$D47&lt;&gt;"",ISNUMBER($E47),$E47&gt;0,$J47&lt;&gt;"",OR($I47="Active",$I47="Cancelled"),COUNTIFS('Orders_PO'!$C$8:$C$107,$C47,'Orders_PO'!$D$8:$D$107,$D47)=1),1,0))</x:f>
      </x:c>
      <x:c r="R47" s="42" t="str">
        <x:f>IF($Q47="","",IF(AND($Q47=1,ISNUMBER($F47),$F47&gt;=0,$G47&lt;&gt;"",OR($H47="รวม VAT",$H47="ไม่รวม VAT")),1,0))</x:f>
      </x:c>
    </x:row>
    <x:row r="48" ht="30" customHeight="1">
      <x:c r="A48" s="96"/>
      <x:c r="B48" s="96"/>
      <x:c r="C48" s="36"/>
      <x:c r="D48" s="96"/>
      <x:c r="E48" s="82"/>
      <x:c r="F48" s="84"/>
      <x:c r="G48" s="36"/>
      <x:c r="H48" s="36"/>
      <x:c r="I48" s="36"/>
      <x:c r="J48" s="96"/>
      <x:c r="K48" s="82"/>
      <x:c r="L48" s="36"/>
      <x:c r="M48" s="36"/>
      <x:c r="N48" s="98" t="str">
        <x:f>IF($B48="","",IFERROR(IF(INDEX('Leads'!$AE$8:$AE$107,MATCH($B48,'Leads'!$A$8:$A$107,0))="","",INDEX('Leads'!$AE$8:$AE$107,MATCH($B48,'Leads'!$A$8:$A$107,0))),""))</x:f>
      </x:c>
      <x:c r="O48" s="42" t="str">
        <x:f>IF($B48="","",IFERROR(IF(INDEX('Leads'!$AA$8:$AA$107,MATCH($B48,'Leads'!$A$8:$A$107,0))="","",INDEX('Leads'!$AA$8:$AA$107,MATCH($B48,'Leads'!$A$8:$A$107,0))),""))</x:f>
      </x:c>
      <x:c r="P48" s="42" t="str">
        <x:f>IF(AND($A48="",$B48="",$D48=""),"",IF(AND($Q48=1,$R48=1,OR($I48="Active",AND(ISNUMBER($K48),$L48&lt;&gt;""))),"ครบ",IF($A48="","ขาด Order ID; ","")&amp;IF(AND($A48&lt;&gt;"",COUNTIF('Orders_PO'!$A$8:$A$107,$A48)&gt;1),"Order ID ซ้ำ; ","")&amp;IF(COUNTIF('Leads'!$A$8:$A$107,$B48)&lt;&gt;1,"ตรวจรหัส Lead; ","")&amp;IF(AND($B48&lt;&gt;"",IFERROR(INDEX('Leads'!$BA$8:$BA$107,MATCH($B48,'Leads'!$A$8:$A$107,0)),0)&lt;&gt;1),"Lead ยังไม่นับผลจริง; ","")&amp;IF(OR($C48="",$D48="",NOT(ISNUMBER($E48))),"ขาดบริษัท/เลข PO/วันรับ; ","")&amp;IF($J48="","ขาดหลักฐาน PO; ","")&amp;IF(NOT(OR($I48="Active",$I48="Cancelled")),"เลือกสถานะ PO; ","")&amp;IF(COUNTIFS('Orders_PO'!$C$8:$C$107,$C48,'Orders_PO'!$D$8:$D$107,$D48)&gt;1,"PO/ผู้ออกซ้ำ; ","")&amp;IF(OR(NOT(ISNUMBER($F48)),$G48="",$H48="",$H48="ไม่ทราบ"),"ตรวจมูลค่า/สกุล/ฐาน VAT; ","")&amp;IF(AND($I48="Cancelled",OR(NOT(ISNUMBER($K48)),$L48="")),"ขาดวัน/เหตุผลยกเลิก; ","")))</x:f>
      </x:c>
      <x:c r="Q48" s="42" t="str">
        <x:f>IF(AND($A48="",$B48="",$D48=""),"",IF(AND($A48&lt;&gt;"",COUNTIF('Orders_PO'!$A$8:$A$107,$A48)=1,COUNTIF('Leads'!$A$8:$A$107,$B48)=1,$N48&lt;&gt;"",IFERROR(INDEX('Leads'!$BA$8:$BA$107,MATCH($B48,'Leads'!$A$8:$A$107,0)),0)=1,$C48&lt;&gt;"",$D48&lt;&gt;"",ISNUMBER($E48),$E48&gt;0,$J48&lt;&gt;"",OR($I48="Active",$I48="Cancelled"),COUNTIFS('Orders_PO'!$C$8:$C$107,$C48,'Orders_PO'!$D$8:$D$107,$D48)=1),1,0))</x:f>
      </x:c>
      <x:c r="R48" s="42" t="str">
        <x:f>IF($Q48="","",IF(AND($Q48=1,ISNUMBER($F48),$F48&gt;=0,$G48&lt;&gt;"",OR($H48="รวม VAT",$H48="ไม่รวม VAT")),1,0))</x:f>
      </x:c>
    </x:row>
    <x:row r="49" ht="30" customHeight="1">
      <x:c r="A49" s="96"/>
      <x:c r="B49" s="96"/>
      <x:c r="C49" s="36"/>
      <x:c r="D49" s="96"/>
      <x:c r="E49" s="82"/>
      <x:c r="F49" s="84"/>
      <x:c r="G49" s="36"/>
      <x:c r="H49" s="36"/>
      <x:c r="I49" s="36"/>
      <x:c r="J49" s="96"/>
      <x:c r="K49" s="82"/>
      <x:c r="L49" s="36"/>
      <x:c r="M49" s="36"/>
      <x:c r="N49" s="98" t="str">
        <x:f>IF($B49="","",IFERROR(IF(INDEX('Leads'!$AE$8:$AE$107,MATCH($B49,'Leads'!$A$8:$A$107,0))="","",INDEX('Leads'!$AE$8:$AE$107,MATCH($B49,'Leads'!$A$8:$A$107,0))),""))</x:f>
      </x:c>
      <x:c r="O49" s="42" t="str">
        <x:f>IF($B49="","",IFERROR(IF(INDEX('Leads'!$AA$8:$AA$107,MATCH($B49,'Leads'!$A$8:$A$107,0))="","",INDEX('Leads'!$AA$8:$AA$107,MATCH($B49,'Leads'!$A$8:$A$107,0))),""))</x:f>
      </x:c>
      <x:c r="P49" s="42" t="str">
        <x:f>IF(AND($A49="",$B49="",$D49=""),"",IF(AND($Q49=1,$R49=1,OR($I49="Active",AND(ISNUMBER($K49),$L49&lt;&gt;""))),"ครบ",IF($A49="","ขาด Order ID; ","")&amp;IF(AND($A49&lt;&gt;"",COUNTIF('Orders_PO'!$A$8:$A$107,$A49)&gt;1),"Order ID ซ้ำ; ","")&amp;IF(COUNTIF('Leads'!$A$8:$A$107,$B49)&lt;&gt;1,"ตรวจรหัส Lead; ","")&amp;IF(AND($B49&lt;&gt;"",IFERROR(INDEX('Leads'!$BA$8:$BA$107,MATCH($B49,'Leads'!$A$8:$A$107,0)),0)&lt;&gt;1),"Lead ยังไม่นับผลจริง; ","")&amp;IF(OR($C49="",$D49="",NOT(ISNUMBER($E49))),"ขาดบริษัท/เลข PO/วันรับ; ","")&amp;IF($J49="","ขาดหลักฐาน PO; ","")&amp;IF(NOT(OR($I49="Active",$I49="Cancelled")),"เลือกสถานะ PO; ","")&amp;IF(COUNTIFS('Orders_PO'!$C$8:$C$107,$C49,'Orders_PO'!$D$8:$D$107,$D49)&gt;1,"PO/ผู้ออกซ้ำ; ","")&amp;IF(OR(NOT(ISNUMBER($F49)),$G49="",$H49="",$H49="ไม่ทราบ"),"ตรวจมูลค่า/สกุล/ฐาน VAT; ","")&amp;IF(AND($I49="Cancelled",OR(NOT(ISNUMBER($K49)),$L49="")),"ขาดวัน/เหตุผลยกเลิก; ","")))</x:f>
      </x:c>
      <x:c r="Q49" s="42" t="str">
        <x:f>IF(AND($A49="",$B49="",$D49=""),"",IF(AND($A49&lt;&gt;"",COUNTIF('Orders_PO'!$A$8:$A$107,$A49)=1,COUNTIF('Leads'!$A$8:$A$107,$B49)=1,$N49&lt;&gt;"",IFERROR(INDEX('Leads'!$BA$8:$BA$107,MATCH($B49,'Leads'!$A$8:$A$107,0)),0)=1,$C49&lt;&gt;"",$D49&lt;&gt;"",ISNUMBER($E49),$E49&gt;0,$J49&lt;&gt;"",OR($I49="Active",$I49="Cancelled"),COUNTIFS('Orders_PO'!$C$8:$C$107,$C49,'Orders_PO'!$D$8:$D$107,$D49)=1),1,0))</x:f>
      </x:c>
      <x:c r="R49" s="42" t="str">
        <x:f>IF($Q49="","",IF(AND($Q49=1,ISNUMBER($F49),$F49&gt;=0,$G49&lt;&gt;"",OR($H49="รวม VAT",$H49="ไม่รวม VAT")),1,0))</x:f>
      </x:c>
    </x:row>
    <x:row r="50" ht="30" customHeight="1">
      <x:c r="A50" s="96"/>
      <x:c r="B50" s="96"/>
      <x:c r="C50" s="36"/>
      <x:c r="D50" s="96"/>
      <x:c r="E50" s="82"/>
      <x:c r="F50" s="84"/>
      <x:c r="G50" s="36"/>
      <x:c r="H50" s="36"/>
      <x:c r="I50" s="36"/>
      <x:c r="J50" s="96"/>
      <x:c r="K50" s="82"/>
      <x:c r="L50" s="36"/>
      <x:c r="M50" s="36"/>
      <x:c r="N50" s="98" t="str">
        <x:f>IF($B50="","",IFERROR(IF(INDEX('Leads'!$AE$8:$AE$107,MATCH($B50,'Leads'!$A$8:$A$107,0))="","",INDEX('Leads'!$AE$8:$AE$107,MATCH($B50,'Leads'!$A$8:$A$107,0))),""))</x:f>
      </x:c>
      <x:c r="O50" s="42" t="str">
        <x:f>IF($B50="","",IFERROR(IF(INDEX('Leads'!$AA$8:$AA$107,MATCH($B50,'Leads'!$A$8:$A$107,0))="","",INDEX('Leads'!$AA$8:$AA$107,MATCH($B50,'Leads'!$A$8:$A$107,0))),""))</x:f>
      </x:c>
      <x:c r="P50" s="42" t="str">
        <x:f>IF(AND($A50="",$B50="",$D50=""),"",IF(AND($Q50=1,$R50=1,OR($I50="Active",AND(ISNUMBER($K50),$L50&lt;&gt;""))),"ครบ",IF($A50="","ขาด Order ID; ","")&amp;IF(AND($A50&lt;&gt;"",COUNTIF('Orders_PO'!$A$8:$A$107,$A50)&gt;1),"Order ID ซ้ำ; ","")&amp;IF(COUNTIF('Leads'!$A$8:$A$107,$B50)&lt;&gt;1,"ตรวจรหัส Lead; ","")&amp;IF(AND($B50&lt;&gt;"",IFERROR(INDEX('Leads'!$BA$8:$BA$107,MATCH($B50,'Leads'!$A$8:$A$107,0)),0)&lt;&gt;1),"Lead ยังไม่นับผลจริง; ","")&amp;IF(OR($C50="",$D50="",NOT(ISNUMBER($E50))),"ขาดบริษัท/เลข PO/วันรับ; ","")&amp;IF($J50="","ขาดหลักฐาน PO; ","")&amp;IF(NOT(OR($I50="Active",$I50="Cancelled")),"เลือกสถานะ PO; ","")&amp;IF(COUNTIFS('Orders_PO'!$C$8:$C$107,$C50,'Orders_PO'!$D$8:$D$107,$D50)&gt;1,"PO/ผู้ออกซ้ำ; ","")&amp;IF(OR(NOT(ISNUMBER($F50)),$G50="",$H50="",$H50="ไม่ทราบ"),"ตรวจมูลค่า/สกุล/ฐาน VAT; ","")&amp;IF(AND($I50="Cancelled",OR(NOT(ISNUMBER($K50)),$L50="")),"ขาดวัน/เหตุผลยกเลิก; ","")))</x:f>
      </x:c>
      <x:c r="Q50" s="42" t="str">
        <x:f>IF(AND($A50="",$B50="",$D50=""),"",IF(AND($A50&lt;&gt;"",COUNTIF('Orders_PO'!$A$8:$A$107,$A50)=1,COUNTIF('Leads'!$A$8:$A$107,$B50)=1,$N50&lt;&gt;"",IFERROR(INDEX('Leads'!$BA$8:$BA$107,MATCH($B50,'Leads'!$A$8:$A$107,0)),0)=1,$C50&lt;&gt;"",$D50&lt;&gt;"",ISNUMBER($E50),$E50&gt;0,$J50&lt;&gt;"",OR($I50="Active",$I50="Cancelled"),COUNTIFS('Orders_PO'!$C$8:$C$107,$C50,'Orders_PO'!$D$8:$D$107,$D50)=1),1,0))</x:f>
      </x:c>
      <x:c r="R50" s="42" t="str">
        <x:f>IF($Q50="","",IF(AND($Q50=1,ISNUMBER($F50),$F50&gt;=0,$G50&lt;&gt;"",OR($H50="รวม VAT",$H50="ไม่รวม VAT")),1,0))</x:f>
      </x:c>
    </x:row>
    <x:row r="51" ht="30" customHeight="1">
      <x:c r="A51" s="96"/>
      <x:c r="B51" s="96"/>
      <x:c r="C51" s="36"/>
      <x:c r="D51" s="96"/>
      <x:c r="E51" s="82"/>
      <x:c r="F51" s="84"/>
      <x:c r="G51" s="36"/>
      <x:c r="H51" s="36"/>
      <x:c r="I51" s="36"/>
      <x:c r="J51" s="96"/>
      <x:c r="K51" s="82"/>
      <x:c r="L51" s="36"/>
      <x:c r="M51" s="36"/>
      <x:c r="N51" s="98" t="str">
        <x:f>IF($B51="","",IFERROR(IF(INDEX('Leads'!$AE$8:$AE$107,MATCH($B51,'Leads'!$A$8:$A$107,0))="","",INDEX('Leads'!$AE$8:$AE$107,MATCH($B51,'Leads'!$A$8:$A$107,0))),""))</x:f>
      </x:c>
      <x:c r="O51" s="42" t="str">
        <x:f>IF($B51="","",IFERROR(IF(INDEX('Leads'!$AA$8:$AA$107,MATCH($B51,'Leads'!$A$8:$A$107,0))="","",INDEX('Leads'!$AA$8:$AA$107,MATCH($B51,'Leads'!$A$8:$A$107,0))),""))</x:f>
      </x:c>
      <x:c r="P51" s="42" t="str">
        <x:f>IF(AND($A51="",$B51="",$D51=""),"",IF(AND($Q51=1,$R51=1,OR($I51="Active",AND(ISNUMBER($K51),$L51&lt;&gt;""))),"ครบ",IF($A51="","ขาด Order ID; ","")&amp;IF(AND($A51&lt;&gt;"",COUNTIF('Orders_PO'!$A$8:$A$107,$A51)&gt;1),"Order ID ซ้ำ; ","")&amp;IF(COUNTIF('Leads'!$A$8:$A$107,$B51)&lt;&gt;1,"ตรวจรหัส Lead; ","")&amp;IF(AND($B51&lt;&gt;"",IFERROR(INDEX('Leads'!$BA$8:$BA$107,MATCH($B51,'Leads'!$A$8:$A$107,0)),0)&lt;&gt;1),"Lead ยังไม่นับผลจริง; ","")&amp;IF(OR($C51="",$D51="",NOT(ISNUMBER($E51))),"ขาดบริษัท/เลข PO/วันรับ; ","")&amp;IF($J51="","ขาดหลักฐาน PO; ","")&amp;IF(NOT(OR($I51="Active",$I51="Cancelled")),"เลือกสถานะ PO; ","")&amp;IF(COUNTIFS('Orders_PO'!$C$8:$C$107,$C51,'Orders_PO'!$D$8:$D$107,$D51)&gt;1,"PO/ผู้ออกซ้ำ; ","")&amp;IF(OR(NOT(ISNUMBER($F51)),$G51="",$H51="",$H51="ไม่ทราบ"),"ตรวจมูลค่า/สกุล/ฐาน VAT; ","")&amp;IF(AND($I51="Cancelled",OR(NOT(ISNUMBER($K51)),$L51="")),"ขาดวัน/เหตุผลยกเลิก; ","")))</x:f>
      </x:c>
      <x:c r="Q51" s="42" t="str">
        <x:f>IF(AND($A51="",$B51="",$D51=""),"",IF(AND($A51&lt;&gt;"",COUNTIF('Orders_PO'!$A$8:$A$107,$A51)=1,COUNTIF('Leads'!$A$8:$A$107,$B51)=1,$N51&lt;&gt;"",IFERROR(INDEX('Leads'!$BA$8:$BA$107,MATCH($B51,'Leads'!$A$8:$A$107,0)),0)=1,$C51&lt;&gt;"",$D51&lt;&gt;"",ISNUMBER($E51),$E51&gt;0,$J51&lt;&gt;"",OR($I51="Active",$I51="Cancelled"),COUNTIFS('Orders_PO'!$C$8:$C$107,$C51,'Orders_PO'!$D$8:$D$107,$D51)=1),1,0))</x:f>
      </x:c>
      <x:c r="R51" s="42" t="str">
        <x:f>IF($Q51="","",IF(AND($Q51=1,ISNUMBER($F51),$F51&gt;=0,$G51&lt;&gt;"",OR($H51="รวม VAT",$H51="ไม่รวม VAT")),1,0))</x:f>
      </x:c>
    </x:row>
    <x:row r="52" ht="30" customHeight="1">
      <x:c r="A52" s="96"/>
      <x:c r="B52" s="96"/>
      <x:c r="C52" s="36"/>
      <x:c r="D52" s="96"/>
      <x:c r="E52" s="82"/>
      <x:c r="F52" s="84"/>
      <x:c r="G52" s="36"/>
      <x:c r="H52" s="36"/>
      <x:c r="I52" s="36"/>
      <x:c r="J52" s="96"/>
      <x:c r="K52" s="82"/>
      <x:c r="L52" s="36"/>
      <x:c r="M52" s="36"/>
      <x:c r="N52" s="98" t="str">
        <x:f>IF($B52="","",IFERROR(IF(INDEX('Leads'!$AE$8:$AE$107,MATCH($B52,'Leads'!$A$8:$A$107,0))="","",INDEX('Leads'!$AE$8:$AE$107,MATCH($B52,'Leads'!$A$8:$A$107,0))),""))</x:f>
      </x:c>
      <x:c r="O52" s="42" t="str">
        <x:f>IF($B52="","",IFERROR(IF(INDEX('Leads'!$AA$8:$AA$107,MATCH($B52,'Leads'!$A$8:$A$107,0))="","",INDEX('Leads'!$AA$8:$AA$107,MATCH($B52,'Leads'!$A$8:$A$107,0))),""))</x:f>
      </x:c>
      <x:c r="P52" s="42" t="str">
        <x:f>IF(AND($A52="",$B52="",$D52=""),"",IF(AND($Q52=1,$R52=1,OR($I52="Active",AND(ISNUMBER($K52),$L52&lt;&gt;""))),"ครบ",IF($A52="","ขาด Order ID; ","")&amp;IF(AND($A52&lt;&gt;"",COUNTIF('Orders_PO'!$A$8:$A$107,$A52)&gt;1),"Order ID ซ้ำ; ","")&amp;IF(COUNTIF('Leads'!$A$8:$A$107,$B52)&lt;&gt;1,"ตรวจรหัส Lead; ","")&amp;IF(AND($B52&lt;&gt;"",IFERROR(INDEX('Leads'!$BA$8:$BA$107,MATCH($B52,'Leads'!$A$8:$A$107,0)),0)&lt;&gt;1),"Lead ยังไม่นับผลจริง; ","")&amp;IF(OR($C52="",$D52="",NOT(ISNUMBER($E52))),"ขาดบริษัท/เลข PO/วันรับ; ","")&amp;IF($J52="","ขาดหลักฐาน PO; ","")&amp;IF(NOT(OR($I52="Active",$I52="Cancelled")),"เลือกสถานะ PO; ","")&amp;IF(COUNTIFS('Orders_PO'!$C$8:$C$107,$C52,'Orders_PO'!$D$8:$D$107,$D52)&gt;1,"PO/ผู้ออกซ้ำ; ","")&amp;IF(OR(NOT(ISNUMBER($F52)),$G52="",$H52="",$H52="ไม่ทราบ"),"ตรวจมูลค่า/สกุล/ฐาน VAT; ","")&amp;IF(AND($I52="Cancelled",OR(NOT(ISNUMBER($K52)),$L52="")),"ขาดวัน/เหตุผลยกเลิก; ","")))</x:f>
      </x:c>
      <x:c r="Q52" s="42" t="str">
        <x:f>IF(AND($A52="",$B52="",$D52=""),"",IF(AND($A52&lt;&gt;"",COUNTIF('Orders_PO'!$A$8:$A$107,$A52)=1,COUNTIF('Leads'!$A$8:$A$107,$B52)=1,$N52&lt;&gt;"",IFERROR(INDEX('Leads'!$BA$8:$BA$107,MATCH($B52,'Leads'!$A$8:$A$107,0)),0)=1,$C52&lt;&gt;"",$D52&lt;&gt;"",ISNUMBER($E52),$E52&gt;0,$J52&lt;&gt;"",OR($I52="Active",$I52="Cancelled"),COUNTIFS('Orders_PO'!$C$8:$C$107,$C52,'Orders_PO'!$D$8:$D$107,$D52)=1),1,0))</x:f>
      </x:c>
      <x:c r="R52" s="42" t="str">
        <x:f>IF($Q52="","",IF(AND($Q52=1,ISNUMBER($F52),$F52&gt;=0,$G52&lt;&gt;"",OR($H52="รวม VAT",$H52="ไม่รวม VAT")),1,0))</x:f>
      </x:c>
    </x:row>
    <x:row r="53" ht="30" customHeight="1">
      <x:c r="A53" s="96"/>
      <x:c r="B53" s="96"/>
      <x:c r="C53" s="36"/>
      <x:c r="D53" s="96"/>
      <x:c r="E53" s="82"/>
      <x:c r="F53" s="84"/>
      <x:c r="G53" s="36"/>
      <x:c r="H53" s="36"/>
      <x:c r="I53" s="36"/>
      <x:c r="J53" s="96"/>
      <x:c r="K53" s="82"/>
      <x:c r="L53" s="36"/>
      <x:c r="M53" s="36"/>
      <x:c r="N53" s="98" t="str">
        <x:f>IF($B53="","",IFERROR(IF(INDEX('Leads'!$AE$8:$AE$107,MATCH($B53,'Leads'!$A$8:$A$107,0))="","",INDEX('Leads'!$AE$8:$AE$107,MATCH($B53,'Leads'!$A$8:$A$107,0))),""))</x:f>
      </x:c>
      <x:c r="O53" s="42" t="str">
        <x:f>IF($B53="","",IFERROR(IF(INDEX('Leads'!$AA$8:$AA$107,MATCH($B53,'Leads'!$A$8:$A$107,0))="","",INDEX('Leads'!$AA$8:$AA$107,MATCH($B53,'Leads'!$A$8:$A$107,0))),""))</x:f>
      </x:c>
      <x:c r="P53" s="42" t="str">
        <x:f>IF(AND($A53="",$B53="",$D53=""),"",IF(AND($Q53=1,$R53=1,OR($I53="Active",AND(ISNUMBER($K53),$L53&lt;&gt;""))),"ครบ",IF($A53="","ขาด Order ID; ","")&amp;IF(AND($A53&lt;&gt;"",COUNTIF('Orders_PO'!$A$8:$A$107,$A53)&gt;1),"Order ID ซ้ำ; ","")&amp;IF(COUNTIF('Leads'!$A$8:$A$107,$B53)&lt;&gt;1,"ตรวจรหัส Lead; ","")&amp;IF(AND($B53&lt;&gt;"",IFERROR(INDEX('Leads'!$BA$8:$BA$107,MATCH($B53,'Leads'!$A$8:$A$107,0)),0)&lt;&gt;1),"Lead ยังไม่นับผลจริง; ","")&amp;IF(OR($C53="",$D53="",NOT(ISNUMBER($E53))),"ขาดบริษัท/เลข PO/วันรับ; ","")&amp;IF($J53="","ขาดหลักฐาน PO; ","")&amp;IF(NOT(OR($I53="Active",$I53="Cancelled")),"เลือกสถานะ PO; ","")&amp;IF(COUNTIFS('Orders_PO'!$C$8:$C$107,$C53,'Orders_PO'!$D$8:$D$107,$D53)&gt;1,"PO/ผู้ออกซ้ำ; ","")&amp;IF(OR(NOT(ISNUMBER($F53)),$G53="",$H53="",$H53="ไม่ทราบ"),"ตรวจมูลค่า/สกุล/ฐาน VAT; ","")&amp;IF(AND($I53="Cancelled",OR(NOT(ISNUMBER($K53)),$L53="")),"ขาดวัน/เหตุผลยกเลิก; ","")))</x:f>
      </x:c>
      <x:c r="Q53" s="42" t="str">
        <x:f>IF(AND($A53="",$B53="",$D53=""),"",IF(AND($A53&lt;&gt;"",COUNTIF('Orders_PO'!$A$8:$A$107,$A53)=1,COUNTIF('Leads'!$A$8:$A$107,$B53)=1,$N53&lt;&gt;"",IFERROR(INDEX('Leads'!$BA$8:$BA$107,MATCH($B53,'Leads'!$A$8:$A$107,0)),0)=1,$C53&lt;&gt;"",$D53&lt;&gt;"",ISNUMBER($E53),$E53&gt;0,$J53&lt;&gt;"",OR($I53="Active",$I53="Cancelled"),COUNTIFS('Orders_PO'!$C$8:$C$107,$C53,'Orders_PO'!$D$8:$D$107,$D53)=1),1,0))</x:f>
      </x:c>
      <x:c r="R53" s="42" t="str">
        <x:f>IF($Q53="","",IF(AND($Q53=1,ISNUMBER($F53),$F53&gt;=0,$G53&lt;&gt;"",OR($H53="รวม VAT",$H53="ไม่รวม VAT")),1,0))</x:f>
      </x:c>
    </x:row>
    <x:row r="54" ht="30" customHeight="1">
      <x:c r="A54" s="96"/>
      <x:c r="B54" s="96"/>
      <x:c r="C54" s="36"/>
      <x:c r="D54" s="96"/>
      <x:c r="E54" s="82"/>
      <x:c r="F54" s="84"/>
      <x:c r="G54" s="36"/>
      <x:c r="H54" s="36"/>
      <x:c r="I54" s="36"/>
      <x:c r="J54" s="96"/>
      <x:c r="K54" s="82"/>
      <x:c r="L54" s="36"/>
      <x:c r="M54" s="36"/>
      <x:c r="N54" s="98" t="str">
        <x:f>IF($B54="","",IFERROR(IF(INDEX('Leads'!$AE$8:$AE$107,MATCH($B54,'Leads'!$A$8:$A$107,0))="","",INDEX('Leads'!$AE$8:$AE$107,MATCH($B54,'Leads'!$A$8:$A$107,0))),""))</x:f>
      </x:c>
      <x:c r="O54" s="42" t="str">
        <x:f>IF($B54="","",IFERROR(IF(INDEX('Leads'!$AA$8:$AA$107,MATCH($B54,'Leads'!$A$8:$A$107,0))="","",INDEX('Leads'!$AA$8:$AA$107,MATCH($B54,'Leads'!$A$8:$A$107,0))),""))</x:f>
      </x:c>
      <x:c r="P54" s="42" t="str">
        <x:f>IF(AND($A54="",$B54="",$D54=""),"",IF(AND($Q54=1,$R54=1,OR($I54="Active",AND(ISNUMBER($K54),$L54&lt;&gt;""))),"ครบ",IF($A54="","ขาด Order ID; ","")&amp;IF(AND($A54&lt;&gt;"",COUNTIF('Orders_PO'!$A$8:$A$107,$A54)&gt;1),"Order ID ซ้ำ; ","")&amp;IF(COUNTIF('Leads'!$A$8:$A$107,$B54)&lt;&gt;1,"ตรวจรหัส Lead; ","")&amp;IF(AND($B54&lt;&gt;"",IFERROR(INDEX('Leads'!$BA$8:$BA$107,MATCH($B54,'Leads'!$A$8:$A$107,0)),0)&lt;&gt;1),"Lead ยังไม่นับผลจริง; ","")&amp;IF(OR($C54="",$D54="",NOT(ISNUMBER($E54))),"ขาดบริษัท/เลข PO/วันรับ; ","")&amp;IF($J54="","ขาดหลักฐาน PO; ","")&amp;IF(NOT(OR($I54="Active",$I54="Cancelled")),"เลือกสถานะ PO; ","")&amp;IF(COUNTIFS('Orders_PO'!$C$8:$C$107,$C54,'Orders_PO'!$D$8:$D$107,$D54)&gt;1,"PO/ผู้ออกซ้ำ; ","")&amp;IF(OR(NOT(ISNUMBER($F54)),$G54="",$H54="",$H54="ไม่ทราบ"),"ตรวจมูลค่า/สกุล/ฐาน VAT; ","")&amp;IF(AND($I54="Cancelled",OR(NOT(ISNUMBER($K54)),$L54="")),"ขาดวัน/เหตุผลยกเลิก; ","")))</x:f>
      </x:c>
      <x:c r="Q54" s="42" t="str">
        <x:f>IF(AND($A54="",$B54="",$D54=""),"",IF(AND($A54&lt;&gt;"",COUNTIF('Orders_PO'!$A$8:$A$107,$A54)=1,COUNTIF('Leads'!$A$8:$A$107,$B54)=1,$N54&lt;&gt;"",IFERROR(INDEX('Leads'!$BA$8:$BA$107,MATCH($B54,'Leads'!$A$8:$A$107,0)),0)=1,$C54&lt;&gt;"",$D54&lt;&gt;"",ISNUMBER($E54),$E54&gt;0,$J54&lt;&gt;"",OR($I54="Active",$I54="Cancelled"),COUNTIFS('Orders_PO'!$C$8:$C$107,$C54,'Orders_PO'!$D$8:$D$107,$D54)=1),1,0))</x:f>
      </x:c>
      <x:c r="R54" s="42" t="str">
        <x:f>IF($Q54="","",IF(AND($Q54=1,ISNUMBER($F54),$F54&gt;=0,$G54&lt;&gt;"",OR($H54="รวม VAT",$H54="ไม่รวม VAT")),1,0))</x:f>
      </x:c>
    </x:row>
    <x:row r="55" ht="30" customHeight="1">
      <x:c r="A55" s="96"/>
      <x:c r="B55" s="96"/>
      <x:c r="C55" s="36"/>
      <x:c r="D55" s="96"/>
      <x:c r="E55" s="82"/>
      <x:c r="F55" s="84"/>
      <x:c r="G55" s="36"/>
      <x:c r="H55" s="36"/>
      <x:c r="I55" s="36"/>
      <x:c r="J55" s="96"/>
      <x:c r="K55" s="82"/>
      <x:c r="L55" s="36"/>
      <x:c r="M55" s="36"/>
      <x:c r="N55" s="98" t="str">
        <x:f>IF($B55="","",IFERROR(IF(INDEX('Leads'!$AE$8:$AE$107,MATCH($B55,'Leads'!$A$8:$A$107,0))="","",INDEX('Leads'!$AE$8:$AE$107,MATCH($B55,'Leads'!$A$8:$A$107,0))),""))</x:f>
      </x:c>
      <x:c r="O55" s="42" t="str">
        <x:f>IF($B55="","",IFERROR(IF(INDEX('Leads'!$AA$8:$AA$107,MATCH($B55,'Leads'!$A$8:$A$107,0))="","",INDEX('Leads'!$AA$8:$AA$107,MATCH($B55,'Leads'!$A$8:$A$107,0))),""))</x:f>
      </x:c>
      <x:c r="P55" s="42" t="str">
        <x:f>IF(AND($A55="",$B55="",$D55=""),"",IF(AND($Q55=1,$R55=1,OR($I55="Active",AND(ISNUMBER($K55),$L55&lt;&gt;""))),"ครบ",IF($A55="","ขาด Order ID; ","")&amp;IF(AND($A55&lt;&gt;"",COUNTIF('Orders_PO'!$A$8:$A$107,$A55)&gt;1),"Order ID ซ้ำ; ","")&amp;IF(COUNTIF('Leads'!$A$8:$A$107,$B55)&lt;&gt;1,"ตรวจรหัส Lead; ","")&amp;IF(AND($B55&lt;&gt;"",IFERROR(INDEX('Leads'!$BA$8:$BA$107,MATCH($B55,'Leads'!$A$8:$A$107,0)),0)&lt;&gt;1),"Lead ยังไม่นับผลจริง; ","")&amp;IF(OR($C55="",$D55="",NOT(ISNUMBER($E55))),"ขาดบริษัท/เลข PO/วันรับ; ","")&amp;IF($J55="","ขาดหลักฐาน PO; ","")&amp;IF(NOT(OR($I55="Active",$I55="Cancelled")),"เลือกสถานะ PO; ","")&amp;IF(COUNTIFS('Orders_PO'!$C$8:$C$107,$C55,'Orders_PO'!$D$8:$D$107,$D55)&gt;1,"PO/ผู้ออกซ้ำ; ","")&amp;IF(OR(NOT(ISNUMBER($F55)),$G55="",$H55="",$H55="ไม่ทราบ"),"ตรวจมูลค่า/สกุล/ฐาน VAT; ","")&amp;IF(AND($I55="Cancelled",OR(NOT(ISNUMBER($K55)),$L55="")),"ขาดวัน/เหตุผลยกเลิก; ","")))</x:f>
      </x:c>
      <x:c r="Q55" s="42" t="str">
        <x:f>IF(AND($A55="",$B55="",$D55=""),"",IF(AND($A55&lt;&gt;"",COUNTIF('Orders_PO'!$A$8:$A$107,$A55)=1,COUNTIF('Leads'!$A$8:$A$107,$B55)=1,$N55&lt;&gt;"",IFERROR(INDEX('Leads'!$BA$8:$BA$107,MATCH($B55,'Leads'!$A$8:$A$107,0)),0)=1,$C55&lt;&gt;"",$D55&lt;&gt;"",ISNUMBER($E55),$E55&gt;0,$J55&lt;&gt;"",OR($I55="Active",$I55="Cancelled"),COUNTIFS('Orders_PO'!$C$8:$C$107,$C55,'Orders_PO'!$D$8:$D$107,$D55)=1),1,0))</x:f>
      </x:c>
      <x:c r="R55" s="42" t="str">
        <x:f>IF($Q55="","",IF(AND($Q55=1,ISNUMBER($F55),$F55&gt;=0,$G55&lt;&gt;"",OR($H55="รวม VAT",$H55="ไม่รวม VAT")),1,0))</x:f>
      </x:c>
    </x:row>
    <x:row r="56" ht="30" customHeight="1">
      <x:c r="A56" s="96"/>
      <x:c r="B56" s="96"/>
      <x:c r="C56" s="36"/>
      <x:c r="D56" s="96"/>
      <x:c r="E56" s="82"/>
      <x:c r="F56" s="84"/>
      <x:c r="G56" s="36"/>
      <x:c r="H56" s="36"/>
      <x:c r="I56" s="36"/>
      <x:c r="J56" s="96"/>
      <x:c r="K56" s="82"/>
      <x:c r="L56" s="36"/>
      <x:c r="M56" s="36"/>
      <x:c r="N56" s="98" t="str">
        <x:f>IF($B56="","",IFERROR(IF(INDEX('Leads'!$AE$8:$AE$107,MATCH($B56,'Leads'!$A$8:$A$107,0))="","",INDEX('Leads'!$AE$8:$AE$107,MATCH($B56,'Leads'!$A$8:$A$107,0))),""))</x:f>
      </x:c>
      <x:c r="O56" s="42" t="str">
        <x:f>IF($B56="","",IFERROR(IF(INDEX('Leads'!$AA$8:$AA$107,MATCH($B56,'Leads'!$A$8:$A$107,0))="","",INDEX('Leads'!$AA$8:$AA$107,MATCH($B56,'Leads'!$A$8:$A$107,0))),""))</x:f>
      </x:c>
      <x:c r="P56" s="42" t="str">
        <x:f>IF(AND($A56="",$B56="",$D56=""),"",IF(AND($Q56=1,$R56=1,OR($I56="Active",AND(ISNUMBER($K56),$L56&lt;&gt;""))),"ครบ",IF($A56="","ขาด Order ID; ","")&amp;IF(AND($A56&lt;&gt;"",COUNTIF('Orders_PO'!$A$8:$A$107,$A56)&gt;1),"Order ID ซ้ำ; ","")&amp;IF(COUNTIF('Leads'!$A$8:$A$107,$B56)&lt;&gt;1,"ตรวจรหัส Lead; ","")&amp;IF(AND($B56&lt;&gt;"",IFERROR(INDEX('Leads'!$BA$8:$BA$107,MATCH($B56,'Leads'!$A$8:$A$107,0)),0)&lt;&gt;1),"Lead ยังไม่นับผลจริง; ","")&amp;IF(OR($C56="",$D56="",NOT(ISNUMBER($E56))),"ขาดบริษัท/เลข PO/วันรับ; ","")&amp;IF($J56="","ขาดหลักฐาน PO; ","")&amp;IF(NOT(OR($I56="Active",$I56="Cancelled")),"เลือกสถานะ PO; ","")&amp;IF(COUNTIFS('Orders_PO'!$C$8:$C$107,$C56,'Orders_PO'!$D$8:$D$107,$D56)&gt;1,"PO/ผู้ออกซ้ำ; ","")&amp;IF(OR(NOT(ISNUMBER($F56)),$G56="",$H56="",$H56="ไม่ทราบ"),"ตรวจมูลค่า/สกุล/ฐาน VAT; ","")&amp;IF(AND($I56="Cancelled",OR(NOT(ISNUMBER($K56)),$L56="")),"ขาดวัน/เหตุผลยกเลิก; ","")))</x:f>
      </x:c>
      <x:c r="Q56" s="42" t="str">
        <x:f>IF(AND($A56="",$B56="",$D56=""),"",IF(AND($A56&lt;&gt;"",COUNTIF('Orders_PO'!$A$8:$A$107,$A56)=1,COUNTIF('Leads'!$A$8:$A$107,$B56)=1,$N56&lt;&gt;"",IFERROR(INDEX('Leads'!$BA$8:$BA$107,MATCH($B56,'Leads'!$A$8:$A$107,0)),0)=1,$C56&lt;&gt;"",$D56&lt;&gt;"",ISNUMBER($E56),$E56&gt;0,$J56&lt;&gt;"",OR($I56="Active",$I56="Cancelled"),COUNTIFS('Orders_PO'!$C$8:$C$107,$C56,'Orders_PO'!$D$8:$D$107,$D56)=1),1,0))</x:f>
      </x:c>
      <x:c r="R56" s="42" t="str">
        <x:f>IF($Q56="","",IF(AND($Q56=1,ISNUMBER($F56),$F56&gt;=0,$G56&lt;&gt;"",OR($H56="รวม VAT",$H56="ไม่รวม VAT")),1,0))</x:f>
      </x:c>
    </x:row>
    <x:row r="57" ht="30" customHeight="1">
      <x:c r="A57" s="96"/>
      <x:c r="B57" s="96"/>
      <x:c r="C57" s="36"/>
      <x:c r="D57" s="96"/>
      <x:c r="E57" s="82"/>
      <x:c r="F57" s="84"/>
      <x:c r="G57" s="36"/>
      <x:c r="H57" s="36"/>
      <x:c r="I57" s="36"/>
      <x:c r="J57" s="96"/>
      <x:c r="K57" s="82"/>
      <x:c r="L57" s="36"/>
      <x:c r="M57" s="36"/>
      <x:c r="N57" s="98" t="str">
        <x:f>IF($B57="","",IFERROR(IF(INDEX('Leads'!$AE$8:$AE$107,MATCH($B57,'Leads'!$A$8:$A$107,0))="","",INDEX('Leads'!$AE$8:$AE$107,MATCH($B57,'Leads'!$A$8:$A$107,0))),""))</x:f>
      </x:c>
      <x:c r="O57" s="42" t="str">
        <x:f>IF($B57="","",IFERROR(IF(INDEX('Leads'!$AA$8:$AA$107,MATCH($B57,'Leads'!$A$8:$A$107,0))="","",INDEX('Leads'!$AA$8:$AA$107,MATCH($B57,'Leads'!$A$8:$A$107,0))),""))</x:f>
      </x:c>
      <x:c r="P57" s="42" t="str">
        <x:f>IF(AND($A57="",$B57="",$D57=""),"",IF(AND($Q57=1,$R57=1,OR($I57="Active",AND(ISNUMBER($K57),$L57&lt;&gt;""))),"ครบ",IF($A57="","ขาด Order ID; ","")&amp;IF(AND($A57&lt;&gt;"",COUNTIF('Orders_PO'!$A$8:$A$107,$A57)&gt;1),"Order ID ซ้ำ; ","")&amp;IF(COUNTIF('Leads'!$A$8:$A$107,$B57)&lt;&gt;1,"ตรวจรหัส Lead; ","")&amp;IF(AND($B57&lt;&gt;"",IFERROR(INDEX('Leads'!$BA$8:$BA$107,MATCH($B57,'Leads'!$A$8:$A$107,0)),0)&lt;&gt;1),"Lead ยังไม่นับผลจริง; ","")&amp;IF(OR($C57="",$D57="",NOT(ISNUMBER($E57))),"ขาดบริษัท/เลข PO/วันรับ; ","")&amp;IF($J57="","ขาดหลักฐาน PO; ","")&amp;IF(NOT(OR($I57="Active",$I57="Cancelled")),"เลือกสถานะ PO; ","")&amp;IF(COUNTIFS('Orders_PO'!$C$8:$C$107,$C57,'Orders_PO'!$D$8:$D$107,$D57)&gt;1,"PO/ผู้ออกซ้ำ; ","")&amp;IF(OR(NOT(ISNUMBER($F57)),$G57="",$H57="",$H57="ไม่ทราบ"),"ตรวจมูลค่า/สกุล/ฐาน VAT; ","")&amp;IF(AND($I57="Cancelled",OR(NOT(ISNUMBER($K57)),$L57="")),"ขาดวัน/เหตุผลยกเลิก; ","")))</x:f>
      </x:c>
      <x:c r="Q57" s="42" t="str">
        <x:f>IF(AND($A57="",$B57="",$D57=""),"",IF(AND($A57&lt;&gt;"",COUNTIF('Orders_PO'!$A$8:$A$107,$A57)=1,COUNTIF('Leads'!$A$8:$A$107,$B57)=1,$N57&lt;&gt;"",IFERROR(INDEX('Leads'!$BA$8:$BA$107,MATCH($B57,'Leads'!$A$8:$A$107,0)),0)=1,$C57&lt;&gt;"",$D57&lt;&gt;"",ISNUMBER($E57),$E57&gt;0,$J57&lt;&gt;"",OR($I57="Active",$I57="Cancelled"),COUNTIFS('Orders_PO'!$C$8:$C$107,$C57,'Orders_PO'!$D$8:$D$107,$D57)=1),1,0))</x:f>
      </x:c>
      <x:c r="R57" s="42" t="str">
        <x:f>IF($Q57="","",IF(AND($Q57=1,ISNUMBER($F57),$F57&gt;=0,$G57&lt;&gt;"",OR($H57="รวม VAT",$H57="ไม่รวม VAT")),1,0))</x:f>
      </x:c>
    </x:row>
    <x:row r="58" ht="30" customHeight="1">
      <x:c r="A58" s="96"/>
      <x:c r="B58" s="96"/>
      <x:c r="C58" s="36"/>
      <x:c r="D58" s="96"/>
      <x:c r="E58" s="82"/>
      <x:c r="F58" s="84"/>
      <x:c r="G58" s="36"/>
      <x:c r="H58" s="36"/>
      <x:c r="I58" s="36"/>
      <x:c r="J58" s="96"/>
      <x:c r="K58" s="82"/>
      <x:c r="L58" s="36"/>
      <x:c r="M58" s="36"/>
      <x:c r="N58" s="98" t="str">
        <x:f>IF($B58="","",IFERROR(IF(INDEX('Leads'!$AE$8:$AE$107,MATCH($B58,'Leads'!$A$8:$A$107,0))="","",INDEX('Leads'!$AE$8:$AE$107,MATCH($B58,'Leads'!$A$8:$A$107,0))),""))</x:f>
      </x:c>
      <x:c r="O58" s="42" t="str">
        <x:f>IF($B58="","",IFERROR(IF(INDEX('Leads'!$AA$8:$AA$107,MATCH($B58,'Leads'!$A$8:$A$107,0))="","",INDEX('Leads'!$AA$8:$AA$107,MATCH($B58,'Leads'!$A$8:$A$107,0))),""))</x:f>
      </x:c>
      <x:c r="P58" s="42" t="str">
        <x:f>IF(AND($A58="",$B58="",$D58=""),"",IF(AND($Q58=1,$R58=1,OR($I58="Active",AND(ISNUMBER($K58),$L58&lt;&gt;""))),"ครบ",IF($A58="","ขาด Order ID; ","")&amp;IF(AND($A58&lt;&gt;"",COUNTIF('Orders_PO'!$A$8:$A$107,$A58)&gt;1),"Order ID ซ้ำ; ","")&amp;IF(COUNTIF('Leads'!$A$8:$A$107,$B58)&lt;&gt;1,"ตรวจรหัส Lead; ","")&amp;IF(AND($B58&lt;&gt;"",IFERROR(INDEX('Leads'!$BA$8:$BA$107,MATCH($B58,'Leads'!$A$8:$A$107,0)),0)&lt;&gt;1),"Lead ยังไม่นับผลจริง; ","")&amp;IF(OR($C58="",$D58="",NOT(ISNUMBER($E58))),"ขาดบริษัท/เลข PO/วันรับ; ","")&amp;IF($J58="","ขาดหลักฐาน PO; ","")&amp;IF(NOT(OR($I58="Active",$I58="Cancelled")),"เลือกสถานะ PO; ","")&amp;IF(COUNTIFS('Orders_PO'!$C$8:$C$107,$C58,'Orders_PO'!$D$8:$D$107,$D58)&gt;1,"PO/ผู้ออกซ้ำ; ","")&amp;IF(OR(NOT(ISNUMBER($F58)),$G58="",$H58="",$H58="ไม่ทราบ"),"ตรวจมูลค่า/สกุล/ฐาน VAT; ","")&amp;IF(AND($I58="Cancelled",OR(NOT(ISNUMBER($K58)),$L58="")),"ขาดวัน/เหตุผลยกเลิก; ","")))</x:f>
      </x:c>
      <x:c r="Q58" s="42" t="str">
        <x:f>IF(AND($A58="",$B58="",$D58=""),"",IF(AND($A58&lt;&gt;"",COUNTIF('Orders_PO'!$A$8:$A$107,$A58)=1,COUNTIF('Leads'!$A$8:$A$107,$B58)=1,$N58&lt;&gt;"",IFERROR(INDEX('Leads'!$BA$8:$BA$107,MATCH($B58,'Leads'!$A$8:$A$107,0)),0)=1,$C58&lt;&gt;"",$D58&lt;&gt;"",ISNUMBER($E58),$E58&gt;0,$J58&lt;&gt;"",OR($I58="Active",$I58="Cancelled"),COUNTIFS('Orders_PO'!$C$8:$C$107,$C58,'Orders_PO'!$D$8:$D$107,$D58)=1),1,0))</x:f>
      </x:c>
      <x:c r="R58" s="42" t="str">
        <x:f>IF($Q58="","",IF(AND($Q58=1,ISNUMBER($F58),$F58&gt;=0,$G58&lt;&gt;"",OR($H58="รวม VAT",$H58="ไม่รวม VAT")),1,0))</x:f>
      </x:c>
    </x:row>
    <x:row r="59" ht="30" customHeight="1">
      <x:c r="A59" s="96"/>
      <x:c r="B59" s="96"/>
      <x:c r="C59" s="36"/>
      <x:c r="D59" s="96"/>
      <x:c r="E59" s="82"/>
      <x:c r="F59" s="84"/>
      <x:c r="G59" s="36"/>
      <x:c r="H59" s="36"/>
      <x:c r="I59" s="36"/>
      <x:c r="J59" s="96"/>
      <x:c r="K59" s="82"/>
      <x:c r="L59" s="36"/>
      <x:c r="M59" s="36"/>
      <x:c r="N59" s="98" t="str">
        <x:f>IF($B59="","",IFERROR(IF(INDEX('Leads'!$AE$8:$AE$107,MATCH($B59,'Leads'!$A$8:$A$107,0))="","",INDEX('Leads'!$AE$8:$AE$107,MATCH($B59,'Leads'!$A$8:$A$107,0))),""))</x:f>
      </x:c>
      <x:c r="O59" s="42" t="str">
        <x:f>IF($B59="","",IFERROR(IF(INDEX('Leads'!$AA$8:$AA$107,MATCH($B59,'Leads'!$A$8:$A$107,0))="","",INDEX('Leads'!$AA$8:$AA$107,MATCH($B59,'Leads'!$A$8:$A$107,0))),""))</x:f>
      </x:c>
      <x:c r="P59" s="42" t="str">
        <x:f>IF(AND($A59="",$B59="",$D59=""),"",IF(AND($Q59=1,$R59=1,OR($I59="Active",AND(ISNUMBER($K59),$L59&lt;&gt;""))),"ครบ",IF($A59="","ขาด Order ID; ","")&amp;IF(AND($A59&lt;&gt;"",COUNTIF('Orders_PO'!$A$8:$A$107,$A59)&gt;1),"Order ID ซ้ำ; ","")&amp;IF(COUNTIF('Leads'!$A$8:$A$107,$B59)&lt;&gt;1,"ตรวจรหัส Lead; ","")&amp;IF(AND($B59&lt;&gt;"",IFERROR(INDEX('Leads'!$BA$8:$BA$107,MATCH($B59,'Leads'!$A$8:$A$107,0)),0)&lt;&gt;1),"Lead ยังไม่นับผลจริง; ","")&amp;IF(OR($C59="",$D59="",NOT(ISNUMBER($E59))),"ขาดบริษัท/เลข PO/วันรับ; ","")&amp;IF($J59="","ขาดหลักฐาน PO; ","")&amp;IF(NOT(OR($I59="Active",$I59="Cancelled")),"เลือกสถานะ PO; ","")&amp;IF(COUNTIFS('Orders_PO'!$C$8:$C$107,$C59,'Orders_PO'!$D$8:$D$107,$D59)&gt;1,"PO/ผู้ออกซ้ำ; ","")&amp;IF(OR(NOT(ISNUMBER($F59)),$G59="",$H59="",$H59="ไม่ทราบ"),"ตรวจมูลค่า/สกุล/ฐาน VAT; ","")&amp;IF(AND($I59="Cancelled",OR(NOT(ISNUMBER($K59)),$L59="")),"ขาดวัน/เหตุผลยกเลิก; ","")))</x:f>
      </x:c>
      <x:c r="Q59" s="42" t="str">
        <x:f>IF(AND($A59="",$B59="",$D59=""),"",IF(AND($A59&lt;&gt;"",COUNTIF('Orders_PO'!$A$8:$A$107,$A59)=1,COUNTIF('Leads'!$A$8:$A$107,$B59)=1,$N59&lt;&gt;"",IFERROR(INDEX('Leads'!$BA$8:$BA$107,MATCH($B59,'Leads'!$A$8:$A$107,0)),0)=1,$C59&lt;&gt;"",$D59&lt;&gt;"",ISNUMBER($E59),$E59&gt;0,$J59&lt;&gt;"",OR($I59="Active",$I59="Cancelled"),COUNTIFS('Orders_PO'!$C$8:$C$107,$C59,'Orders_PO'!$D$8:$D$107,$D59)=1),1,0))</x:f>
      </x:c>
      <x:c r="R59" s="42" t="str">
        <x:f>IF($Q59="","",IF(AND($Q59=1,ISNUMBER($F59),$F59&gt;=0,$G59&lt;&gt;"",OR($H59="รวม VAT",$H59="ไม่รวม VAT")),1,0))</x:f>
      </x:c>
    </x:row>
    <x:row r="60" ht="30" customHeight="1">
      <x:c r="A60" s="96"/>
      <x:c r="B60" s="96"/>
      <x:c r="C60" s="36"/>
      <x:c r="D60" s="96"/>
      <x:c r="E60" s="82"/>
      <x:c r="F60" s="84"/>
      <x:c r="G60" s="36"/>
      <x:c r="H60" s="36"/>
      <x:c r="I60" s="36"/>
      <x:c r="J60" s="96"/>
      <x:c r="K60" s="82"/>
      <x:c r="L60" s="36"/>
      <x:c r="M60" s="36"/>
      <x:c r="N60" s="98" t="str">
        <x:f>IF($B60="","",IFERROR(IF(INDEX('Leads'!$AE$8:$AE$107,MATCH($B60,'Leads'!$A$8:$A$107,0))="","",INDEX('Leads'!$AE$8:$AE$107,MATCH($B60,'Leads'!$A$8:$A$107,0))),""))</x:f>
      </x:c>
      <x:c r="O60" s="42" t="str">
        <x:f>IF($B60="","",IFERROR(IF(INDEX('Leads'!$AA$8:$AA$107,MATCH($B60,'Leads'!$A$8:$A$107,0))="","",INDEX('Leads'!$AA$8:$AA$107,MATCH($B60,'Leads'!$A$8:$A$107,0))),""))</x:f>
      </x:c>
      <x:c r="P60" s="42" t="str">
        <x:f>IF(AND($A60="",$B60="",$D60=""),"",IF(AND($Q60=1,$R60=1,OR($I60="Active",AND(ISNUMBER($K60),$L60&lt;&gt;""))),"ครบ",IF($A60="","ขาด Order ID; ","")&amp;IF(AND($A60&lt;&gt;"",COUNTIF('Orders_PO'!$A$8:$A$107,$A60)&gt;1),"Order ID ซ้ำ; ","")&amp;IF(COUNTIF('Leads'!$A$8:$A$107,$B60)&lt;&gt;1,"ตรวจรหัส Lead; ","")&amp;IF(AND($B60&lt;&gt;"",IFERROR(INDEX('Leads'!$BA$8:$BA$107,MATCH($B60,'Leads'!$A$8:$A$107,0)),0)&lt;&gt;1),"Lead ยังไม่นับผลจริง; ","")&amp;IF(OR($C60="",$D60="",NOT(ISNUMBER($E60))),"ขาดบริษัท/เลข PO/วันรับ; ","")&amp;IF($J60="","ขาดหลักฐาน PO; ","")&amp;IF(NOT(OR($I60="Active",$I60="Cancelled")),"เลือกสถานะ PO; ","")&amp;IF(COUNTIFS('Orders_PO'!$C$8:$C$107,$C60,'Orders_PO'!$D$8:$D$107,$D60)&gt;1,"PO/ผู้ออกซ้ำ; ","")&amp;IF(OR(NOT(ISNUMBER($F60)),$G60="",$H60="",$H60="ไม่ทราบ"),"ตรวจมูลค่า/สกุล/ฐาน VAT; ","")&amp;IF(AND($I60="Cancelled",OR(NOT(ISNUMBER($K60)),$L60="")),"ขาดวัน/เหตุผลยกเลิก; ","")))</x:f>
      </x:c>
      <x:c r="Q60" s="42" t="str">
        <x:f>IF(AND($A60="",$B60="",$D60=""),"",IF(AND($A60&lt;&gt;"",COUNTIF('Orders_PO'!$A$8:$A$107,$A60)=1,COUNTIF('Leads'!$A$8:$A$107,$B60)=1,$N60&lt;&gt;"",IFERROR(INDEX('Leads'!$BA$8:$BA$107,MATCH($B60,'Leads'!$A$8:$A$107,0)),0)=1,$C60&lt;&gt;"",$D60&lt;&gt;"",ISNUMBER($E60),$E60&gt;0,$J60&lt;&gt;"",OR($I60="Active",$I60="Cancelled"),COUNTIFS('Orders_PO'!$C$8:$C$107,$C60,'Orders_PO'!$D$8:$D$107,$D60)=1),1,0))</x:f>
      </x:c>
      <x:c r="R60" s="42" t="str">
        <x:f>IF($Q60="","",IF(AND($Q60=1,ISNUMBER($F60),$F60&gt;=0,$G60&lt;&gt;"",OR($H60="รวม VAT",$H60="ไม่รวม VAT")),1,0))</x:f>
      </x:c>
    </x:row>
    <x:row r="61" ht="30" customHeight="1">
      <x:c r="A61" s="96"/>
      <x:c r="B61" s="96"/>
      <x:c r="C61" s="36"/>
      <x:c r="D61" s="96"/>
      <x:c r="E61" s="82"/>
      <x:c r="F61" s="84"/>
      <x:c r="G61" s="36"/>
      <x:c r="H61" s="36"/>
      <x:c r="I61" s="36"/>
      <x:c r="J61" s="96"/>
      <x:c r="K61" s="82"/>
      <x:c r="L61" s="36"/>
      <x:c r="M61" s="36"/>
      <x:c r="N61" s="98" t="str">
        <x:f>IF($B61="","",IFERROR(IF(INDEX('Leads'!$AE$8:$AE$107,MATCH($B61,'Leads'!$A$8:$A$107,0))="","",INDEX('Leads'!$AE$8:$AE$107,MATCH($B61,'Leads'!$A$8:$A$107,0))),""))</x:f>
      </x:c>
      <x:c r="O61" s="42" t="str">
        <x:f>IF($B61="","",IFERROR(IF(INDEX('Leads'!$AA$8:$AA$107,MATCH($B61,'Leads'!$A$8:$A$107,0))="","",INDEX('Leads'!$AA$8:$AA$107,MATCH($B61,'Leads'!$A$8:$A$107,0))),""))</x:f>
      </x:c>
      <x:c r="P61" s="42" t="str">
        <x:f>IF(AND($A61="",$B61="",$D61=""),"",IF(AND($Q61=1,$R61=1,OR($I61="Active",AND(ISNUMBER($K61),$L61&lt;&gt;""))),"ครบ",IF($A61="","ขาด Order ID; ","")&amp;IF(AND($A61&lt;&gt;"",COUNTIF('Orders_PO'!$A$8:$A$107,$A61)&gt;1),"Order ID ซ้ำ; ","")&amp;IF(COUNTIF('Leads'!$A$8:$A$107,$B61)&lt;&gt;1,"ตรวจรหัส Lead; ","")&amp;IF(AND($B61&lt;&gt;"",IFERROR(INDEX('Leads'!$BA$8:$BA$107,MATCH($B61,'Leads'!$A$8:$A$107,0)),0)&lt;&gt;1),"Lead ยังไม่นับผลจริง; ","")&amp;IF(OR($C61="",$D61="",NOT(ISNUMBER($E61))),"ขาดบริษัท/เลข PO/วันรับ; ","")&amp;IF($J61="","ขาดหลักฐาน PO; ","")&amp;IF(NOT(OR($I61="Active",$I61="Cancelled")),"เลือกสถานะ PO; ","")&amp;IF(COUNTIFS('Orders_PO'!$C$8:$C$107,$C61,'Orders_PO'!$D$8:$D$107,$D61)&gt;1,"PO/ผู้ออกซ้ำ; ","")&amp;IF(OR(NOT(ISNUMBER($F61)),$G61="",$H61="",$H61="ไม่ทราบ"),"ตรวจมูลค่า/สกุล/ฐาน VAT; ","")&amp;IF(AND($I61="Cancelled",OR(NOT(ISNUMBER($K61)),$L61="")),"ขาดวัน/เหตุผลยกเลิก; ","")))</x:f>
      </x:c>
      <x:c r="Q61" s="42" t="str">
        <x:f>IF(AND($A61="",$B61="",$D61=""),"",IF(AND($A61&lt;&gt;"",COUNTIF('Orders_PO'!$A$8:$A$107,$A61)=1,COUNTIF('Leads'!$A$8:$A$107,$B61)=1,$N61&lt;&gt;"",IFERROR(INDEX('Leads'!$BA$8:$BA$107,MATCH($B61,'Leads'!$A$8:$A$107,0)),0)=1,$C61&lt;&gt;"",$D61&lt;&gt;"",ISNUMBER($E61),$E61&gt;0,$J61&lt;&gt;"",OR($I61="Active",$I61="Cancelled"),COUNTIFS('Orders_PO'!$C$8:$C$107,$C61,'Orders_PO'!$D$8:$D$107,$D61)=1),1,0))</x:f>
      </x:c>
      <x:c r="R61" s="42" t="str">
        <x:f>IF($Q61="","",IF(AND($Q61=1,ISNUMBER($F61),$F61&gt;=0,$G61&lt;&gt;"",OR($H61="รวม VAT",$H61="ไม่รวม VAT")),1,0))</x:f>
      </x:c>
    </x:row>
    <x:row r="62" ht="30" customHeight="1">
      <x:c r="A62" s="96"/>
      <x:c r="B62" s="96"/>
      <x:c r="C62" s="36"/>
      <x:c r="D62" s="96"/>
      <x:c r="E62" s="82"/>
      <x:c r="F62" s="84"/>
      <x:c r="G62" s="36"/>
      <x:c r="H62" s="36"/>
      <x:c r="I62" s="36"/>
      <x:c r="J62" s="96"/>
      <x:c r="K62" s="82"/>
      <x:c r="L62" s="36"/>
      <x:c r="M62" s="36"/>
      <x:c r="N62" s="98" t="str">
        <x:f>IF($B62="","",IFERROR(IF(INDEX('Leads'!$AE$8:$AE$107,MATCH($B62,'Leads'!$A$8:$A$107,0))="","",INDEX('Leads'!$AE$8:$AE$107,MATCH($B62,'Leads'!$A$8:$A$107,0))),""))</x:f>
      </x:c>
      <x:c r="O62" s="42" t="str">
        <x:f>IF($B62="","",IFERROR(IF(INDEX('Leads'!$AA$8:$AA$107,MATCH($B62,'Leads'!$A$8:$A$107,0))="","",INDEX('Leads'!$AA$8:$AA$107,MATCH($B62,'Leads'!$A$8:$A$107,0))),""))</x:f>
      </x:c>
      <x:c r="P62" s="42" t="str">
        <x:f>IF(AND($A62="",$B62="",$D62=""),"",IF(AND($Q62=1,$R62=1,OR($I62="Active",AND(ISNUMBER($K62),$L62&lt;&gt;""))),"ครบ",IF($A62="","ขาด Order ID; ","")&amp;IF(AND($A62&lt;&gt;"",COUNTIF('Orders_PO'!$A$8:$A$107,$A62)&gt;1),"Order ID ซ้ำ; ","")&amp;IF(COUNTIF('Leads'!$A$8:$A$107,$B62)&lt;&gt;1,"ตรวจรหัส Lead; ","")&amp;IF(AND($B62&lt;&gt;"",IFERROR(INDEX('Leads'!$BA$8:$BA$107,MATCH($B62,'Leads'!$A$8:$A$107,0)),0)&lt;&gt;1),"Lead ยังไม่นับผลจริง; ","")&amp;IF(OR($C62="",$D62="",NOT(ISNUMBER($E62))),"ขาดบริษัท/เลข PO/วันรับ; ","")&amp;IF($J62="","ขาดหลักฐาน PO; ","")&amp;IF(NOT(OR($I62="Active",$I62="Cancelled")),"เลือกสถานะ PO; ","")&amp;IF(COUNTIFS('Orders_PO'!$C$8:$C$107,$C62,'Orders_PO'!$D$8:$D$107,$D62)&gt;1,"PO/ผู้ออกซ้ำ; ","")&amp;IF(OR(NOT(ISNUMBER($F62)),$G62="",$H62="",$H62="ไม่ทราบ"),"ตรวจมูลค่า/สกุล/ฐาน VAT; ","")&amp;IF(AND($I62="Cancelled",OR(NOT(ISNUMBER($K62)),$L62="")),"ขาดวัน/เหตุผลยกเลิก; ","")))</x:f>
      </x:c>
      <x:c r="Q62" s="42" t="str">
        <x:f>IF(AND($A62="",$B62="",$D62=""),"",IF(AND($A62&lt;&gt;"",COUNTIF('Orders_PO'!$A$8:$A$107,$A62)=1,COUNTIF('Leads'!$A$8:$A$107,$B62)=1,$N62&lt;&gt;"",IFERROR(INDEX('Leads'!$BA$8:$BA$107,MATCH($B62,'Leads'!$A$8:$A$107,0)),0)=1,$C62&lt;&gt;"",$D62&lt;&gt;"",ISNUMBER($E62),$E62&gt;0,$J62&lt;&gt;"",OR($I62="Active",$I62="Cancelled"),COUNTIFS('Orders_PO'!$C$8:$C$107,$C62,'Orders_PO'!$D$8:$D$107,$D62)=1),1,0))</x:f>
      </x:c>
      <x:c r="R62" s="42" t="str">
        <x:f>IF($Q62="","",IF(AND($Q62=1,ISNUMBER($F62),$F62&gt;=0,$G62&lt;&gt;"",OR($H62="รวม VAT",$H62="ไม่รวม VAT")),1,0))</x:f>
      </x:c>
    </x:row>
    <x:row r="63" ht="30" customHeight="1">
      <x:c r="A63" s="96"/>
      <x:c r="B63" s="96"/>
      <x:c r="C63" s="36"/>
      <x:c r="D63" s="96"/>
      <x:c r="E63" s="82"/>
      <x:c r="F63" s="84"/>
      <x:c r="G63" s="36"/>
      <x:c r="H63" s="36"/>
      <x:c r="I63" s="36"/>
      <x:c r="J63" s="96"/>
      <x:c r="K63" s="82"/>
      <x:c r="L63" s="36"/>
      <x:c r="M63" s="36"/>
      <x:c r="N63" s="98" t="str">
        <x:f>IF($B63="","",IFERROR(IF(INDEX('Leads'!$AE$8:$AE$107,MATCH($B63,'Leads'!$A$8:$A$107,0))="","",INDEX('Leads'!$AE$8:$AE$107,MATCH($B63,'Leads'!$A$8:$A$107,0))),""))</x:f>
      </x:c>
      <x:c r="O63" s="42" t="str">
        <x:f>IF($B63="","",IFERROR(IF(INDEX('Leads'!$AA$8:$AA$107,MATCH($B63,'Leads'!$A$8:$A$107,0))="","",INDEX('Leads'!$AA$8:$AA$107,MATCH($B63,'Leads'!$A$8:$A$107,0))),""))</x:f>
      </x:c>
      <x:c r="P63" s="42" t="str">
        <x:f>IF(AND($A63="",$B63="",$D63=""),"",IF(AND($Q63=1,$R63=1,OR($I63="Active",AND(ISNUMBER($K63),$L63&lt;&gt;""))),"ครบ",IF($A63="","ขาด Order ID; ","")&amp;IF(AND($A63&lt;&gt;"",COUNTIF('Orders_PO'!$A$8:$A$107,$A63)&gt;1),"Order ID ซ้ำ; ","")&amp;IF(COUNTIF('Leads'!$A$8:$A$107,$B63)&lt;&gt;1,"ตรวจรหัส Lead; ","")&amp;IF(AND($B63&lt;&gt;"",IFERROR(INDEX('Leads'!$BA$8:$BA$107,MATCH($B63,'Leads'!$A$8:$A$107,0)),0)&lt;&gt;1),"Lead ยังไม่นับผลจริง; ","")&amp;IF(OR($C63="",$D63="",NOT(ISNUMBER($E63))),"ขาดบริษัท/เลข PO/วันรับ; ","")&amp;IF($J63="","ขาดหลักฐาน PO; ","")&amp;IF(NOT(OR($I63="Active",$I63="Cancelled")),"เลือกสถานะ PO; ","")&amp;IF(COUNTIFS('Orders_PO'!$C$8:$C$107,$C63,'Orders_PO'!$D$8:$D$107,$D63)&gt;1,"PO/ผู้ออกซ้ำ; ","")&amp;IF(OR(NOT(ISNUMBER($F63)),$G63="",$H63="",$H63="ไม่ทราบ"),"ตรวจมูลค่า/สกุล/ฐาน VAT; ","")&amp;IF(AND($I63="Cancelled",OR(NOT(ISNUMBER($K63)),$L63="")),"ขาดวัน/เหตุผลยกเลิก; ","")))</x:f>
      </x:c>
      <x:c r="Q63" s="42" t="str">
        <x:f>IF(AND($A63="",$B63="",$D63=""),"",IF(AND($A63&lt;&gt;"",COUNTIF('Orders_PO'!$A$8:$A$107,$A63)=1,COUNTIF('Leads'!$A$8:$A$107,$B63)=1,$N63&lt;&gt;"",IFERROR(INDEX('Leads'!$BA$8:$BA$107,MATCH($B63,'Leads'!$A$8:$A$107,0)),0)=1,$C63&lt;&gt;"",$D63&lt;&gt;"",ISNUMBER($E63),$E63&gt;0,$J63&lt;&gt;"",OR($I63="Active",$I63="Cancelled"),COUNTIFS('Orders_PO'!$C$8:$C$107,$C63,'Orders_PO'!$D$8:$D$107,$D63)=1),1,0))</x:f>
      </x:c>
      <x:c r="R63" s="42" t="str">
        <x:f>IF($Q63="","",IF(AND($Q63=1,ISNUMBER($F63),$F63&gt;=0,$G63&lt;&gt;"",OR($H63="รวม VAT",$H63="ไม่รวม VAT")),1,0))</x:f>
      </x:c>
    </x:row>
    <x:row r="64" ht="30" customHeight="1">
      <x:c r="A64" s="96"/>
      <x:c r="B64" s="96"/>
      <x:c r="C64" s="36"/>
      <x:c r="D64" s="96"/>
      <x:c r="E64" s="82"/>
      <x:c r="F64" s="84"/>
      <x:c r="G64" s="36"/>
      <x:c r="H64" s="36"/>
      <x:c r="I64" s="36"/>
      <x:c r="J64" s="96"/>
      <x:c r="K64" s="82"/>
      <x:c r="L64" s="36"/>
      <x:c r="M64" s="36"/>
      <x:c r="N64" s="98" t="str">
        <x:f>IF($B64="","",IFERROR(IF(INDEX('Leads'!$AE$8:$AE$107,MATCH($B64,'Leads'!$A$8:$A$107,0))="","",INDEX('Leads'!$AE$8:$AE$107,MATCH($B64,'Leads'!$A$8:$A$107,0))),""))</x:f>
      </x:c>
      <x:c r="O64" s="42" t="str">
        <x:f>IF($B64="","",IFERROR(IF(INDEX('Leads'!$AA$8:$AA$107,MATCH($B64,'Leads'!$A$8:$A$107,0))="","",INDEX('Leads'!$AA$8:$AA$107,MATCH($B64,'Leads'!$A$8:$A$107,0))),""))</x:f>
      </x:c>
      <x:c r="P64" s="42" t="str">
        <x:f>IF(AND($A64="",$B64="",$D64=""),"",IF(AND($Q64=1,$R64=1,OR($I64="Active",AND(ISNUMBER($K64),$L64&lt;&gt;""))),"ครบ",IF($A64="","ขาด Order ID; ","")&amp;IF(AND($A64&lt;&gt;"",COUNTIF('Orders_PO'!$A$8:$A$107,$A64)&gt;1),"Order ID ซ้ำ; ","")&amp;IF(COUNTIF('Leads'!$A$8:$A$107,$B64)&lt;&gt;1,"ตรวจรหัส Lead; ","")&amp;IF(AND($B64&lt;&gt;"",IFERROR(INDEX('Leads'!$BA$8:$BA$107,MATCH($B64,'Leads'!$A$8:$A$107,0)),0)&lt;&gt;1),"Lead ยังไม่นับผลจริง; ","")&amp;IF(OR($C64="",$D64="",NOT(ISNUMBER($E64))),"ขาดบริษัท/เลข PO/วันรับ; ","")&amp;IF($J64="","ขาดหลักฐาน PO; ","")&amp;IF(NOT(OR($I64="Active",$I64="Cancelled")),"เลือกสถานะ PO; ","")&amp;IF(COUNTIFS('Orders_PO'!$C$8:$C$107,$C64,'Orders_PO'!$D$8:$D$107,$D64)&gt;1,"PO/ผู้ออกซ้ำ; ","")&amp;IF(OR(NOT(ISNUMBER($F64)),$G64="",$H64="",$H64="ไม่ทราบ"),"ตรวจมูลค่า/สกุล/ฐาน VAT; ","")&amp;IF(AND($I64="Cancelled",OR(NOT(ISNUMBER($K64)),$L64="")),"ขาดวัน/เหตุผลยกเลิก; ","")))</x:f>
      </x:c>
      <x:c r="Q64" s="42" t="str">
        <x:f>IF(AND($A64="",$B64="",$D64=""),"",IF(AND($A64&lt;&gt;"",COUNTIF('Orders_PO'!$A$8:$A$107,$A64)=1,COUNTIF('Leads'!$A$8:$A$107,$B64)=1,$N64&lt;&gt;"",IFERROR(INDEX('Leads'!$BA$8:$BA$107,MATCH($B64,'Leads'!$A$8:$A$107,0)),0)=1,$C64&lt;&gt;"",$D64&lt;&gt;"",ISNUMBER($E64),$E64&gt;0,$J64&lt;&gt;"",OR($I64="Active",$I64="Cancelled"),COUNTIFS('Orders_PO'!$C$8:$C$107,$C64,'Orders_PO'!$D$8:$D$107,$D64)=1),1,0))</x:f>
      </x:c>
      <x:c r="R64" s="42" t="str">
        <x:f>IF($Q64="","",IF(AND($Q64=1,ISNUMBER($F64),$F64&gt;=0,$G64&lt;&gt;"",OR($H64="รวม VAT",$H64="ไม่รวม VAT")),1,0))</x:f>
      </x:c>
    </x:row>
    <x:row r="65" ht="30" customHeight="1">
      <x:c r="A65" s="96"/>
      <x:c r="B65" s="96"/>
      <x:c r="C65" s="36"/>
      <x:c r="D65" s="96"/>
      <x:c r="E65" s="82"/>
      <x:c r="F65" s="84"/>
      <x:c r="G65" s="36"/>
      <x:c r="H65" s="36"/>
      <x:c r="I65" s="36"/>
      <x:c r="J65" s="96"/>
      <x:c r="K65" s="82"/>
      <x:c r="L65" s="36"/>
      <x:c r="M65" s="36"/>
      <x:c r="N65" s="98" t="str">
        <x:f>IF($B65="","",IFERROR(IF(INDEX('Leads'!$AE$8:$AE$107,MATCH($B65,'Leads'!$A$8:$A$107,0))="","",INDEX('Leads'!$AE$8:$AE$107,MATCH($B65,'Leads'!$A$8:$A$107,0))),""))</x:f>
      </x:c>
      <x:c r="O65" s="42" t="str">
        <x:f>IF($B65="","",IFERROR(IF(INDEX('Leads'!$AA$8:$AA$107,MATCH($B65,'Leads'!$A$8:$A$107,0))="","",INDEX('Leads'!$AA$8:$AA$107,MATCH($B65,'Leads'!$A$8:$A$107,0))),""))</x:f>
      </x:c>
      <x:c r="P65" s="42" t="str">
        <x:f>IF(AND($A65="",$B65="",$D65=""),"",IF(AND($Q65=1,$R65=1,OR($I65="Active",AND(ISNUMBER($K65),$L65&lt;&gt;""))),"ครบ",IF($A65="","ขาด Order ID; ","")&amp;IF(AND($A65&lt;&gt;"",COUNTIF('Orders_PO'!$A$8:$A$107,$A65)&gt;1),"Order ID ซ้ำ; ","")&amp;IF(COUNTIF('Leads'!$A$8:$A$107,$B65)&lt;&gt;1,"ตรวจรหัส Lead; ","")&amp;IF(AND($B65&lt;&gt;"",IFERROR(INDEX('Leads'!$BA$8:$BA$107,MATCH($B65,'Leads'!$A$8:$A$107,0)),0)&lt;&gt;1),"Lead ยังไม่นับผลจริง; ","")&amp;IF(OR($C65="",$D65="",NOT(ISNUMBER($E65))),"ขาดบริษัท/เลข PO/วันรับ; ","")&amp;IF($J65="","ขาดหลักฐาน PO; ","")&amp;IF(NOT(OR($I65="Active",$I65="Cancelled")),"เลือกสถานะ PO; ","")&amp;IF(COUNTIFS('Orders_PO'!$C$8:$C$107,$C65,'Orders_PO'!$D$8:$D$107,$D65)&gt;1,"PO/ผู้ออกซ้ำ; ","")&amp;IF(OR(NOT(ISNUMBER($F65)),$G65="",$H65="",$H65="ไม่ทราบ"),"ตรวจมูลค่า/สกุล/ฐาน VAT; ","")&amp;IF(AND($I65="Cancelled",OR(NOT(ISNUMBER($K65)),$L65="")),"ขาดวัน/เหตุผลยกเลิก; ","")))</x:f>
      </x:c>
      <x:c r="Q65" s="42" t="str">
        <x:f>IF(AND($A65="",$B65="",$D65=""),"",IF(AND($A65&lt;&gt;"",COUNTIF('Orders_PO'!$A$8:$A$107,$A65)=1,COUNTIF('Leads'!$A$8:$A$107,$B65)=1,$N65&lt;&gt;"",IFERROR(INDEX('Leads'!$BA$8:$BA$107,MATCH($B65,'Leads'!$A$8:$A$107,0)),0)=1,$C65&lt;&gt;"",$D65&lt;&gt;"",ISNUMBER($E65),$E65&gt;0,$J65&lt;&gt;"",OR($I65="Active",$I65="Cancelled"),COUNTIFS('Orders_PO'!$C$8:$C$107,$C65,'Orders_PO'!$D$8:$D$107,$D65)=1),1,0))</x:f>
      </x:c>
      <x:c r="R65" s="42" t="str">
        <x:f>IF($Q65="","",IF(AND($Q65=1,ISNUMBER($F65),$F65&gt;=0,$G65&lt;&gt;"",OR($H65="รวม VAT",$H65="ไม่รวม VAT")),1,0))</x:f>
      </x:c>
    </x:row>
    <x:row r="66" ht="30" customHeight="1">
      <x:c r="A66" s="96"/>
      <x:c r="B66" s="96"/>
      <x:c r="C66" s="36"/>
      <x:c r="D66" s="96"/>
      <x:c r="E66" s="82"/>
      <x:c r="F66" s="84"/>
      <x:c r="G66" s="36"/>
      <x:c r="H66" s="36"/>
      <x:c r="I66" s="36"/>
      <x:c r="J66" s="96"/>
      <x:c r="K66" s="82"/>
      <x:c r="L66" s="36"/>
      <x:c r="M66" s="36"/>
      <x:c r="N66" s="98" t="str">
        <x:f>IF($B66="","",IFERROR(IF(INDEX('Leads'!$AE$8:$AE$107,MATCH($B66,'Leads'!$A$8:$A$107,0))="","",INDEX('Leads'!$AE$8:$AE$107,MATCH($B66,'Leads'!$A$8:$A$107,0))),""))</x:f>
      </x:c>
      <x:c r="O66" s="42" t="str">
        <x:f>IF($B66="","",IFERROR(IF(INDEX('Leads'!$AA$8:$AA$107,MATCH($B66,'Leads'!$A$8:$A$107,0))="","",INDEX('Leads'!$AA$8:$AA$107,MATCH($B66,'Leads'!$A$8:$A$107,0))),""))</x:f>
      </x:c>
      <x:c r="P66" s="42" t="str">
        <x:f>IF(AND($A66="",$B66="",$D66=""),"",IF(AND($Q66=1,$R66=1,OR($I66="Active",AND(ISNUMBER($K66),$L66&lt;&gt;""))),"ครบ",IF($A66="","ขาด Order ID; ","")&amp;IF(AND($A66&lt;&gt;"",COUNTIF('Orders_PO'!$A$8:$A$107,$A66)&gt;1),"Order ID ซ้ำ; ","")&amp;IF(COUNTIF('Leads'!$A$8:$A$107,$B66)&lt;&gt;1,"ตรวจรหัส Lead; ","")&amp;IF(AND($B66&lt;&gt;"",IFERROR(INDEX('Leads'!$BA$8:$BA$107,MATCH($B66,'Leads'!$A$8:$A$107,0)),0)&lt;&gt;1),"Lead ยังไม่นับผลจริง; ","")&amp;IF(OR($C66="",$D66="",NOT(ISNUMBER($E66))),"ขาดบริษัท/เลข PO/วันรับ; ","")&amp;IF($J66="","ขาดหลักฐาน PO; ","")&amp;IF(NOT(OR($I66="Active",$I66="Cancelled")),"เลือกสถานะ PO; ","")&amp;IF(COUNTIFS('Orders_PO'!$C$8:$C$107,$C66,'Orders_PO'!$D$8:$D$107,$D66)&gt;1,"PO/ผู้ออกซ้ำ; ","")&amp;IF(OR(NOT(ISNUMBER($F66)),$G66="",$H66="",$H66="ไม่ทราบ"),"ตรวจมูลค่า/สกุล/ฐาน VAT; ","")&amp;IF(AND($I66="Cancelled",OR(NOT(ISNUMBER($K66)),$L66="")),"ขาดวัน/เหตุผลยกเลิก; ","")))</x:f>
      </x:c>
      <x:c r="Q66" s="42" t="str">
        <x:f>IF(AND($A66="",$B66="",$D66=""),"",IF(AND($A66&lt;&gt;"",COUNTIF('Orders_PO'!$A$8:$A$107,$A66)=1,COUNTIF('Leads'!$A$8:$A$107,$B66)=1,$N66&lt;&gt;"",IFERROR(INDEX('Leads'!$BA$8:$BA$107,MATCH($B66,'Leads'!$A$8:$A$107,0)),0)=1,$C66&lt;&gt;"",$D66&lt;&gt;"",ISNUMBER($E66),$E66&gt;0,$J66&lt;&gt;"",OR($I66="Active",$I66="Cancelled"),COUNTIFS('Orders_PO'!$C$8:$C$107,$C66,'Orders_PO'!$D$8:$D$107,$D66)=1),1,0))</x:f>
      </x:c>
      <x:c r="R66" s="42" t="str">
        <x:f>IF($Q66="","",IF(AND($Q66=1,ISNUMBER($F66),$F66&gt;=0,$G66&lt;&gt;"",OR($H66="รวม VAT",$H66="ไม่รวม VAT")),1,0))</x:f>
      </x:c>
    </x:row>
    <x:row r="67" ht="30" customHeight="1">
      <x:c r="A67" s="96"/>
      <x:c r="B67" s="96"/>
      <x:c r="C67" s="36"/>
      <x:c r="D67" s="96"/>
      <x:c r="E67" s="82"/>
      <x:c r="F67" s="84"/>
      <x:c r="G67" s="36"/>
      <x:c r="H67" s="36"/>
      <x:c r="I67" s="36"/>
      <x:c r="J67" s="96"/>
      <x:c r="K67" s="82"/>
      <x:c r="L67" s="36"/>
      <x:c r="M67" s="36"/>
      <x:c r="N67" s="98" t="str">
        <x:f>IF($B67="","",IFERROR(IF(INDEX('Leads'!$AE$8:$AE$107,MATCH($B67,'Leads'!$A$8:$A$107,0))="","",INDEX('Leads'!$AE$8:$AE$107,MATCH($B67,'Leads'!$A$8:$A$107,0))),""))</x:f>
      </x:c>
      <x:c r="O67" s="42" t="str">
        <x:f>IF($B67="","",IFERROR(IF(INDEX('Leads'!$AA$8:$AA$107,MATCH($B67,'Leads'!$A$8:$A$107,0))="","",INDEX('Leads'!$AA$8:$AA$107,MATCH($B67,'Leads'!$A$8:$A$107,0))),""))</x:f>
      </x:c>
      <x:c r="P67" s="42" t="str">
        <x:f>IF(AND($A67="",$B67="",$D67=""),"",IF(AND($Q67=1,$R67=1,OR($I67="Active",AND(ISNUMBER($K67),$L67&lt;&gt;""))),"ครบ",IF($A67="","ขาด Order ID; ","")&amp;IF(AND($A67&lt;&gt;"",COUNTIF('Orders_PO'!$A$8:$A$107,$A67)&gt;1),"Order ID ซ้ำ; ","")&amp;IF(COUNTIF('Leads'!$A$8:$A$107,$B67)&lt;&gt;1,"ตรวจรหัส Lead; ","")&amp;IF(AND($B67&lt;&gt;"",IFERROR(INDEX('Leads'!$BA$8:$BA$107,MATCH($B67,'Leads'!$A$8:$A$107,0)),0)&lt;&gt;1),"Lead ยังไม่นับผลจริง; ","")&amp;IF(OR($C67="",$D67="",NOT(ISNUMBER($E67))),"ขาดบริษัท/เลข PO/วันรับ; ","")&amp;IF($J67="","ขาดหลักฐาน PO; ","")&amp;IF(NOT(OR($I67="Active",$I67="Cancelled")),"เลือกสถานะ PO; ","")&amp;IF(COUNTIFS('Orders_PO'!$C$8:$C$107,$C67,'Orders_PO'!$D$8:$D$107,$D67)&gt;1,"PO/ผู้ออกซ้ำ; ","")&amp;IF(OR(NOT(ISNUMBER($F67)),$G67="",$H67="",$H67="ไม่ทราบ"),"ตรวจมูลค่า/สกุล/ฐาน VAT; ","")&amp;IF(AND($I67="Cancelled",OR(NOT(ISNUMBER($K67)),$L67="")),"ขาดวัน/เหตุผลยกเลิก; ","")))</x:f>
      </x:c>
      <x:c r="Q67" s="42" t="str">
        <x:f>IF(AND($A67="",$B67="",$D67=""),"",IF(AND($A67&lt;&gt;"",COUNTIF('Orders_PO'!$A$8:$A$107,$A67)=1,COUNTIF('Leads'!$A$8:$A$107,$B67)=1,$N67&lt;&gt;"",IFERROR(INDEX('Leads'!$BA$8:$BA$107,MATCH($B67,'Leads'!$A$8:$A$107,0)),0)=1,$C67&lt;&gt;"",$D67&lt;&gt;"",ISNUMBER($E67),$E67&gt;0,$J67&lt;&gt;"",OR($I67="Active",$I67="Cancelled"),COUNTIFS('Orders_PO'!$C$8:$C$107,$C67,'Orders_PO'!$D$8:$D$107,$D67)=1),1,0))</x:f>
      </x:c>
      <x:c r="R67" s="42" t="str">
        <x:f>IF($Q67="","",IF(AND($Q67=1,ISNUMBER($F67),$F67&gt;=0,$G67&lt;&gt;"",OR($H67="รวม VAT",$H67="ไม่รวม VAT")),1,0))</x:f>
      </x:c>
    </x:row>
    <x:row r="68" ht="30" customHeight="1">
      <x:c r="A68" s="96"/>
      <x:c r="B68" s="96"/>
      <x:c r="C68" s="36"/>
      <x:c r="D68" s="96"/>
      <x:c r="E68" s="82"/>
      <x:c r="F68" s="84"/>
      <x:c r="G68" s="36"/>
      <x:c r="H68" s="36"/>
      <x:c r="I68" s="36"/>
      <x:c r="J68" s="96"/>
      <x:c r="K68" s="82"/>
      <x:c r="L68" s="36"/>
      <x:c r="M68" s="36"/>
      <x:c r="N68" s="98" t="str">
        <x:f>IF($B68="","",IFERROR(IF(INDEX('Leads'!$AE$8:$AE$107,MATCH($B68,'Leads'!$A$8:$A$107,0))="","",INDEX('Leads'!$AE$8:$AE$107,MATCH($B68,'Leads'!$A$8:$A$107,0))),""))</x:f>
      </x:c>
      <x:c r="O68" s="42" t="str">
        <x:f>IF($B68="","",IFERROR(IF(INDEX('Leads'!$AA$8:$AA$107,MATCH($B68,'Leads'!$A$8:$A$107,0))="","",INDEX('Leads'!$AA$8:$AA$107,MATCH($B68,'Leads'!$A$8:$A$107,0))),""))</x:f>
      </x:c>
      <x:c r="P68" s="42" t="str">
        <x:f>IF(AND($A68="",$B68="",$D68=""),"",IF(AND($Q68=1,$R68=1,OR($I68="Active",AND(ISNUMBER($K68),$L68&lt;&gt;""))),"ครบ",IF($A68="","ขาด Order ID; ","")&amp;IF(AND($A68&lt;&gt;"",COUNTIF('Orders_PO'!$A$8:$A$107,$A68)&gt;1),"Order ID ซ้ำ; ","")&amp;IF(COUNTIF('Leads'!$A$8:$A$107,$B68)&lt;&gt;1,"ตรวจรหัส Lead; ","")&amp;IF(AND($B68&lt;&gt;"",IFERROR(INDEX('Leads'!$BA$8:$BA$107,MATCH($B68,'Leads'!$A$8:$A$107,0)),0)&lt;&gt;1),"Lead ยังไม่นับผลจริง; ","")&amp;IF(OR($C68="",$D68="",NOT(ISNUMBER($E68))),"ขาดบริษัท/เลข PO/วันรับ; ","")&amp;IF($J68="","ขาดหลักฐาน PO; ","")&amp;IF(NOT(OR($I68="Active",$I68="Cancelled")),"เลือกสถานะ PO; ","")&amp;IF(COUNTIFS('Orders_PO'!$C$8:$C$107,$C68,'Orders_PO'!$D$8:$D$107,$D68)&gt;1,"PO/ผู้ออกซ้ำ; ","")&amp;IF(OR(NOT(ISNUMBER($F68)),$G68="",$H68="",$H68="ไม่ทราบ"),"ตรวจมูลค่า/สกุล/ฐาน VAT; ","")&amp;IF(AND($I68="Cancelled",OR(NOT(ISNUMBER($K68)),$L68="")),"ขาดวัน/เหตุผลยกเลิก; ","")))</x:f>
      </x:c>
      <x:c r="Q68" s="42" t="str">
        <x:f>IF(AND($A68="",$B68="",$D68=""),"",IF(AND($A68&lt;&gt;"",COUNTIF('Orders_PO'!$A$8:$A$107,$A68)=1,COUNTIF('Leads'!$A$8:$A$107,$B68)=1,$N68&lt;&gt;"",IFERROR(INDEX('Leads'!$BA$8:$BA$107,MATCH($B68,'Leads'!$A$8:$A$107,0)),0)=1,$C68&lt;&gt;"",$D68&lt;&gt;"",ISNUMBER($E68),$E68&gt;0,$J68&lt;&gt;"",OR($I68="Active",$I68="Cancelled"),COUNTIFS('Orders_PO'!$C$8:$C$107,$C68,'Orders_PO'!$D$8:$D$107,$D68)=1),1,0))</x:f>
      </x:c>
      <x:c r="R68" s="42" t="str">
        <x:f>IF($Q68="","",IF(AND($Q68=1,ISNUMBER($F68),$F68&gt;=0,$G68&lt;&gt;"",OR($H68="รวม VAT",$H68="ไม่รวม VAT")),1,0))</x:f>
      </x:c>
    </x:row>
    <x:row r="69" ht="30" customHeight="1">
      <x:c r="A69" s="96"/>
      <x:c r="B69" s="96"/>
      <x:c r="C69" s="36"/>
      <x:c r="D69" s="96"/>
      <x:c r="E69" s="82"/>
      <x:c r="F69" s="84"/>
      <x:c r="G69" s="36"/>
      <x:c r="H69" s="36"/>
      <x:c r="I69" s="36"/>
      <x:c r="J69" s="96"/>
      <x:c r="K69" s="82"/>
      <x:c r="L69" s="36"/>
      <x:c r="M69" s="36"/>
      <x:c r="N69" s="98" t="str">
        <x:f>IF($B69="","",IFERROR(IF(INDEX('Leads'!$AE$8:$AE$107,MATCH($B69,'Leads'!$A$8:$A$107,0))="","",INDEX('Leads'!$AE$8:$AE$107,MATCH($B69,'Leads'!$A$8:$A$107,0))),""))</x:f>
      </x:c>
      <x:c r="O69" s="42" t="str">
        <x:f>IF($B69="","",IFERROR(IF(INDEX('Leads'!$AA$8:$AA$107,MATCH($B69,'Leads'!$A$8:$A$107,0))="","",INDEX('Leads'!$AA$8:$AA$107,MATCH($B69,'Leads'!$A$8:$A$107,0))),""))</x:f>
      </x:c>
      <x:c r="P69" s="42" t="str">
        <x:f>IF(AND($A69="",$B69="",$D69=""),"",IF(AND($Q69=1,$R69=1,OR($I69="Active",AND(ISNUMBER($K69),$L69&lt;&gt;""))),"ครบ",IF($A69="","ขาด Order ID; ","")&amp;IF(AND($A69&lt;&gt;"",COUNTIF('Orders_PO'!$A$8:$A$107,$A69)&gt;1),"Order ID ซ้ำ; ","")&amp;IF(COUNTIF('Leads'!$A$8:$A$107,$B69)&lt;&gt;1,"ตรวจรหัส Lead; ","")&amp;IF(AND($B69&lt;&gt;"",IFERROR(INDEX('Leads'!$BA$8:$BA$107,MATCH($B69,'Leads'!$A$8:$A$107,0)),0)&lt;&gt;1),"Lead ยังไม่นับผลจริง; ","")&amp;IF(OR($C69="",$D69="",NOT(ISNUMBER($E69))),"ขาดบริษัท/เลข PO/วันรับ; ","")&amp;IF($J69="","ขาดหลักฐาน PO; ","")&amp;IF(NOT(OR($I69="Active",$I69="Cancelled")),"เลือกสถานะ PO; ","")&amp;IF(COUNTIFS('Orders_PO'!$C$8:$C$107,$C69,'Orders_PO'!$D$8:$D$107,$D69)&gt;1,"PO/ผู้ออกซ้ำ; ","")&amp;IF(OR(NOT(ISNUMBER($F69)),$G69="",$H69="",$H69="ไม่ทราบ"),"ตรวจมูลค่า/สกุล/ฐาน VAT; ","")&amp;IF(AND($I69="Cancelled",OR(NOT(ISNUMBER($K69)),$L69="")),"ขาดวัน/เหตุผลยกเลิก; ","")))</x:f>
      </x:c>
      <x:c r="Q69" s="42" t="str">
        <x:f>IF(AND($A69="",$B69="",$D69=""),"",IF(AND($A69&lt;&gt;"",COUNTIF('Orders_PO'!$A$8:$A$107,$A69)=1,COUNTIF('Leads'!$A$8:$A$107,$B69)=1,$N69&lt;&gt;"",IFERROR(INDEX('Leads'!$BA$8:$BA$107,MATCH($B69,'Leads'!$A$8:$A$107,0)),0)=1,$C69&lt;&gt;"",$D69&lt;&gt;"",ISNUMBER($E69),$E69&gt;0,$J69&lt;&gt;"",OR($I69="Active",$I69="Cancelled"),COUNTIFS('Orders_PO'!$C$8:$C$107,$C69,'Orders_PO'!$D$8:$D$107,$D69)=1),1,0))</x:f>
      </x:c>
      <x:c r="R69" s="42" t="str">
        <x:f>IF($Q69="","",IF(AND($Q69=1,ISNUMBER($F69),$F69&gt;=0,$G69&lt;&gt;"",OR($H69="รวม VAT",$H69="ไม่รวม VAT")),1,0))</x:f>
      </x:c>
    </x:row>
    <x:row r="70" ht="30" customHeight="1">
      <x:c r="A70" s="96"/>
      <x:c r="B70" s="96"/>
      <x:c r="C70" s="36"/>
      <x:c r="D70" s="96"/>
      <x:c r="E70" s="82"/>
      <x:c r="F70" s="84"/>
      <x:c r="G70" s="36"/>
      <x:c r="H70" s="36"/>
      <x:c r="I70" s="36"/>
      <x:c r="J70" s="96"/>
      <x:c r="K70" s="82"/>
      <x:c r="L70" s="36"/>
      <x:c r="M70" s="36"/>
      <x:c r="N70" s="98" t="str">
        <x:f>IF($B70="","",IFERROR(IF(INDEX('Leads'!$AE$8:$AE$107,MATCH($B70,'Leads'!$A$8:$A$107,0))="","",INDEX('Leads'!$AE$8:$AE$107,MATCH($B70,'Leads'!$A$8:$A$107,0))),""))</x:f>
      </x:c>
      <x:c r="O70" s="42" t="str">
        <x:f>IF($B70="","",IFERROR(IF(INDEX('Leads'!$AA$8:$AA$107,MATCH($B70,'Leads'!$A$8:$A$107,0))="","",INDEX('Leads'!$AA$8:$AA$107,MATCH($B70,'Leads'!$A$8:$A$107,0))),""))</x:f>
      </x:c>
      <x:c r="P70" s="42" t="str">
        <x:f>IF(AND($A70="",$B70="",$D70=""),"",IF(AND($Q70=1,$R70=1,OR($I70="Active",AND(ISNUMBER($K70),$L70&lt;&gt;""))),"ครบ",IF($A70="","ขาด Order ID; ","")&amp;IF(AND($A70&lt;&gt;"",COUNTIF('Orders_PO'!$A$8:$A$107,$A70)&gt;1),"Order ID ซ้ำ; ","")&amp;IF(COUNTIF('Leads'!$A$8:$A$107,$B70)&lt;&gt;1,"ตรวจรหัส Lead; ","")&amp;IF(AND($B70&lt;&gt;"",IFERROR(INDEX('Leads'!$BA$8:$BA$107,MATCH($B70,'Leads'!$A$8:$A$107,0)),0)&lt;&gt;1),"Lead ยังไม่นับผลจริง; ","")&amp;IF(OR($C70="",$D70="",NOT(ISNUMBER($E70))),"ขาดบริษัท/เลข PO/วันรับ; ","")&amp;IF($J70="","ขาดหลักฐาน PO; ","")&amp;IF(NOT(OR($I70="Active",$I70="Cancelled")),"เลือกสถานะ PO; ","")&amp;IF(COUNTIFS('Orders_PO'!$C$8:$C$107,$C70,'Orders_PO'!$D$8:$D$107,$D70)&gt;1,"PO/ผู้ออกซ้ำ; ","")&amp;IF(OR(NOT(ISNUMBER($F70)),$G70="",$H70="",$H70="ไม่ทราบ"),"ตรวจมูลค่า/สกุล/ฐาน VAT; ","")&amp;IF(AND($I70="Cancelled",OR(NOT(ISNUMBER($K70)),$L70="")),"ขาดวัน/เหตุผลยกเลิก; ","")))</x:f>
      </x:c>
      <x:c r="Q70" s="42" t="str">
        <x:f>IF(AND($A70="",$B70="",$D70=""),"",IF(AND($A70&lt;&gt;"",COUNTIF('Orders_PO'!$A$8:$A$107,$A70)=1,COUNTIF('Leads'!$A$8:$A$107,$B70)=1,$N70&lt;&gt;"",IFERROR(INDEX('Leads'!$BA$8:$BA$107,MATCH($B70,'Leads'!$A$8:$A$107,0)),0)=1,$C70&lt;&gt;"",$D70&lt;&gt;"",ISNUMBER($E70),$E70&gt;0,$J70&lt;&gt;"",OR($I70="Active",$I70="Cancelled"),COUNTIFS('Orders_PO'!$C$8:$C$107,$C70,'Orders_PO'!$D$8:$D$107,$D70)=1),1,0))</x:f>
      </x:c>
      <x:c r="R70" s="42" t="str">
        <x:f>IF($Q70="","",IF(AND($Q70=1,ISNUMBER($F70),$F70&gt;=0,$G70&lt;&gt;"",OR($H70="รวม VAT",$H70="ไม่รวม VAT")),1,0))</x:f>
      </x:c>
    </x:row>
    <x:row r="71" ht="30" customHeight="1">
      <x:c r="A71" s="96"/>
      <x:c r="B71" s="96"/>
      <x:c r="C71" s="36"/>
      <x:c r="D71" s="96"/>
      <x:c r="E71" s="82"/>
      <x:c r="F71" s="84"/>
      <x:c r="G71" s="36"/>
      <x:c r="H71" s="36"/>
      <x:c r="I71" s="36"/>
      <x:c r="J71" s="96"/>
      <x:c r="K71" s="82"/>
      <x:c r="L71" s="36"/>
      <x:c r="M71" s="36"/>
      <x:c r="N71" s="98" t="str">
        <x:f>IF($B71="","",IFERROR(IF(INDEX('Leads'!$AE$8:$AE$107,MATCH($B71,'Leads'!$A$8:$A$107,0))="","",INDEX('Leads'!$AE$8:$AE$107,MATCH($B71,'Leads'!$A$8:$A$107,0))),""))</x:f>
      </x:c>
      <x:c r="O71" s="42" t="str">
        <x:f>IF($B71="","",IFERROR(IF(INDEX('Leads'!$AA$8:$AA$107,MATCH($B71,'Leads'!$A$8:$A$107,0))="","",INDEX('Leads'!$AA$8:$AA$107,MATCH($B71,'Leads'!$A$8:$A$107,0))),""))</x:f>
      </x:c>
      <x:c r="P71" s="42" t="str">
        <x:f>IF(AND($A71="",$B71="",$D71=""),"",IF(AND($Q71=1,$R71=1,OR($I71="Active",AND(ISNUMBER($K71),$L71&lt;&gt;""))),"ครบ",IF($A71="","ขาด Order ID; ","")&amp;IF(AND($A71&lt;&gt;"",COUNTIF('Orders_PO'!$A$8:$A$107,$A71)&gt;1),"Order ID ซ้ำ; ","")&amp;IF(COUNTIF('Leads'!$A$8:$A$107,$B71)&lt;&gt;1,"ตรวจรหัส Lead; ","")&amp;IF(AND($B71&lt;&gt;"",IFERROR(INDEX('Leads'!$BA$8:$BA$107,MATCH($B71,'Leads'!$A$8:$A$107,0)),0)&lt;&gt;1),"Lead ยังไม่นับผลจริง; ","")&amp;IF(OR($C71="",$D71="",NOT(ISNUMBER($E71))),"ขาดบริษัท/เลข PO/วันรับ; ","")&amp;IF($J71="","ขาดหลักฐาน PO; ","")&amp;IF(NOT(OR($I71="Active",$I71="Cancelled")),"เลือกสถานะ PO; ","")&amp;IF(COUNTIFS('Orders_PO'!$C$8:$C$107,$C71,'Orders_PO'!$D$8:$D$107,$D71)&gt;1,"PO/ผู้ออกซ้ำ; ","")&amp;IF(OR(NOT(ISNUMBER($F71)),$G71="",$H71="",$H71="ไม่ทราบ"),"ตรวจมูลค่า/สกุล/ฐาน VAT; ","")&amp;IF(AND($I71="Cancelled",OR(NOT(ISNUMBER($K71)),$L71="")),"ขาดวัน/เหตุผลยกเลิก; ","")))</x:f>
      </x:c>
      <x:c r="Q71" s="42" t="str">
        <x:f>IF(AND($A71="",$B71="",$D71=""),"",IF(AND($A71&lt;&gt;"",COUNTIF('Orders_PO'!$A$8:$A$107,$A71)=1,COUNTIF('Leads'!$A$8:$A$107,$B71)=1,$N71&lt;&gt;"",IFERROR(INDEX('Leads'!$BA$8:$BA$107,MATCH($B71,'Leads'!$A$8:$A$107,0)),0)=1,$C71&lt;&gt;"",$D71&lt;&gt;"",ISNUMBER($E71),$E71&gt;0,$J71&lt;&gt;"",OR($I71="Active",$I71="Cancelled"),COUNTIFS('Orders_PO'!$C$8:$C$107,$C71,'Orders_PO'!$D$8:$D$107,$D71)=1),1,0))</x:f>
      </x:c>
      <x:c r="R71" s="42" t="str">
        <x:f>IF($Q71="","",IF(AND($Q71=1,ISNUMBER($F71),$F71&gt;=0,$G71&lt;&gt;"",OR($H71="รวม VAT",$H71="ไม่รวม VAT")),1,0))</x:f>
      </x:c>
    </x:row>
    <x:row r="72" ht="30" customHeight="1">
      <x:c r="A72" s="96"/>
      <x:c r="B72" s="96"/>
      <x:c r="C72" s="36"/>
      <x:c r="D72" s="96"/>
      <x:c r="E72" s="82"/>
      <x:c r="F72" s="84"/>
      <x:c r="G72" s="36"/>
      <x:c r="H72" s="36"/>
      <x:c r="I72" s="36"/>
      <x:c r="J72" s="96"/>
      <x:c r="K72" s="82"/>
      <x:c r="L72" s="36"/>
      <x:c r="M72" s="36"/>
      <x:c r="N72" s="98" t="str">
        <x:f>IF($B72="","",IFERROR(IF(INDEX('Leads'!$AE$8:$AE$107,MATCH($B72,'Leads'!$A$8:$A$107,0))="","",INDEX('Leads'!$AE$8:$AE$107,MATCH($B72,'Leads'!$A$8:$A$107,0))),""))</x:f>
      </x:c>
      <x:c r="O72" s="42" t="str">
        <x:f>IF($B72="","",IFERROR(IF(INDEX('Leads'!$AA$8:$AA$107,MATCH($B72,'Leads'!$A$8:$A$107,0))="","",INDEX('Leads'!$AA$8:$AA$107,MATCH($B72,'Leads'!$A$8:$A$107,0))),""))</x:f>
      </x:c>
      <x:c r="P72" s="42" t="str">
        <x:f>IF(AND($A72="",$B72="",$D72=""),"",IF(AND($Q72=1,$R72=1,OR($I72="Active",AND(ISNUMBER($K72),$L72&lt;&gt;""))),"ครบ",IF($A72="","ขาด Order ID; ","")&amp;IF(AND($A72&lt;&gt;"",COUNTIF('Orders_PO'!$A$8:$A$107,$A72)&gt;1),"Order ID ซ้ำ; ","")&amp;IF(COUNTIF('Leads'!$A$8:$A$107,$B72)&lt;&gt;1,"ตรวจรหัส Lead; ","")&amp;IF(AND($B72&lt;&gt;"",IFERROR(INDEX('Leads'!$BA$8:$BA$107,MATCH($B72,'Leads'!$A$8:$A$107,0)),0)&lt;&gt;1),"Lead ยังไม่นับผลจริง; ","")&amp;IF(OR($C72="",$D72="",NOT(ISNUMBER($E72))),"ขาดบริษัท/เลข PO/วันรับ; ","")&amp;IF($J72="","ขาดหลักฐาน PO; ","")&amp;IF(NOT(OR($I72="Active",$I72="Cancelled")),"เลือกสถานะ PO; ","")&amp;IF(COUNTIFS('Orders_PO'!$C$8:$C$107,$C72,'Orders_PO'!$D$8:$D$107,$D72)&gt;1,"PO/ผู้ออกซ้ำ; ","")&amp;IF(OR(NOT(ISNUMBER($F72)),$G72="",$H72="",$H72="ไม่ทราบ"),"ตรวจมูลค่า/สกุล/ฐาน VAT; ","")&amp;IF(AND($I72="Cancelled",OR(NOT(ISNUMBER($K72)),$L72="")),"ขาดวัน/เหตุผลยกเลิก; ","")))</x:f>
      </x:c>
      <x:c r="Q72" s="42" t="str">
        <x:f>IF(AND($A72="",$B72="",$D72=""),"",IF(AND($A72&lt;&gt;"",COUNTIF('Orders_PO'!$A$8:$A$107,$A72)=1,COUNTIF('Leads'!$A$8:$A$107,$B72)=1,$N72&lt;&gt;"",IFERROR(INDEX('Leads'!$BA$8:$BA$107,MATCH($B72,'Leads'!$A$8:$A$107,0)),0)=1,$C72&lt;&gt;"",$D72&lt;&gt;"",ISNUMBER($E72),$E72&gt;0,$J72&lt;&gt;"",OR($I72="Active",$I72="Cancelled"),COUNTIFS('Orders_PO'!$C$8:$C$107,$C72,'Orders_PO'!$D$8:$D$107,$D72)=1),1,0))</x:f>
      </x:c>
      <x:c r="R72" s="42" t="str">
        <x:f>IF($Q72="","",IF(AND($Q72=1,ISNUMBER($F72),$F72&gt;=0,$G72&lt;&gt;"",OR($H72="รวม VAT",$H72="ไม่รวม VAT")),1,0))</x:f>
      </x:c>
    </x:row>
    <x:row r="73" ht="30" customHeight="1">
      <x:c r="A73" s="96"/>
      <x:c r="B73" s="96"/>
      <x:c r="C73" s="36"/>
      <x:c r="D73" s="96"/>
      <x:c r="E73" s="82"/>
      <x:c r="F73" s="84"/>
      <x:c r="G73" s="36"/>
      <x:c r="H73" s="36"/>
      <x:c r="I73" s="36"/>
      <x:c r="J73" s="96"/>
      <x:c r="K73" s="82"/>
      <x:c r="L73" s="36"/>
      <x:c r="M73" s="36"/>
      <x:c r="N73" s="98" t="str">
        <x:f>IF($B73="","",IFERROR(IF(INDEX('Leads'!$AE$8:$AE$107,MATCH($B73,'Leads'!$A$8:$A$107,0))="","",INDEX('Leads'!$AE$8:$AE$107,MATCH($B73,'Leads'!$A$8:$A$107,0))),""))</x:f>
      </x:c>
      <x:c r="O73" s="42" t="str">
        <x:f>IF($B73="","",IFERROR(IF(INDEX('Leads'!$AA$8:$AA$107,MATCH($B73,'Leads'!$A$8:$A$107,0))="","",INDEX('Leads'!$AA$8:$AA$107,MATCH($B73,'Leads'!$A$8:$A$107,0))),""))</x:f>
      </x:c>
      <x:c r="P73" s="42" t="str">
        <x:f>IF(AND($A73="",$B73="",$D73=""),"",IF(AND($Q73=1,$R73=1,OR($I73="Active",AND(ISNUMBER($K73),$L73&lt;&gt;""))),"ครบ",IF($A73="","ขาด Order ID; ","")&amp;IF(AND($A73&lt;&gt;"",COUNTIF('Orders_PO'!$A$8:$A$107,$A73)&gt;1),"Order ID ซ้ำ; ","")&amp;IF(COUNTIF('Leads'!$A$8:$A$107,$B73)&lt;&gt;1,"ตรวจรหัส Lead; ","")&amp;IF(AND($B73&lt;&gt;"",IFERROR(INDEX('Leads'!$BA$8:$BA$107,MATCH($B73,'Leads'!$A$8:$A$107,0)),0)&lt;&gt;1),"Lead ยังไม่นับผลจริง; ","")&amp;IF(OR($C73="",$D73="",NOT(ISNUMBER($E73))),"ขาดบริษัท/เลข PO/วันรับ; ","")&amp;IF($J73="","ขาดหลักฐาน PO; ","")&amp;IF(NOT(OR($I73="Active",$I73="Cancelled")),"เลือกสถานะ PO; ","")&amp;IF(COUNTIFS('Orders_PO'!$C$8:$C$107,$C73,'Orders_PO'!$D$8:$D$107,$D73)&gt;1,"PO/ผู้ออกซ้ำ; ","")&amp;IF(OR(NOT(ISNUMBER($F73)),$G73="",$H73="",$H73="ไม่ทราบ"),"ตรวจมูลค่า/สกุล/ฐาน VAT; ","")&amp;IF(AND($I73="Cancelled",OR(NOT(ISNUMBER($K73)),$L73="")),"ขาดวัน/เหตุผลยกเลิก; ","")))</x:f>
      </x:c>
      <x:c r="Q73" s="42" t="str">
        <x:f>IF(AND($A73="",$B73="",$D73=""),"",IF(AND($A73&lt;&gt;"",COUNTIF('Orders_PO'!$A$8:$A$107,$A73)=1,COUNTIF('Leads'!$A$8:$A$107,$B73)=1,$N73&lt;&gt;"",IFERROR(INDEX('Leads'!$BA$8:$BA$107,MATCH($B73,'Leads'!$A$8:$A$107,0)),0)=1,$C73&lt;&gt;"",$D73&lt;&gt;"",ISNUMBER($E73),$E73&gt;0,$J73&lt;&gt;"",OR($I73="Active",$I73="Cancelled"),COUNTIFS('Orders_PO'!$C$8:$C$107,$C73,'Orders_PO'!$D$8:$D$107,$D73)=1),1,0))</x:f>
      </x:c>
      <x:c r="R73" s="42" t="str">
        <x:f>IF($Q73="","",IF(AND($Q73=1,ISNUMBER($F73),$F73&gt;=0,$G73&lt;&gt;"",OR($H73="รวม VAT",$H73="ไม่รวม VAT")),1,0))</x:f>
      </x:c>
    </x:row>
    <x:row r="74" ht="30" customHeight="1">
      <x:c r="A74" s="96"/>
      <x:c r="B74" s="96"/>
      <x:c r="C74" s="36"/>
      <x:c r="D74" s="96"/>
      <x:c r="E74" s="82"/>
      <x:c r="F74" s="84"/>
      <x:c r="G74" s="36"/>
      <x:c r="H74" s="36"/>
      <x:c r="I74" s="36"/>
      <x:c r="J74" s="96"/>
      <x:c r="K74" s="82"/>
      <x:c r="L74" s="36"/>
      <x:c r="M74" s="36"/>
      <x:c r="N74" s="98" t="str">
        <x:f>IF($B74="","",IFERROR(IF(INDEX('Leads'!$AE$8:$AE$107,MATCH($B74,'Leads'!$A$8:$A$107,0))="","",INDEX('Leads'!$AE$8:$AE$107,MATCH($B74,'Leads'!$A$8:$A$107,0))),""))</x:f>
      </x:c>
      <x:c r="O74" s="42" t="str">
        <x:f>IF($B74="","",IFERROR(IF(INDEX('Leads'!$AA$8:$AA$107,MATCH($B74,'Leads'!$A$8:$A$107,0))="","",INDEX('Leads'!$AA$8:$AA$107,MATCH($B74,'Leads'!$A$8:$A$107,0))),""))</x:f>
      </x:c>
      <x:c r="P74" s="42" t="str">
        <x:f>IF(AND($A74="",$B74="",$D74=""),"",IF(AND($Q74=1,$R74=1,OR($I74="Active",AND(ISNUMBER($K74),$L74&lt;&gt;""))),"ครบ",IF($A74="","ขาด Order ID; ","")&amp;IF(AND($A74&lt;&gt;"",COUNTIF('Orders_PO'!$A$8:$A$107,$A74)&gt;1),"Order ID ซ้ำ; ","")&amp;IF(COUNTIF('Leads'!$A$8:$A$107,$B74)&lt;&gt;1,"ตรวจรหัส Lead; ","")&amp;IF(AND($B74&lt;&gt;"",IFERROR(INDEX('Leads'!$BA$8:$BA$107,MATCH($B74,'Leads'!$A$8:$A$107,0)),0)&lt;&gt;1),"Lead ยังไม่นับผลจริง; ","")&amp;IF(OR($C74="",$D74="",NOT(ISNUMBER($E74))),"ขาดบริษัท/เลข PO/วันรับ; ","")&amp;IF($J74="","ขาดหลักฐาน PO; ","")&amp;IF(NOT(OR($I74="Active",$I74="Cancelled")),"เลือกสถานะ PO; ","")&amp;IF(COUNTIFS('Orders_PO'!$C$8:$C$107,$C74,'Orders_PO'!$D$8:$D$107,$D74)&gt;1,"PO/ผู้ออกซ้ำ; ","")&amp;IF(OR(NOT(ISNUMBER($F74)),$G74="",$H74="",$H74="ไม่ทราบ"),"ตรวจมูลค่า/สกุล/ฐาน VAT; ","")&amp;IF(AND($I74="Cancelled",OR(NOT(ISNUMBER($K74)),$L74="")),"ขาดวัน/เหตุผลยกเลิก; ","")))</x:f>
      </x:c>
      <x:c r="Q74" s="42" t="str">
        <x:f>IF(AND($A74="",$B74="",$D74=""),"",IF(AND($A74&lt;&gt;"",COUNTIF('Orders_PO'!$A$8:$A$107,$A74)=1,COUNTIF('Leads'!$A$8:$A$107,$B74)=1,$N74&lt;&gt;"",IFERROR(INDEX('Leads'!$BA$8:$BA$107,MATCH($B74,'Leads'!$A$8:$A$107,0)),0)=1,$C74&lt;&gt;"",$D74&lt;&gt;"",ISNUMBER($E74),$E74&gt;0,$J74&lt;&gt;"",OR($I74="Active",$I74="Cancelled"),COUNTIFS('Orders_PO'!$C$8:$C$107,$C74,'Orders_PO'!$D$8:$D$107,$D74)=1),1,0))</x:f>
      </x:c>
      <x:c r="R74" s="42" t="str">
        <x:f>IF($Q74="","",IF(AND($Q74=1,ISNUMBER($F74),$F74&gt;=0,$G74&lt;&gt;"",OR($H74="รวม VAT",$H74="ไม่รวม VAT")),1,0))</x:f>
      </x:c>
    </x:row>
    <x:row r="75" ht="30" customHeight="1">
      <x:c r="A75" s="96"/>
      <x:c r="B75" s="96"/>
      <x:c r="C75" s="36"/>
      <x:c r="D75" s="96"/>
      <x:c r="E75" s="82"/>
      <x:c r="F75" s="84"/>
      <x:c r="G75" s="36"/>
      <x:c r="H75" s="36"/>
      <x:c r="I75" s="36"/>
      <x:c r="J75" s="96"/>
      <x:c r="K75" s="82"/>
      <x:c r="L75" s="36"/>
      <x:c r="M75" s="36"/>
      <x:c r="N75" s="98" t="str">
        <x:f>IF($B75="","",IFERROR(IF(INDEX('Leads'!$AE$8:$AE$107,MATCH($B75,'Leads'!$A$8:$A$107,0))="","",INDEX('Leads'!$AE$8:$AE$107,MATCH($B75,'Leads'!$A$8:$A$107,0))),""))</x:f>
      </x:c>
      <x:c r="O75" s="42" t="str">
        <x:f>IF($B75="","",IFERROR(IF(INDEX('Leads'!$AA$8:$AA$107,MATCH($B75,'Leads'!$A$8:$A$107,0))="","",INDEX('Leads'!$AA$8:$AA$107,MATCH($B75,'Leads'!$A$8:$A$107,0))),""))</x:f>
      </x:c>
      <x:c r="P75" s="42" t="str">
        <x:f>IF(AND($A75="",$B75="",$D75=""),"",IF(AND($Q75=1,$R75=1,OR($I75="Active",AND(ISNUMBER($K75),$L75&lt;&gt;""))),"ครบ",IF($A75="","ขาด Order ID; ","")&amp;IF(AND($A75&lt;&gt;"",COUNTIF('Orders_PO'!$A$8:$A$107,$A75)&gt;1),"Order ID ซ้ำ; ","")&amp;IF(COUNTIF('Leads'!$A$8:$A$107,$B75)&lt;&gt;1,"ตรวจรหัส Lead; ","")&amp;IF(AND($B75&lt;&gt;"",IFERROR(INDEX('Leads'!$BA$8:$BA$107,MATCH($B75,'Leads'!$A$8:$A$107,0)),0)&lt;&gt;1),"Lead ยังไม่นับผลจริง; ","")&amp;IF(OR($C75="",$D75="",NOT(ISNUMBER($E75))),"ขาดบริษัท/เลข PO/วันรับ; ","")&amp;IF($J75="","ขาดหลักฐาน PO; ","")&amp;IF(NOT(OR($I75="Active",$I75="Cancelled")),"เลือกสถานะ PO; ","")&amp;IF(COUNTIFS('Orders_PO'!$C$8:$C$107,$C75,'Orders_PO'!$D$8:$D$107,$D75)&gt;1,"PO/ผู้ออกซ้ำ; ","")&amp;IF(OR(NOT(ISNUMBER($F75)),$G75="",$H75="",$H75="ไม่ทราบ"),"ตรวจมูลค่า/สกุล/ฐาน VAT; ","")&amp;IF(AND($I75="Cancelled",OR(NOT(ISNUMBER($K75)),$L75="")),"ขาดวัน/เหตุผลยกเลิก; ","")))</x:f>
      </x:c>
      <x:c r="Q75" s="42" t="str">
        <x:f>IF(AND($A75="",$B75="",$D75=""),"",IF(AND($A75&lt;&gt;"",COUNTIF('Orders_PO'!$A$8:$A$107,$A75)=1,COUNTIF('Leads'!$A$8:$A$107,$B75)=1,$N75&lt;&gt;"",IFERROR(INDEX('Leads'!$BA$8:$BA$107,MATCH($B75,'Leads'!$A$8:$A$107,0)),0)=1,$C75&lt;&gt;"",$D75&lt;&gt;"",ISNUMBER($E75),$E75&gt;0,$J75&lt;&gt;"",OR($I75="Active",$I75="Cancelled"),COUNTIFS('Orders_PO'!$C$8:$C$107,$C75,'Orders_PO'!$D$8:$D$107,$D75)=1),1,0))</x:f>
      </x:c>
      <x:c r="R75" s="42" t="str">
        <x:f>IF($Q75="","",IF(AND($Q75=1,ISNUMBER($F75),$F75&gt;=0,$G75&lt;&gt;"",OR($H75="รวม VAT",$H75="ไม่รวม VAT")),1,0))</x:f>
      </x:c>
    </x:row>
    <x:row r="76" ht="30" customHeight="1">
      <x:c r="A76" s="96"/>
      <x:c r="B76" s="96"/>
      <x:c r="C76" s="36"/>
      <x:c r="D76" s="96"/>
      <x:c r="E76" s="82"/>
      <x:c r="F76" s="84"/>
      <x:c r="G76" s="36"/>
      <x:c r="H76" s="36"/>
      <x:c r="I76" s="36"/>
      <x:c r="J76" s="96"/>
      <x:c r="K76" s="82"/>
      <x:c r="L76" s="36"/>
      <x:c r="M76" s="36"/>
      <x:c r="N76" s="98" t="str">
        <x:f>IF($B76="","",IFERROR(IF(INDEX('Leads'!$AE$8:$AE$107,MATCH($B76,'Leads'!$A$8:$A$107,0))="","",INDEX('Leads'!$AE$8:$AE$107,MATCH($B76,'Leads'!$A$8:$A$107,0))),""))</x:f>
      </x:c>
      <x:c r="O76" s="42" t="str">
        <x:f>IF($B76="","",IFERROR(IF(INDEX('Leads'!$AA$8:$AA$107,MATCH($B76,'Leads'!$A$8:$A$107,0))="","",INDEX('Leads'!$AA$8:$AA$107,MATCH($B76,'Leads'!$A$8:$A$107,0))),""))</x:f>
      </x:c>
      <x:c r="P76" s="42" t="str">
        <x:f>IF(AND($A76="",$B76="",$D76=""),"",IF(AND($Q76=1,$R76=1,OR($I76="Active",AND(ISNUMBER($K76),$L76&lt;&gt;""))),"ครบ",IF($A76="","ขาด Order ID; ","")&amp;IF(AND($A76&lt;&gt;"",COUNTIF('Orders_PO'!$A$8:$A$107,$A76)&gt;1),"Order ID ซ้ำ; ","")&amp;IF(COUNTIF('Leads'!$A$8:$A$107,$B76)&lt;&gt;1,"ตรวจรหัส Lead; ","")&amp;IF(AND($B76&lt;&gt;"",IFERROR(INDEX('Leads'!$BA$8:$BA$107,MATCH($B76,'Leads'!$A$8:$A$107,0)),0)&lt;&gt;1),"Lead ยังไม่นับผลจริง; ","")&amp;IF(OR($C76="",$D76="",NOT(ISNUMBER($E76))),"ขาดบริษัท/เลข PO/วันรับ; ","")&amp;IF($J76="","ขาดหลักฐาน PO; ","")&amp;IF(NOT(OR($I76="Active",$I76="Cancelled")),"เลือกสถานะ PO; ","")&amp;IF(COUNTIFS('Orders_PO'!$C$8:$C$107,$C76,'Orders_PO'!$D$8:$D$107,$D76)&gt;1,"PO/ผู้ออกซ้ำ; ","")&amp;IF(OR(NOT(ISNUMBER($F76)),$G76="",$H76="",$H76="ไม่ทราบ"),"ตรวจมูลค่า/สกุล/ฐาน VAT; ","")&amp;IF(AND($I76="Cancelled",OR(NOT(ISNUMBER($K76)),$L76="")),"ขาดวัน/เหตุผลยกเลิก; ","")))</x:f>
      </x:c>
      <x:c r="Q76" s="42" t="str">
        <x:f>IF(AND($A76="",$B76="",$D76=""),"",IF(AND($A76&lt;&gt;"",COUNTIF('Orders_PO'!$A$8:$A$107,$A76)=1,COUNTIF('Leads'!$A$8:$A$107,$B76)=1,$N76&lt;&gt;"",IFERROR(INDEX('Leads'!$BA$8:$BA$107,MATCH($B76,'Leads'!$A$8:$A$107,0)),0)=1,$C76&lt;&gt;"",$D76&lt;&gt;"",ISNUMBER($E76),$E76&gt;0,$J76&lt;&gt;"",OR($I76="Active",$I76="Cancelled"),COUNTIFS('Orders_PO'!$C$8:$C$107,$C76,'Orders_PO'!$D$8:$D$107,$D76)=1),1,0))</x:f>
      </x:c>
      <x:c r="R76" s="42" t="str">
        <x:f>IF($Q76="","",IF(AND($Q76=1,ISNUMBER($F76),$F76&gt;=0,$G76&lt;&gt;"",OR($H76="รวม VAT",$H76="ไม่รวม VAT")),1,0))</x:f>
      </x:c>
    </x:row>
    <x:row r="77" ht="30" customHeight="1">
      <x:c r="A77" s="96"/>
      <x:c r="B77" s="96"/>
      <x:c r="C77" s="36"/>
      <x:c r="D77" s="96"/>
      <x:c r="E77" s="82"/>
      <x:c r="F77" s="84"/>
      <x:c r="G77" s="36"/>
      <x:c r="H77" s="36"/>
      <x:c r="I77" s="36"/>
      <x:c r="J77" s="96"/>
      <x:c r="K77" s="82"/>
      <x:c r="L77" s="36"/>
      <x:c r="M77" s="36"/>
      <x:c r="N77" s="98" t="str">
        <x:f>IF($B77="","",IFERROR(IF(INDEX('Leads'!$AE$8:$AE$107,MATCH($B77,'Leads'!$A$8:$A$107,0))="","",INDEX('Leads'!$AE$8:$AE$107,MATCH($B77,'Leads'!$A$8:$A$107,0))),""))</x:f>
      </x:c>
      <x:c r="O77" s="42" t="str">
        <x:f>IF($B77="","",IFERROR(IF(INDEX('Leads'!$AA$8:$AA$107,MATCH($B77,'Leads'!$A$8:$A$107,0))="","",INDEX('Leads'!$AA$8:$AA$107,MATCH($B77,'Leads'!$A$8:$A$107,0))),""))</x:f>
      </x:c>
      <x:c r="P77" s="42" t="str">
        <x:f>IF(AND($A77="",$B77="",$D77=""),"",IF(AND($Q77=1,$R77=1,OR($I77="Active",AND(ISNUMBER($K77),$L77&lt;&gt;""))),"ครบ",IF($A77="","ขาด Order ID; ","")&amp;IF(AND($A77&lt;&gt;"",COUNTIF('Orders_PO'!$A$8:$A$107,$A77)&gt;1),"Order ID ซ้ำ; ","")&amp;IF(COUNTIF('Leads'!$A$8:$A$107,$B77)&lt;&gt;1,"ตรวจรหัส Lead; ","")&amp;IF(AND($B77&lt;&gt;"",IFERROR(INDEX('Leads'!$BA$8:$BA$107,MATCH($B77,'Leads'!$A$8:$A$107,0)),0)&lt;&gt;1),"Lead ยังไม่นับผลจริง; ","")&amp;IF(OR($C77="",$D77="",NOT(ISNUMBER($E77))),"ขาดบริษัท/เลข PO/วันรับ; ","")&amp;IF($J77="","ขาดหลักฐาน PO; ","")&amp;IF(NOT(OR($I77="Active",$I77="Cancelled")),"เลือกสถานะ PO; ","")&amp;IF(COUNTIFS('Orders_PO'!$C$8:$C$107,$C77,'Orders_PO'!$D$8:$D$107,$D77)&gt;1,"PO/ผู้ออกซ้ำ; ","")&amp;IF(OR(NOT(ISNUMBER($F77)),$G77="",$H77="",$H77="ไม่ทราบ"),"ตรวจมูลค่า/สกุล/ฐาน VAT; ","")&amp;IF(AND($I77="Cancelled",OR(NOT(ISNUMBER($K77)),$L77="")),"ขาดวัน/เหตุผลยกเลิก; ","")))</x:f>
      </x:c>
      <x:c r="Q77" s="42" t="str">
        <x:f>IF(AND($A77="",$B77="",$D77=""),"",IF(AND($A77&lt;&gt;"",COUNTIF('Orders_PO'!$A$8:$A$107,$A77)=1,COUNTIF('Leads'!$A$8:$A$107,$B77)=1,$N77&lt;&gt;"",IFERROR(INDEX('Leads'!$BA$8:$BA$107,MATCH($B77,'Leads'!$A$8:$A$107,0)),0)=1,$C77&lt;&gt;"",$D77&lt;&gt;"",ISNUMBER($E77),$E77&gt;0,$J77&lt;&gt;"",OR($I77="Active",$I77="Cancelled"),COUNTIFS('Orders_PO'!$C$8:$C$107,$C77,'Orders_PO'!$D$8:$D$107,$D77)=1),1,0))</x:f>
      </x:c>
      <x:c r="R77" s="42" t="str">
        <x:f>IF($Q77="","",IF(AND($Q77=1,ISNUMBER($F77),$F77&gt;=0,$G77&lt;&gt;"",OR($H77="รวม VAT",$H77="ไม่รวม VAT")),1,0))</x:f>
      </x:c>
    </x:row>
    <x:row r="78" ht="30" customHeight="1">
      <x:c r="A78" s="96"/>
      <x:c r="B78" s="96"/>
      <x:c r="C78" s="36"/>
      <x:c r="D78" s="96"/>
      <x:c r="E78" s="82"/>
      <x:c r="F78" s="84"/>
      <x:c r="G78" s="36"/>
      <x:c r="H78" s="36"/>
      <x:c r="I78" s="36"/>
      <x:c r="J78" s="96"/>
      <x:c r="K78" s="82"/>
      <x:c r="L78" s="36"/>
      <x:c r="M78" s="36"/>
      <x:c r="N78" s="98" t="str">
        <x:f>IF($B78="","",IFERROR(IF(INDEX('Leads'!$AE$8:$AE$107,MATCH($B78,'Leads'!$A$8:$A$107,0))="","",INDEX('Leads'!$AE$8:$AE$107,MATCH($B78,'Leads'!$A$8:$A$107,0))),""))</x:f>
      </x:c>
      <x:c r="O78" s="42" t="str">
        <x:f>IF($B78="","",IFERROR(IF(INDEX('Leads'!$AA$8:$AA$107,MATCH($B78,'Leads'!$A$8:$A$107,0))="","",INDEX('Leads'!$AA$8:$AA$107,MATCH($B78,'Leads'!$A$8:$A$107,0))),""))</x:f>
      </x:c>
      <x:c r="P78" s="42" t="str">
        <x:f>IF(AND($A78="",$B78="",$D78=""),"",IF(AND($Q78=1,$R78=1,OR($I78="Active",AND(ISNUMBER($K78),$L78&lt;&gt;""))),"ครบ",IF($A78="","ขาด Order ID; ","")&amp;IF(AND($A78&lt;&gt;"",COUNTIF('Orders_PO'!$A$8:$A$107,$A78)&gt;1),"Order ID ซ้ำ; ","")&amp;IF(COUNTIF('Leads'!$A$8:$A$107,$B78)&lt;&gt;1,"ตรวจรหัส Lead; ","")&amp;IF(AND($B78&lt;&gt;"",IFERROR(INDEX('Leads'!$BA$8:$BA$107,MATCH($B78,'Leads'!$A$8:$A$107,0)),0)&lt;&gt;1),"Lead ยังไม่นับผลจริง; ","")&amp;IF(OR($C78="",$D78="",NOT(ISNUMBER($E78))),"ขาดบริษัท/เลข PO/วันรับ; ","")&amp;IF($J78="","ขาดหลักฐาน PO; ","")&amp;IF(NOT(OR($I78="Active",$I78="Cancelled")),"เลือกสถานะ PO; ","")&amp;IF(COUNTIFS('Orders_PO'!$C$8:$C$107,$C78,'Orders_PO'!$D$8:$D$107,$D78)&gt;1,"PO/ผู้ออกซ้ำ; ","")&amp;IF(OR(NOT(ISNUMBER($F78)),$G78="",$H78="",$H78="ไม่ทราบ"),"ตรวจมูลค่า/สกุล/ฐาน VAT; ","")&amp;IF(AND($I78="Cancelled",OR(NOT(ISNUMBER($K78)),$L78="")),"ขาดวัน/เหตุผลยกเลิก; ","")))</x:f>
      </x:c>
      <x:c r="Q78" s="42" t="str">
        <x:f>IF(AND($A78="",$B78="",$D78=""),"",IF(AND($A78&lt;&gt;"",COUNTIF('Orders_PO'!$A$8:$A$107,$A78)=1,COUNTIF('Leads'!$A$8:$A$107,$B78)=1,$N78&lt;&gt;"",IFERROR(INDEX('Leads'!$BA$8:$BA$107,MATCH($B78,'Leads'!$A$8:$A$107,0)),0)=1,$C78&lt;&gt;"",$D78&lt;&gt;"",ISNUMBER($E78),$E78&gt;0,$J78&lt;&gt;"",OR($I78="Active",$I78="Cancelled"),COUNTIFS('Orders_PO'!$C$8:$C$107,$C78,'Orders_PO'!$D$8:$D$107,$D78)=1),1,0))</x:f>
      </x:c>
      <x:c r="R78" s="42" t="str">
        <x:f>IF($Q78="","",IF(AND($Q78=1,ISNUMBER($F78),$F78&gt;=0,$G78&lt;&gt;"",OR($H78="รวม VAT",$H78="ไม่รวม VAT")),1,0))</x:f>
      </x:c>
    </x:row>
    <x:row r="79" ht="30" customHeight="1">
      <x:c r="A79" s="96"/>
      <x:c r="B79" s="96"/>
      <x:c r="C79" s="36"/>
      <x:c r="D79" s="96"/>
      <x:c r="E79" s="82"/>
      <x:c r="F79" s="84"/>
      <x:c r="G79" s="36"/>
      <x:c r="H79" s="36"/>
      <x:c r="I79" s="36"/>
      <x:c r="J79" s="96"/>
      <x:c r="K79" s="82"/>
      <x:c r="L79" s="36"/>
      <x:c r="M79" s="36"/>
      <x:c r="N79" s="98" t="str">
        <x:f>IF($B79="","",IFERROR(IF(INDEX('Leads'!$AE$8:$AE$107,MATCH($B79,'Leads'!$A$8:$A$107,0))="","",INDEX('Leads'!$AE$8:$AE$107,MATCH($B79,'Leads'!$A$8:$A$107,0))),""))</x:f>
      </x:c>
      <x:c r="O79" s="42" t="str">
        <x:f>IF($B79="","",IFERROR(IF(INDEX('Leads'!$AA$8:$AA$107,MATCH($B79,'Leads'!$A$8:$A$107,0))="","",INDEX('Leads'!$AA$8:$AA$107,MATCH($B79,'Leads'!$A$8:$A$107,0))),""))</x:f>
      </x:c>
      <x:c r="P79" s="42" t="str">
        <x:f>IF(AND($A79="",$B79="",$D79=""),"",IF(AND($Q79=1,$R79=1,OR($I79="Active",AND(ISNUMBER($K79),$L79&lt;&gt;""))),"ครบ",IF($A79="","ขาด Order ID; ","")&amp;IF(AND($A79&lt;&gt;"",COUNTIF('Orders_PO'!$A$8:$A$107,$A79)&gt;1),"Order ID ซ้ำ; ","")&amp;IF(COUNTIF('Leads'!$A$8:$A$107,$B79)&lt;&gt;1,"ตรวจรหัส Lead; ","")&amp;IF(AND($B79&lt;&gt;"",IFERROR(INDEX('Leads'!$BA$8:$BA$107,MATCH($B79,'Leads'!$A$8:$A$107,0)),0)&lt;&gt;1),"Lead ยังไม่นับผลจริง; ","")&amp;IF(OR($C79="",$D79="",NOT(ISNUMBER($E79))),"ขาดบริษัท/เลข PO/วันรับ; ","")&amp;IF($J79="","ขาดหลักฐาน PO; ","")&amp;IF(NOT(OR($I79="Active",$I79="Cancelled")),"เลือกสถานะ PO; ","")&amp;IF(COUNTIFS('Orders_PO'!$C$8:$C$107,$C79,'Orders_PO'!$D$8:$D$107,$D79)&gt;1,"PO/ผู้ออกซ้ำ; ","")&amp;IF(OR(NOT(ISNUMBER($F79)),$G79="",$H79="",$H79="ไม่ทราบ"),"ตรวจมูลค่า/สกุล/ฐาน VAT; ","")&amp;IF(AND($I79="Cancelled",OR(NOT(ISNUMBER($K79)),$L79="")),"ขาดวัน/เหตุผลยกเลิก; ","")))</x:f>
      </x:c>
      <x:c r="Q79" s="42" t="str">
        <x:f>IF(AND($A79="",$B79="",$D79=""),"",IF(AND($A79&lt;&gt;"",COUNTIF('Orders_PO'!$A$8:$A$107,$A79)=1,COUNTIF('Leads'!$A$8:$A$107,$B79)=1,$N79&lt;&gt;"",IFERROR(INDEX('Leads'!$BA$8:$BA$107,MATCH($B79,'Leads'!$A$8:$A$107,0)),0)=1,$C79&lt;&gt;"",$D79&lt;&gt;"",ISNUMBER($E79),$E79&gt;0,$J79&lt;&gt;"",OR($I79="Active",$I79="Cancelled"),COUNTIFS('Orders_PO'!$C$8:$C$107,$C79,'Orders_PO'!$D$8:$D$107,$D79)=1),1,0))</x:f>
      </x:c>
      <x:c r="R79" s="42" t="str">
        <x:f>IF($Q79="","",IF(AND($Q79=1,ISNUMBER($F79),$F79&gt;=0,$G79&lt;&gt;"",OR($H79="รวม VAT",$H79="ไม่รวม VAT")),1,0))</x:f>
      </x:c>
    </x:row>
    <x:row r="80" ht="30" customHeight="1">
      <x:c r="A80" s="96"/>
      <x:c r="B80" s="96"/>
      <x:c r="C80" s="36"/>
      <x:c r="D80" s="96"/>
      <x:c r="E80" s="82"/>
      <x:c r="F80" s="84"/>
      <x:c r="G80" s="36"/>
      <x:c r="H80" s="36"/>
      <x:c r="I80" s="36"/>
      <x:c r="J80" s="96"/>
      <x:c r="K80" s="82"/>
      <x:c r="L80" s="36"/>
      <x:c r="M80" s="36"/>
      <x:c r="N80" s="98" t="str">
        <x:f>IF($B80="","",IFERROR(IF(INDEX('Leads'!$AE$8:$AE$107,MATCH($B80,'Leads'!$A$8:$A$107,0))="","",INDEX('Leads'!$AE$8:$AE$107,MATCH($B80,'Leads'!$A$8:$A$107,0))),""))</x:f>
      </x:c>
      <x:c r="O80" s="42" t="str">
        <x:f>IF($B80="","",IFERROR(IF(INDEX('Leads'!$AA$8:$AA$107,MATCH($B80,'Leads'!$A$8:$A$107,0))="","",INDEX('Leads'!$AA$8:$AA$107,MATCH($B80,'Leads'!$A$8:$A$107,0))),""))</x:f>
      </x:c>
      <x:c r="P80" s="42" t="str">
        <x:f>IF(AND($A80="",$B80="",$D80=""),"",IF(AND($Q80=1,$R80=1,OR($I80="Active",AND(ISNUMBER($K80),$L80&lt;&gt;""))),"ครบ",IF($A80="","ขาด Order ID; ","")&amp;IF(AND($A80&lt;&gt;"",COUNTIF('Orders_PO'!$A$8:$A$107,$A80)&gt;1),"Order ID ซ้ำ; ","")&amp;IF(COUNTIF('Leads'!$A$8:$A$107,$B80)&lt;&gt;1,"ตรวจรหัส Lead; ","")&amp;IF(AND($B80&lt;&gt;"",IFERROR(INDEX('Leads'!$BA$8:$BA$107,MATCH($B80,'Leads'!$A$8:$A$107,0)),0)&lt;&gt;1),"Lead ยังไม่นับผลจริง; ","")&amp;IF(OR($C80="",$D80="",NOT(ISNUMBER($E80))),"ขาดบริษัท/เลข PO/วันรับ; ","")&amp;IF($J80="","ขาดหลักฐาน PO; ","")&amp;IF(NOT(OR($I80="Active",$I80="Cancelled")),"เลือกสถานะ PO; ","")&amp;IF(COUNTIFS('Orders_PO'!$C$8:$C$107,$C80,'Orders_PO'!$D$8:$D$107,$D80)&gt;1,"PO/ผู้ออกซ้ำ; ","")&amp;IF(OR(NOT(ISNUMBER($F80)),$G80="",$H80="",$H80="ไม่ทราบ"),"ตรวจมูลค่า/สกุล/ฐาน VAT; ","")&amp;IF(AND($I80="Cancelled",OR(NOT(ISNUMBER($K80)),$L80="")),"ขาดวัน/เหตุผลยกเลิก; ","")))</x:f>
      </x:c>
      <x:c r="Q80" s="42" t="str">
        <x:f>IF(AND($A80="",$B80="",$D80=""),"",IF(AND($A80&lt;&gt;"",COUNTIF('Orders_PO'!$A$8:$A$107,$A80)=1,COUNTIF('Leads'!$A$8:$A$107,$B80)=1,$N80&lt;&gt;"",IFERROR(INDEX('Leads'!$BA$8:$BA$107,MATCH($B80,'Leads'!$A$8:$A$107,0)),0)=1,$C80&lt;&gt;"",$D80&lt;&gt;"",ISNUMBER($E80),$E80&gt;0,$J80&lt;&gt;"",OR($I80="Active",$I80="Cancelled"),COUNTIFS('Orders_PO'!$C$8:$C$107,$C80,'Orders_PO'!$D$8:$D$107,$D80)=1),1,0))</x:f>
      </x:c>
      <x:c r="R80" s="42" t="str">
        <x:f>IF($Q80="","",IF(AND($Q80=1,ISNUMBER($F80),$F80&gt;=0,$G80&lt;&gt;"",OR($H80="รวม VAT",$H80="ไม่รวม VAT")),1,0))</x:f>
      </x:c>
    </x:row>
    <x:row r="81" ht="30" customHeight="1">
      <x:c r="A81" s="96"/>
      <x:c r="B81" s="96"/>
      <x:c r="C81" s="36"/>
      <x:c r="D81" s="96"/>
      <x:c r="E81" s="82"/>
      <x:c r="F81" s="84"/>
      <x:c r="G81" s="36"/>
      <x:c r="H81" s="36"/>
      <x:c r="I81" s="36"/>
      <x:c r="J81" s="96"/>
      <x:c r="K81" s="82"/>
      <x:c r="L81" s="36"/>
      <x:c r="M81" s="36"/>
      <x:c r="N81" s="98" t="str">
        <x:f>IF($B81="","",IFERROR(IF(INDEX('Leads'!$AE$8:$AE$107,MATCH($B81,'Leads'!$A$8:$A$107,0))="","",INDEX('Leads'!$AE$8:$AE$107,MATCH($B81,'Leads'!$A$8:$A$107,0))),""))</x:f>
      </x:c>
      <x:c r="O81" s="42" t="str">
        <x:f>IF($B81="","",IFERROR(IF(INDEX('Leads'!$AA$8:$AA$107,MATCH($B81,'Leads'!$A$8:$A$107,0))="","",INDEX('Leads'!$AA$8:$AA$107,MATCH($B81,'Leads'!$A$8:$A$107,0))),""))</x:f>
      </x:c>
      <x:c r="P81" s="42" t="str">
        <x:f>IF(AND($A81="",$B81="",$D81=""),"",IF(AND($Q81=1,$R81=1,OR($I81="Active",AND(ISNUMBER($K81),$L81&lt;&gt;""))),"ครบ",IF($A81="","ขาด Order ID; ","")&amp;IF(AND($A81&lt;&gt;"",COUNTIF('Orders_PO'!$A$8:$A$107,$A81)&gt;1),"Order ID ซ้ำ; ","")&amp;IF(COUNTIF('Leads'!$A$8:$A$107,$B81)&lt;&gt;1,"ตรวจรหัส Lead; ","")&amp;IF(AND($B81&lt;&gt;"",IFERROR(INDEX('Leads'!$BA$8:$BA$107,MATCH($B81,'Leads'!$A$8:$A$107,0)),0)&lt;&gt;1),"Lead ยังไม่นับผลจริง; ","")&amp;IF(OR($C81="",$D81="",NOT(ISNUMBER($E81))),"ขาดบริษัท/เลข PO/วันรับ; ","")&amp;IF($J81="","ขาดหลักฐาน PO; ","")&amp;IF(NOT(OR($I81="Active",$I81="Cancelled")),"เลือกสถานะ PO; ","")&amp;IF(COUNTIFS('Orders_PO'!$C$8:$C$107,$C81,'Orders_PO'!$D$8:$D$107,$D81)&gt;1,"PO/ผู้ออกซ้ำ; ","")&amp;IF(OR(NOT(ISNUMBER($F81)),$G81="",$H81="",$H81="ไม่ทราบ"),"ตรวจมูลค่า/สกุล/ฐาน VAT; ","")&amp;IF(AND($I81="Cancelled",OR(NOT(ISNUMBER($K81)),$L81="")),"ขาดวัน/เหตุผลยกเลิก; ","")))</x:f>
      </x:c>
      <x:c r="Q81" s="42" t="str">
        <x:f>IF(AND($A81="",$B81="",$D81=""),"",IF(AND($A81&lt;&gt;"",COUNTIF('Orders_PO'!$A$8:$A$107,$A81)=1,COUNTIF('Leads'!$A$8:$A$107,$B81)=1,$N81&lt;&gt;"",IFERROR(INDEX('Leads'!$BA$8:$BA$107,MATCH($B81,'Leads'!$A$8:$A$107,0)),0)=1,$C81&lt;&gt;"",$D81&lt;&gt;"",ISNUMBER($E81),$E81&gt;0,$J81&lt;&gt;"",OR($I81="Active",$I81="Cancelled"),COUNTIFS('Orders_PO'!$C$8:$C$107,$C81,'Orders_PO'!$D$8:$D$107,$D81)=1),1,0))</x:f>
      </x:c>
      <x:c r="R81" s="42" t="str">
        <x:f>IF($Q81="","",IF(AND($Q81=1,ISNUMBER($F81),$F81&gt;=0,$G81&lt;&gt;"",OR($H81="รวม VAT",$H81="ไม่รวม VAT")),1,0))</x:f>
      </x:c>
    </x:row>
    <x:row r="82" ht="30" customHeight="1">
      <x:c r="A82" s="96"/>
      <x:c r="B82" s="96"/>
      <x:c r="C82" s="36"/>
      <x:c r="D82" s="96"/>
      <x:c r="E82" s="82"/>
      <x:c r="F82" s="84"/>
      <x:c r="G82" s="36"/>
      <x:c r="H82" s="36"/>
      <x:c r="I82" s="36"/>
      <x:c r="J82" s="96"/>
      <x:c r="K82" s="82"/>
      <x:c r="L82" s="36"/>
      <x:c r="M82" s="36"/>
      <x:c r="N82" s="98" t="str">
        <x:f>IF($B82="","",IFERROR(IF(INDEX('Leads'!$AE$8:$AE$107,MATCH($B82,'Leads'!$A$8:$A$107,0))="","",INDEX('Leads'!$AE$8:$AE$107,MATCH($B82,'Leads'!$A$8:$A$107,0))),""))</x:f>
      </x:c>
      <x:c r="O82" s="42" t="str">
        <x:f>IF($B82="","",IFERROR(IF(INDEX('Leads'!$AA$8:$AA$107,MATCH($B82,'Leads'!$A$8:$A$107,0))="","",INDEX('Leads'!$AA$8:$AA$107,MATCH($B82,'Leads'!$A$8:$A$107,0))),""))</x:f>
      </x:c>
      <x:c r="P82" s="42" t="str">
        <x:f>IF(AND($A82="",$B82="",$D82=""),"",IF(AND($Q82=1,$R82=1,OR($I82="Active",AND(ISNUMBER($K82),$L82&lt;&gt;""))),"ครบ",IF($A82="","ขาด Order ID; ","")&amp;IF(AND($A82&lt;&gt;"",COUNTIF('Orders_PO'!$A$8:$A$107,$A82)&gt;1),"Order ID ซ้ำ; ","")&amp;IF(COUNTIF('Leads'!$A$8:$A$107,$B82)&lt;&gt;1,"ตรวจรหัส Lead; ","")&amp;IF(AND($B82&lt;&gt;"",IFERROR(INDEX('Leads'!$BA$8:$BA$107,MATCH($B82,'Leads'!$A$8:$A$107,0)),0)&lt;&gt;1),"Lead ยังไม่นับผลจริง; ","")&amp;IF(OR($C82="",$D82="",NOT(ISNUMBER($E82))),"ขาดบริษัท/เลข PO/วันรับ; ","")&amp;IF($J82="","ขาดหลักฐาน PO; ","")&amp;IF(NOT(OR($I82="Active",$I82="Cancelled")),"เลือกสถานะ PO; ","")&amp;IF(COUNTIFS('Orders_PO'!$C$8:$C$107,$C82,'Orders_PO'!$D$8:$D$107,$D82)&gt;1,"PO/ผู้ออกซ้ำ; ","")&amp;IF(OR(NOT(ISNUMBER($F82)),$G82="",$H82="",$H82="ไม่ทราบ"),"ตรวจมูลค่า/สกุล/ฐาน VAT; ","")&amp;IF(AND($I82="Cancelled",OR(NOT(ISNUMBER($K82)),$L82="")),"ขาดวัน/เหตุผลยกเลิก; ","")))</x:f>
      </x:c>
      <x:c r="Q82" s="42" t="str">
        <x:f>IF(AND($A82="",$B82="",$D82=""),"",IF(AND($A82&lt;&gt;"",COUNTIF('Orders_PO'!$A$8:$A$107,$A82)=1,COUNTIF('Leads'!$A$8:$A$107,$B82)=1,$N82&lt;&gt;"",IFERROR(INDEX('Leads'!$BA$8:$BA$107,MATCH($B82,'Leads'!$A$8:$A$107,0)),0)=1,$C82&lt;&gt;"",$D82&lt;&gt;"",ISNUMBER($E82),$E82&gt;0,$J82&lt;&gt;"",OR($I82="Active",$I82="Cancelled"),COUNTIFS('Orders_PO'!$C$8:$C$107,$C82,'Orders_PO'!$D$8:$D$107,$D82)=1),1,0))</x:f>
      </x:c>
      <x:c r="R82" s="42" t="str">
        <x:f>IF($Q82="","",IF(AND($Q82=1,ISNUMBER($F82),$F82&gt;=0,$G82&lt;&gt;"",OR($H82="รวม VAT",$H82="ไม่รวม VAT")),1,0))</x:f>
      </x:c>
    </x:row>
    <x:row r="83" ht="30" customHeight="1">
      <x:c r="A83" s="96"/>
      <x:c r="B83" s="96"/>
      <x:c r="C83" s="36"/>
      <x:c r="D83" s="96"/>
      <x:c r="E83" s="82"/>
      <x:c r="F83" s="84"/>
      <x:c r="G83" s="36"/>
      <x:c r="H83" s="36"/>
      <x:c r="I83" s="36"/>
      <x:c r="J83" s="96"/>
      <x:c r="K83" s="82"/>
      <x:c r="L83" s="36"/>
      <x:c r="M83" s="36"/>
      <x:c r="N83" s="98" t="str">
        <x:f>IF($B83="","",IFERROR(IF(INDEX('Leads'!$AE$8:$AE$107,MATCH($B83,'Leads'!$A$8:$A$107,0))="","",INDEX('Leads'!$AE$8:$AE$107,MATCH($B83,'Leads'!$A$8:$A$107,0))),""))</x:f>
      </x:c>
      <x:c r="O83" s="42" t="str">
        <x:f>IF($B83="","",IFERROR(IF(INDEX('Leads'!$AA$8:$AA$107,MATCH($B83,'Leads'!$A$8:$A$107,0))="","",INDEX('Leads'!$AA$8:$AA$107,MATCH($B83,'Leads'!$A$8:$A$107,0))),""))</x:f>
      </x:c>
      <x:c r="P83" s="42" t="str">
        <x:f>IF(AND($A83="",$B83="",$D83=""),"",IF(AND($Q83=1,$R83=1,OR($I83="Active",AND(ISNUMBER($K83),$L83&lt;&gt;""))),"ครบ",IF($A83="","ขาด Order ID; ","")&amp;IF(AND($A83&lt;&gt;"",COUNTIF('Orders_PO'!$A$8:$A$107,$A83)&gt;1),"Order ID ซ้ำ; ","")&amp;IF(COUNTIF('Leads'!$A$8:$A$107,$B83)&lt;&gt;1,"ตรวจรหัส Lead; ","")&amp;IF(AND($B83&lt;&gt;"",IFERROR(INDEX('Leads'!$BA$8:$BA$107,MATCH($B83,'Leads'!$A$8:$A$107,0)),0)&lt;&gt;1),"Lead ยังไม่นับผลจริง; ","")&amp;IF(OR($C83="",$D83="",NOT(ISNUMBER($E83))),"ขาดบริษัท/เลข PO/วันรับ; ","")&amp;IF($J83="","ขาดหลักฐาน PO; ","")&amp;IF(NOT(OR($I83="Active",$I83="Cancelled")),"เลือกสถานะ PO; ","")&amp;IF(COUNTIFS('Orders_PO'!$C$8:$C$107,$C83,'Orders_PO'!$D$8:$D$107,$D83)&gt;1,"PO/ผู้ออกซ้ำ; ","")&amp;IF(OR(NOT(ISNUMBER($F83)),$G83="",$H83="",$H83="ไม่ทราบ"),"ตรวจมูลค่า/สกุล/ฐาน VAT; ","")&amp;IF(AND($I83="Cancelled",OR(NOT(ISNUMBER($K83)),$L83="")),"ขาดวัน/เหตุผลยกเลิก; ","")))</x:f>
      </x:c>
      <x:c r="Q83" s="42" t="str">
        <x:f>IF(AND($A83="",$B83="",$D83=""),"",IF(AND($A83&lt;&gt;"",COUNTIF('Orders_PO'!$A$8:$A$107,$A83)=1,COUNTIF('Leads'!$A$8:$A$107,$B83)=1,$N83&lt;&gt;"",IFERROR(INDEX('Leads'!$BA$8:$BA$107,MATCH($B83,'Leads'!$A$8:$A$107,0)),0)=1,$C83&lt;&gt;"",$D83&lt;&gt;"",ISNUMBER($E83),$E83&gt;0,$J83&lt;&gt;"",OR($I83="Active",$I83="Cancelled"),COUNTIFS('Orders_PO'!$C$8:$C$107,$C83,'Orders_PO'!$D$8:$D$107,$D83)=1),1,0))</x:f>
      </x:c>
      <x:c r="R83" s="42" t="str">
        <x:f>IF($Q83="","",IF(AND($Q83=1,ISNUMBER($F83),$F83&gt;=0,$G83&lt;&gt;"",OR($H83="รวม VAT",$H83="ไม่รวม VAT")),1,0))</x:f>
      </x:c>
    </x:row>
    <x:row r="84" ht="30" customHeight="1">
      <x:c r="A84" s="96"/>
      <x:c r="B84" s="96"/>
      <x:c r="C84" s="36"/>
      <x:c r="D84" s="96"/>
      <x:c r="E84" s="82"/>
      <x:c r="F84" s="84"/>
      <x:c r="G84" s="36"/>
      <x:c r="H84" s="36"/>
      <x:c r="I84" s="36"/>
      <x:c r="J84" s="96"/>
      <x:c r="K84" s="82"/>
      <x:c r="L84" s="36"/>
      <x:c r="M84" s="36"/>
      <x:c r="N84" s="98" t="str">
        <x:f>IF($B84="","",IFERROR(IF(INDEX('Leads'!$AE$8:$AE$107,MATCH($B84,'Leads'!$A$8:$A$107,0))="","",INDEX('Leads'!$AE$8:$AE$107,MATCH($B84,'Leads'!$A$8:$A$107,0))),""))</x:f>
      </x:c>
      <x:c r="O84" s="42" t="str">
        <x:f>IF($B84="","",IFERROR(IF(INDEX('Leads'!$AA$8:$AA$107,MATCH($B84,'Leads'!$A$8:$A$107,0))="","",INDEX('Leads'!$AA$8:$AA$107,MATCH($B84,'Leads'!$A$8:$A$107,0))),""))</x:f>
      </x:c>
      <x:c r="P84" s="42" t="str">
        <x:f>IF(AND($A84="",$B84="",$D84=""),"",IF(AND($Q84=1,$R84=1,OR($I84="Active",AND(ISNUMBER($K84),$L84&lt;&gt;""))),"ครบ",IF($A84="","ขาด Order ID; ","")&amp;IF(AND($A84&lt;&gt;"",COUNTIF('Orders_PO'!$A$8:$A$107,$A84)&gt;1),"Order ID ซ้ำ; ","")&amp;IF(COUNTIF('Leads'!$A$8:$A$107,$B84)&lt;&gt;1,"ตรวจรหัส Lead; ","")&amp;IF(AND($B84&lt;&gt;"",IFERROR(INDEX('Leads'!$BA$8:$BA$107,MATCH($B84,'Leads'!$A$8:$A$107,0)),0)&lt;&gt;1),"Lead ยังไม่นับผลจริง; ","")&amp;IF(OR($C84="",$D84="",NOT(ISNUMBER($E84))),"ขาดบริษัท/เลข PO/วันรับ; ","")&amp;IF($J84="","ขาดหลักฐาน PO; ","")&amp;IF(NOT(OR($I84="Active",$I84="Cancelled")),"เลือกสถานะ PO; ","")&amp;IF(COUNTIFS('Orders_PO'!$C$8:$C$107,$C84,'Orders_PO'!$D$8:$D$107,$D84)&gt;1,"PO/ผู้ออกซ้ำ; ","")&amp;IF(OR(NOT(ISNUMBER($F84)),$G84="",$H84="",$H84="ไม่ทราบ"),"ตรวจมูลค่า/สกุล/ฐาน VAT; ","")&amp;IF(AND($I84="Cancelled",OR(NOT(ISNUMBER($K84)),$L84="")),"ขาดวัน/เหตุผลยกเลิก; ","")))</x:f>
      </x:c>
      <x:c r="Q84" s="42" t="str">
        <x:f>IF(AND($A84="",$B84="",$D84=""),"",IF(AND($A84&lt;&gt;"",COUNTIF('Orders_PO'!$A$8:$A$107,$A84)=1,COUNTIF('Leads'!$A$8:$A$107,$B84)=1,$N84&lt;&gt;"",IFERROR(INDEX('Leads'!$BA$8:$BA$107,MATCH($B84,'Leads'!$A$8:$A$107,0)),0)=1,$C84&lt;&gt;"",$D84&lt;&gt;"",ISNUMBER($E84),$E84&gt;0,$J84&lt;&gt;"",OR($I84="Active",$I84="Cancelled"),COUNTIFS('Orders_PO'!$C$8:$C$107,$C84,'Orders_PO'!$D$8:$D$107,$D84)=1),1,0))</x:f>
      </x:c>
      <x:c r="R84" s="42" t="str">
        <x:f>IF($Q84="","",IF(AND($Q84=1,ISNUMBER($F84),$F84&gt;=0,$G84&lt;&gt;"",OR($H84="รวม VAT",$H84="ไม่รวม VAT")),1,0))</x:f>
      </x:c>
    </x:row>
    <x:row r="85" ht="30" customHeight="1">
      <x:c r="A85" s="96"/>
      <x:c r="B85" s="96"/>
      <x:c r="C85" s="36"/>
      <x:c r="D85" s="96"/>
      <x:c r="E85" s="82"/>
      <x:c r="F85" s="84"/>
      <x:c r="G85" s="36"/>
      <x:c r="H85" s="36"/>
      <x:c r="I85" s="36"/>
      <x:c r="J85" s="96"/>
      <x:c r="K85" s="82"/>
      <x:c r="L85" s="36"/>
      <x:c r="M85" s="36"/>
      <x:c r="N85" s="98" t="str">
        <x:f>IF($B85="","",IFERROR(IF(INDEX('Leads'!$AE$8:$AE$107,MATCH($B85,'Leads'!$A$8:$A$107,0))="","",INDEX('Leads'!$AE$8:$AE$107,MATCH($B85,'Leads'!$A$8:$A$107,0))),""))</x:f>
      </x:c>
      <x:c r="O85" s="42" t="str">
        <x:f>IF($B85="","",IFERROR(IF(INDEX('Leads'!$AA$8:$AA$107,MATCH($B85,'Leads'!$A$8:$A$107,0))="","",INDEX('Leads'!$AA$8:$AA$107,MATCH($B85,'Leads'!$A$8:$A$107,0))),""))</x:f>
      </x:c>
      <x:c r="P85" s="42" t="str">
        <x:f>IF(AND($A85="",$B85="",$D85=""),"",IF(AND($Q85=1,$R85=1,OR($I85="Active",AND(ISNUMBER($K85),$L85&lt;&gt;""))),"ครบ",IF($A85="","ขาด Order ID; ","")&amp;IF(AND($A85&lt;&gt;"",COUNTIF('Orders_PO'!$A$8:$A$107,$A85)&gt;1),"Order ID ซ้ำ; ","")&amp;IF(COUNTIF('Leads'!$A$8:$A$107,$B85)&lt;&gt;1,"ตรวจรหัส Lead; ","")&amp;IF(AND($B85&lt;&gt;"",IFERROR(INDEX('Leads'!$BA$8:$BA$107,MATCH($B85,'Leads'!$A$8:$A$107,0)),0)&lt;&gt;1),"Lead ยังไม่นับผลจริง; ","")&amp;IF(OR($C85="",$D85="",NOT(ISNUMBER($E85))),"ขาดบริษัท/เลข PO/วันรับ; ","")&amp;IF($J85="","ขาดหลักฐาน PO; ","")&amp;IF(NOT(OR($I85="Active",$I85="Cancelled")),"เลือกสถานะ PO; ","")&amp;IF(COUNTIFS('Orders_PO'!$C$8:$C$107,$C85,'Orders_PO'!$D$8:$D$107,$D85)&gt;1,"PO/ผู้ออกซ้ำ; ","")&amp;IF(OR(NOT(ISNUMBER($F85)),$G85="",$H85="",$H85="ไม่ทราบ"),"ตรวจมูลค่า/สกุล/ฐาน VAT; ","")&amp;IF(AND($I85="Cancelled",OR(NOT(ISNUMBER($K85)),$L85="")),"ขาดวัน/เหตุผลยกเลิก; ","")))</x:f>
      </x:c>
      <x:c r="Q85" s="42" t="str">
        <x:f>IF(AND($A85="",$B85="",$D85=""),"",IF(AND($A85&lt;&gt;"",COUNTIF('Orders_PO'!$A$8:$A$107,$A85)=1,COUNTIF('Leads'!$A$8:$A$107,$B85)=1,$N85&lt;&gt;"",IFERROR(INDEX('Leads'!$BA$8:$BA$107,MATCH($B85,'Leads'!$A$8:$A$107,0)),0)=1,$C85&lt;&gt;"",$D85&lt;&gt;"",ISNUMBER($E85),$E85&gt;0,$J85&lt;&gt;"",OR($I85="Active",$I85="Cancelled"),COUNTIFS('Orders_PO'!$C$8:$C$107,$C85,'Orders_PO'!$D$8:$D$107,$D85)=1),1,0))</x:f>
      </x:c>
      <x:c r="R85" s="42" t="str">
        <x:f>IF($Q85="","",IF(AND($Q85=1,ISNUMBER($F85),$F85&gt;=0,$G85&lt;&gt;"",OR($H85="รวม VAT",$H85="ไม่รวม VAT")),1,0))</x:f>
      </x:c>
    </x:row>
    <x:row r="86" ht="30" customHeight="1">
      <x:c r="A86" s="96"/>
      <x:c r="B86" s="96"/>
      <x:c r="C86" s="36"/>
      <x:c r="D86" s="96"/>
      <x:c r="E86" s="82"/>
      <x:c r="F86" s="84"/>
      <x:c r="G86" s="36"/>
      <x:c r="H86" s="36"/>
      <x:c r="I86" s="36"/>
      <x:c r="J86" s="96"/>
      <x:c r="K86" s="82"/>
      <x:c r="L86" s="36"/>
      <x:c r="M86" s="36"/>
      <x:c r="N86" s="98" t="str">
        <x:f>IF($B86="","",IFERROR(IF(INDEX('Leads'!$AE$8:$AE$107,MATCH($B86,'Leads'!$A$8:$A$107,0))="","",INDEX('Leads'!$AE$8:$AE$107,MATCH($B86,'Leads'!$A$8:$A$107,0))),""))</x:f>
      </x:c>
      <x:c r="O86" s="42" t="str">
        <x:f>IF($B86="","",IFERROR(IF(INDEX('Leads'!$AA$8:$AA$107,MATCH($B86,'Leads'!$A$8:$A$107,0))="","",INDEX('Leads'!$AA$8:$AA$107,MATCH($B86,'Leads'!$A$8:$A$107,0))),""))</x:f>
      </x:c>
      <x:c r="P86" s="42" t="str">
        <x:f>IF(AND($A86="",$B86="",$D86=""),"",IF(AND($Q86=1,$R86=1,OR($I86="Active",AND(ISNUMBER($K86),$L86&lt;&gt;""))),"ครบ",IF($A86="","ขาด Order ID; ","")&amp;IF(AND($A86&lt;&gt;"",COUNTIF('Orders_PO'!$A$8:$A$107,$A86)&gt;1),"Order ID ซ้ำ; ","")&amp;IF(COUNTIF('Leads'!$A$8:$A$107,$B86)&lt;&gt;1,"ตรวจรหัส Lead; ","")&amp;IF(AND($B86&lt;&gt;"",IFERROR(INDEX('Leads'!$BA$8:$BA$107,MATCH($B86,'Leads'!$A$8:$A$107,0)),0)&lt;&gt;1),"Lead ยังไม่นับผลจริง; ","")&amp;IF(OR($C86="",$D86="",NOT(ISNUMBER($E86))),"ขาดบริษัท/เลข PO/วันรับ; ","")&amp;IF($J86="","ขาดหลักฐาน PO; ","")&amp;IF(NOT(OR($I86="Active",$I86="Cancelled")),"เลือกสถานะ PO; ","")&amp;IF(COUNTIFS('Orders_PO'!$C$8:$C$107,$C86,'Orders_PO'!$D$8:$D$107,$D86)&gt;1,"PO/ผู้ออกซ้ำ; ","")&amp;IF(OR(NOT(ISNUMBER($F86)),$G86="",$H86="",$H86="ไม่ทราบ"),"ตรวจมูลค่า/สกุล/ฐาน VAT; ","")&amp;IF(AND($I86="Cancelled",OR(NOT(ISNUMBER($K86)),$L86="")),"ขาดวัน/เหตุผลยกเลิก; ","")))</x:f>
      </x:c>
      <x:c r="Q86" s="42" t="str">
        <x:f>IF(AND($A86="",$B86="",$D86=""),"",IF(AND($A86&lt;&gt;"",COUNTIF('Orders_PO'!$A$8:$A$107,$A86)=1,COUNTIF('Leads'!$A$8:$A$107,$B86)=1,$N86&lt;&gt;"",IFERROR(INDEX('Leads'!$BA$8:$BA$107,MATCH($B86,'Leads'!$A$8:$A$107,0)),0)=1,$C86&lt;&gt;"",$D86&lt;&gt;"",ISNUMBER($E86),$E86&gt;0,$J86&lt;&gt;"",OR($I86="Active",$I86="Cancelled"),COUNTIFS('Orders_PO'!$C$8:$C$107,$C86,'Orders_PO'!$D$8:$D$107,$D86)=1),1,0))</x:f>
      </x:c>
      <x:c r="R86" s="42" t="str">
        <x:f>IF($Q86="","",IF(AND($Q86=1,ISNUMBER($F86),$F86&gt;=0,$G86&lt;&gt;"",OR($H86="รวม VAT",$H86="ไม่รวม VAT")),1,0))</x:f>
      </x:c>
    </x:row>
    <x:row r="87" ht="30" customHeight="1">
      <x:c r="A87" s="96"/>
      <x:c r="B87" s="96"/>
      <x:c r="C87" s="36"/>
      <x:c r="D87" s="96"/>
      <x:c r="E87" s="82"/>
      <x:c r="F87" s="84"/>
      <x:c r="G87" s="36"/>
      <x:c r="H87" s="36"/>
      <x:c r="I87" s="36"/>
      <x:c r="J87" s="96"/>
      <x:c r="K87" s="82"/>
      <x:c r="L87" s="36"/>
      <x:c r="M87" s="36"/>
      <x:c r="N87" s="98" t="str">
        <x:f>IF($B87="","",IFERROR(IF(INDEX('Leads'!$AE$8:$AE$107,MATCH($B87,'Leads'!$A$8:$A$107,0))="","",INDEX('Leads'!$AE$8:$AE$107,MATCH($B87,'Leads'!$A$8:$A$107,0))),""))</x:f>
      </x:c>
      <x:c r="O87" s="42" t="str">
        <x:f>IF($B87="","",IFERROR(IF(INDEX('Leads'!$AA$8:$AA$107,MATCH($B87,'Leads'!$A$8:$A$107,0))="","",INDEX('Leads'!$AA$8:$AA$107,MATCH($B87,'Leads'!$A$8:$A$107,0))),""))</x:f>
      </x:c>
      <x:c r="P87" s="42" t="str">
        <x:f>IF(AND($A87="",$B87="",$D87=""),"",IF(AND($Q87=1,$R87=1,OR($I87="Active",AND(ISNUMBER($K87),$L87&lt;&gt;""))),"ครบ",IF($A87="","ขาด Order ID; ","")&amp;IF(AND($A87&lt;&gt;"",COUNTIF('Orders_PO'!$A$8:$A$107,$A87)&gt;1),"Order ID ซ้ำ; ","")&amp;IF(COUNTIF('Leads'!$A$8:$A$107,$B87)&lt;&gt;1,"ตรวจรหัส Lead; ","")&amp;IF(AND($B87&lt;&gt;"",IFERROR(INDEX('Leads'!$BA$8:$BA$107,MATCH($B87,'Leads'!$A$8:$A$107,0)),0)&lt;&gt;1),"Lead ยังไม่นับผลจริง; ","")&amp;IF(OR($C87="",$D87="",NOT(ISNUMBER($E87))),"ขาดบริษัท/เลข PO/วันรับ; ","")&amp;IF($J87="","ขาดหลักฐาน PO; ","")&amp;IF(NOT(OR($I87="Active",$I87="Cancelled")),"เลือกสถานะ PO; ","")&amp;IF(COUNTIFS('Orders_PO'!$C$8:$C$107,$C87,'Orders_PO'!$D$8:$D$107,$D87)&gt;1,"PO/ผู้ออกซ้ำ; ","")&amp;IF(OR(NOT(ISNUMBER($F87)),$G87="",$H87="",$H87="ไม่ทราบ"),"ตรวจมูลค่า/สกุล/ฐาน VAT; ","")&amp;IF(AND($I87="Cancelled",OR(NOT(ISNUMBER($K87)),$L87="")),"ขาดวัน/เหตุผลยกเลิก; ","")))</x:f>
      </x:c>
      <x:c r="Q87" s="42" t="str">
        <x:f>IF(AND($A87="",$B87="",$D87=""),"",IF(AND($A87&lt;&gt;"",COUNTIF('Orders_PO'!$A$8:$A$107,$A87)=1,COUNTIF('Leads'!$A$8:$A$107,$B87)=1,$N87&lt;&gt;"",IFERROR(INDEX('Leads'!$BA$8:$BA$107,MATCH($B87,'Leads'!$A$8:$A$107,0)),0)=1,$C87&lt;&gt;"",$D87&lt;&gt;"",ISNUMBER($E87),$E87&gt;0,$J87&lt;&gt;"",OR($I87="Active",$I87="Cancelled"),COUNTIFS('Orders_PO'!$C$8:$C$107,$C87,'Orders_PO'!$D$8:$D$107,$D87)=1),1,0))</x:f>
      </x:c>
      <x:c r="R87" s="42" t="str">
        <x:f>IF($Q87="","",IF(AND($Q87=1,ISNUMBER($F87),$F87&gt;=0,$G87&lt;&gt;"",OR($H87="รวม VAT",$H87="ไม่รวม VAT")),1,0))</x:f>
      </x:c>
    </x:row>
    <x:row r="88" ht="30" customHeight="1">
      <x:c r="A88" s="96"/>
      <x:c r="B88" s="96"/>
      <x:c r="C88" s="36"/>
      <x:c r="D88" s="96"/>
      <x:c r="E88" s="82"/>
      <x:c r="F88" s="84"/>
      <x:c r="G88" s="36"/>
      <x:c r="H88" s="36"/>
      <x:c r="I88" s="36"/>
      <x:c r="J88" s="96"/>
      <x:c r="K88" s="82"/>
      <x:c r="L88" s="36"/>
      <x:c r="M88" s="36"/>
      <x:c r="N88" s="98" t="str">
        <x:f>IF($B88="","",IFERROR(IF(INDEX('Leads'!$AE$8:$AE$107,MATCH($B88,'Leads'!$A$8:$A$107,0))="","",INDEX('Leads'!$AE$8:$AE$107,MATCH($B88,'Leads'!$A$8:$A$107,0))),""))</x:f>
      </x:c>
      <x:c r="O88" s="42" t="str">
        <x:f>IF($B88="","",IFERROR(IF(INDEX('Leads'!$AA$8:$AA$107,MATCH($B88,'Leads'!$A$8:$A$107,0))="","",INDEX('Leads'!$AA$8:$AA$107,MATCH($B88,'Leads'!$A$8:$A$107,0))),""))</x:f>
      </x:c>
      <x:c r="P88" s="42" t="str">
        <x:f>IF(AND($A88="",$B88="",$D88=""),"",IF(AND($Q88=1,$R88=1,OR($I88="Active",AND(ISNUMBER($K88),$L88&lt;&gt;""))),"ครบ",IF($A88="","ขาด Order ID; ","")&amp;IF(AND($A88&lt;&gt;"",COUNTIF('Orders_PO'!$A$8:$A$107,$A88)&gt;1),"Order ID ซ้ำ; ","")&amp;IF(COUNTIF('Leads'!$A$8:$A$107,$B88)&lt;&gt;1,"ตรวจรหัส Lead; ","")&amp;IF(AND($B88&lt;&gt;"",IFERROR(INDEX('Leads'!$BA$8:$BA$107,MATCH($B88,'Leads'!$A$8:$A$107,0)),0)&lt;&gt;1),"Lead ยังไม่นับผลจริง; ","")&amp;IF(OR($C88="",$D88="",NOT(ISNUMBER($E88))),"ขาดบริษัท/เลข PO/วันรับ; ","")&amp;IF($J88="","ขาดหลักฐาน PO; ","")&amp;IF(NOT(OR($I88="Active",$I88="Cancelled")),"เลือกสถานะ PO; ","")&amp;IF(COUNTIFS('Orders_PO'!$C$8:$C$107,$C88,'Orders_PO'!$D$8:$D$107,$D88)&gt;1,"PO/ผู้ออกซ้ำ; ","")&amp;IF(OR(NOT(ISNUMBER($F88)),$G88="",$H88="",$H88="ไม่ทราบ"),"ตรวจมูลค่า/สกุล/ฐาน VAT; ","")&amp;IF(AND($I88="Cancelled",OR(NOT(ISNUMBER($K88)),$L88="")),"ขาดวัน/เหตุผลยกเลิก; ","")))</x:f>
      </x:c>
      <x:c r="Q88" s="42" t="str">
        <x:f>IF(AND($A88="",$B88="",$D88=""),"",IF(AND($A88&lt;&gt;"",COUNTIF('Orders_PO'!$A$8:$A$107,$A88)=1,COUNTIF('Leads'!$A$8:$A$107,$B88)=1,$N88&lt;&gt;"",IFERROR(INDEX('Leads'!$BA$8:$BA$107,MATCH($B88,'Leads'!$A$8:$A$107,0)),0)=1,$C88&lt;&gt;"",$D88&lt;&gt;"",ISNUMBER($E88),$E88&gt;0,$J88&lt;&gt;"",OR($I88="Active",$I88="Cancelled"),COUNTIFS('Orders_PO'!$C$8:$C$107,$C88,'Orders_PO'!$D$8:$D$107,$D88)=1),1,0))</x:f>
      </x:c>
      <x:c r="R88" s="42" t="str">
        <x:f>IF($Q88="","",IF(AND($Q88=1,ISNUMBER($F88),$F88&gt;=0,$G88&lt;&gt;"",OR($H88="รวม VAT",$H88="ไม่รวม VAT")),1,0))</x:f>
      </x:c>
    </x:row>
    <x:row r="89" ht="30" customHeight="1">
      <x:c r="A89" s="96"/>
      <x:c r="B89" s="96"/>
      <x:c r="C89" s="36"/>
      <x:c r="D89" s="96"/>
      <x:c r="E89" s="82"/>
      <x:c r="F89" s="84"/>
      <x:c r="G89" s="36"/>
      <x:c r="H89" s="36"/>
      <x:c r="I89" s="36"/>
      <x:c r="J89" s="96"/>
      <x:c r="K89" s="82"/>
      <x:c r="L89" s="36"/>
      <x:c r="M89" s="36"/>
      <x:c r="N89" s="98" t="str">
        <x:f>IF($B89="","",IFERROR(IF(INDEX('Leads'!$AE$8:$AE$107,MATCH($B89,'Leads'!$A$8:$A$107,0))="","",INDEX('Leads'!$AE$8:$AE$107,MATCH($B89,'Leads'!$A$8:$A$107,0))),""))</x:f>
      </x:c>
      <x:c r="O89" s="42" t="str">
        <x:f>IF($B89="","",IFERROR(IF(INDEX('Leads'!$AA$8:$AA$107,MATCH($B89,'Leads'!$A$8:$A$107,0))="","",INDEX('Leads'!$AA$8:$AA$107,MATCH($B89,'Leads'!$A$8:$A$107,0))),""))</x:f>
      </x:c>
      <x:c r="P89" s="42" t="str">
        <x:f>IF(AND($A89="",$B89="",$D89=""),"",IF(AND($Q89=1,$R89=1,OR($I89="Active",AND(ISNUMBER($K89),$L89&lt;&gt;""))),"ครบ",IF($A89="","ขาด Order ID; ","")&amp;IF(AND($A89&lt;&gt;"",COUNTIF('Orders_PO'!$A$8:$A$107,$A89)&gt;1),"Order ID ซ้ำ; ","")&amp;IF(COUNTIF('Leads'!$A$8:$A$107,$B89)&lt;&gt;1,"ตรวจรหัส Lead; ","")&amp;IF(AND($B89&lt;&gt;"",IFERROR(INDEX('Leads'!$BA$8:$BA$107,MATCH($B89,'Leads'!$A$8:$A$107,0)),0)&lt;&gt;1),"Lead ยังไม่นับผลจริง; ","")&amp;IF(OR($C89="",$D89="",NOT(ISNUMBER($E89))),"ขาดบริษัท/เลข PO/วันรับ; ","")&amp;IF($J89="","ขาดหลักฐาน PO; ","")&amp;IF(NOT(OR($I89="Active",$I89="Cancelled")),"เลือกสถานะ PO; ","")&amp;IF(COUNTIFS('Orders_PO'!$C$8:$C$107,$C89,'Orders_PO'!$D$8:$D$107,$D89)&gt;1,"PO/ผู้ออกซ้ำ; ","")&amp;IF(OR(NOT(ISNUMBER($F89)),$G89="",$H89="",$H89="ไม่ทราบ"),"ตรวจมูลค่า/สกุล/ฐาน VAT; ","")&amp;IF(AND($I89="Cancelled",OR(NOT(ISNUMBER($K89)),$L89="")),"ขาดวัน/เหตุผลยกเลิก; ","")))</x:f>
      </x:c>
      <x:c r="Q89" s="42" t="str">
        <x:f>IF(AND($A89="",$B89="",$D89=""),"",IF(AND($A89&lt;&gt;"",COUNTIF('Orders_PO'!$A$8:$A$107,$A89)=1,COUNTIF('Leads'!$A$8:$A$107,$B89)=1,$N89&lt;&gt;"",IFERROR(INDEX('Leads'!$BA$8:$BA$107,MATCH($B89,'Leads'!$A$8:$A$107,0)),0)=1,$C89&lt;&gt;"",$D89&lt;&gt;"",ISNUMBER($E89),$E89&gt;0,$J89&lt;&gt;"",OR($I89="Active",$I89="Cancelled"),COUNTIFS('Orders_PO'!$C$8:$C$107,$C89,'Orders_PO'!$D$8:$D$107,$D89)=1),1,0))</x:f>
      </x:c>
      <x:c r="R89" s="42" t="str">
        <x:f>IF($Q89="","",IF(AND($Q89=1,ISNUMBER($F89),$F89&gt;=0,$G89&lt;&gt;"",OR($H89="รวม VAT",$H89="ไม่รวม VAT")),1,0))</x:f>
      </x:c>
    </x:row>
    <x:row r="90" ht="30" customHeight="1">
      <x:c r="A90" s="96"/>
      <x:c r="B90" s="96"/>
      <x:c r="C90" s="36"/>
      <x:c r="D90" s="96"/>
      <x:c r="E90" s="82"/>
      <x:c r="F90" s="84"/>
      <x:c r="G90" s="36"/>
      <x:c r="H90" s="36"/>
      <x:c r="I90" s="36"/>
      <x:c r="J90" s="96"/>
      <x:c r="K90" s="82"/>
      <x:c r="L90" s="36"/>
      <x:c r="M90" s="36"/>
      <x:c r="N90" s="98" t="str">
        <x:f>IF($B90="","",IFERROR(IF(INDEX('Leads'!$AE$8:$AE$107,MATCH($B90,'Leads'!$A$8:$A$107,0))="","",INDEX('Leads'!$AE$8:$AE$107,MATCH($B90,'Leads'!$A$8:$A$107,0))),""))</x:f>
      </x:c>
      <x:c r="O90" s="42" t="str">
        <x:f>IF($B90="","",IFERROR(IF(INDEX('Leads'!$AA$8:$AA$107,MATCH($B90,'Leads'!$A$8:$A$107,0))="","",INDEX('Leads'!$AA$8:$AA$107,MATCH($B90,'Leads'!$A$8:$A$107,0))),""))</x:f>
      </x:c>
      <x:c r="P90" s="42" t="str">
        <x:f>IF(AND($A90="",$B90="",$D90=""),"",IF(AND($Q90=1,$R90=1,OR($I90="Active",AND(ISNUMBER($K90),$L90&lt;&gt;""))),"ครบ",IF($A90="","ขาด Order ID; ","")&amp;IF(AND($A90&lt;&gt;"",COUNTIF('Orders_PO'!$A$8:$A$107,$A90)&gt;1),"Order ID ซ้ำ; ","")&amp;IF(COUNTIF('Leads'!$A$8:$A$107,$B90)&lt;&gt;1,"ตรวจรหัส Lead; ","")&amp;IF(AND($B90&lt;&gt;"",IFERROR(INDEX('Leads'!$BA$8:$BA$107,MATCH($B90,'Leads'!$A$8:$A$107,0)),0)&lt;&gt;1),"Lead ยังไม่นับผลจริง; ","")&amp;IF(OR($C90="",$D90="",NOT(ISNUMBER($E90))),"ขาดบริษัท/เลข PO/วันรับ; ","")&amp;IF($J90="","ขาดหลักฐาน PO; ","")&amp;IF(NOT(OR($I90="Active",$I90="Cancelled")),"เลือกสถานะ PO; ","")&amp;IF(COUNTIFS('Orders_PO'!$C$8:$C$107,$C90,'Orders_PO'!$D$8:$D$107,$D90)&gt;1,"PO/ผู้ออกซ้ำ; ","")&amp;IF(OR(NOT(ISNUMBER($F90)),$G90="",$H90="",$H90="ไม่ทราบ"),"ตรวจมูลค่า/สกุล/ฐาน VAT; ","")&amp;IF(AND($I90="Cancelled",OR(NOT(ISNUMBER($K90)),$L90="")),"ขาดวัน/เหตุผลยกเลิก; ","")))</x:f>
      </x:c>
      <x:c r="Q90" s="42" t="str">
        <x:f>IF(AND($A90="",$B90="",$D90=""),"",IF(AND($A90&lt;&gt;"",COUNTIF('Orders_PO'!$A$8:$A$107,$A90)=1,COUNTIF('Leads'!$A$8:$A$107,$B90)=1,$N90&lt;&gt;"",IFERROR(INDEX('Leads'!$BA$8:$BA$107,MATCH($B90,'Leads'!$A$8:$A$107,0)),0)=1,$C90&lt;&gt;"",$D90&lt;&gt;"",ISNUMBER($E90),$E90&gt;0,$J90&lt;&gt;"",OR($I90="Active",$I90="Cancelled"),COUNTIFS('Orders_PO'!$C$8:$C$107,$C90,'Orders_PO'!$D$8:$D$107,$D90)=1),1,0))</x:f>
      </x:c>
      <x:c r="R90" s="42" t="str">
        <x:f>IF($Q90="","",IF(AND($Q90=1,ISNUMBER($F90),$F90&gt;=0,$G90&lt;&gt;"",OR($H90="รวม VAT",$H90="ไม่รวม VAT")),1,0))</x:f>
      </x:c>
    </x:row>
    <x:row r="91" ht="30" customHeight="1">
      <x:c r="A91" s="96"/>
      <x:c r="B91" s="96"/>
      <x:c r="C91" s="36"/>
      <x:c r="D91" s="96"/>
      <x:c r="E91" s="82"/>
      <x:c r="F91" s="84"/>
      <x:c r="G91" s="36"/>
      <x:c r="H91" s="36"/>
      <x:c r="I91" s="36"/>
      <x:c r="J91" s="96"/>
      <x:c r="K91" s="82"/>
      <x:c r="L91" s="36"/>
      <x:c r="M91" s="36"/>
      <x:c r="N91" s="98" t="str">
        <x:f>IF($B91="","",IFERROR(IF(INDEX('Leads'!$AE$8:$AE$107,MATCH($B91,'Leads'!$A$8:$A$107,0))="","",INDEX('Leads'!$AE$8:$AE$107,MATCH($B91,'Leads'!$A$8:$A$107,0))),""))</x:f>
      </x:c>
      <x:c r="O91" s="42" t="str">
        <x:f>IF($B91="","",IFERROR(IF(INDEX('Leads'!$AA$8:$AA$107,MATCH($B91,'Leads'!$A$8:$A$107,0))="","",INDEX('Leads'!$AA$8:$AA$107,MATCH($B91,'Leads'!$A$8:$A$107,0))),""))</x:f>
      </x:c>
      <x:c r="P91" s="42" t="str">
        <x:f>IF(AND($A91="",$B91="",$D91=""),"",IF(AND($Q91=1,$R91=1,OR($I91="Active",AND(ISNUMBER($K91),$L91&lt;&gt;""))),"ครบ",IF($A91="","ขาด Order ID; ","")&amp;IF(AND($A91&lt;&gt;"",COUNTIF('Orders_PO'!$A$8:$A$107,$A91)&gt;1),"Order ID ซ้ำ; ","")&amp;IF(COUNTIF('Leads'!$A$8:$A$107,$B91)&lt;&gt;1,"ตรวจรหัส Lead; ","")&amp;IF(AND($B91&lt;&gt;"",IFERROR(INDEX('Leads'!$BA$8:$BA$107,MATCH($B91,'Leads'!$A$8:$A$107,0)),0)&lt;&gt;1),"Lead ยังไม่นับผลจริง; ","")&amp;IF(OR($C91="",$D91="",NOT(ISNUMBER($E91))),"ขาดบริษัท/เลข PO/วันรับ; ","")&amp;IF($J91="","ขาดหลักฐาน PO; ","")&amp;IF(NOT(OR($I91="Active",$I91="Cancelled")),"เลือกสถานะ PO; ","")&amp;IF(COUNTIFS('Orders_PO'!$C$8:$C$107,$C91,'Orders_PO'!$D$8:$D$107,$D91)&gt;1,"PO/ผู้ออกซ้ำ; ","")&amp;IF(OR(NOT(ISNUMBER($F91)),$G91="",$H91="",$H91="ไม่ทราบ"),"ตรวจมูลค่า/สกุล/ฐาน VAT; ","")&amp;IF(AND($I91="Cancelled",OR(NOT(ISNUMBER($K91)),$L91="")),"ขาดวัน/เหตุผลยกเลิก; ","")))</x:f>
      </x:c>
      <x:c r="Q91" s="42" t="str">
        <x:f>IF(AND($A91="",$B91="",$D91=""),"",IF(AND($A91&lt;&gt;"",COUNTIF('Orders_PO'!$A$8:$A$107,$A91)=1,COUNTIF('Leads'!$A$8:$A$107,$B91)=1,$N91&lt;&gt;"",IFERROR(INDEX('Leads'!$BA$8:$BA$107,MATCH($B91,'Leads'!$A$8:$A$107,0)),0)=1,$C91&lt;&gt;"",$D91&lt;&gt;"",ISNUMBER($E91),$E91&gt;0,$J91&lt;&gt;"",OR($I91="Active",$I91="Cancelled"),COUNTIFS('Orders_PO'!$C$8:$C$107,$C91,'Orders_PO'!$D$8:$D$107,$D91)=1),1,0))</x:f>
      </x:c>
      <x:c r="R91" s="42" t="str">
        <x:f>IF($Q91="","",IF(AND($Q91=1,ISNUMBER($F91),$F91&gt;=0,$G91&lt;&gt;"",OR($H91="รวม VAT",$H91="ไม่รวม VAT")),1,0))</x:f>
      </x:c>
    </x:row>
    <x:row r="92" ht="30" customHeight="1">
      <x:c r="A92" s="96"/>
      <x:c r="B92" s="96"/>
      <x:c r="C92" s="36"/>
      <x:c r="D92" s="96"/>
      <x:c r="E92" s="82"/>
      <x:c r="F92" s="84"/>
      <x:c r="G92" s="36"/>
      <x:c r="H92" s="36"/>
      <x:c r="I92" s="36"/>
      <x:c r="J92" s="96"/>
      <x:c r="K92" s="82"/>
      <x:c r="L92" s="36"/>
      <x:c r="M92" s="36"/>
      <x:c r="N92" s="98" t="str">
        <x:f>IF($B92="","",IFERROR(IF(INDEX('Leads'!$AE$8:$AE$107,MATCH($B92,'Leads'!$A$8:$A$107,0))="","",INDEX('Leads'!$AE$8:$AE$107,MATCH($B92,'Leads'!$A$8:$A$107,0))),""))</x:f>
      </x:c>
      <x:c r="O92" s="42" t="str">
        <x:f>IF($B92="","",IFERROR(IF(INDEX('Leads'!$AA$8:$AA$107,MATCH($B92,'Leads'!$A$8:$A$107,0))="","",INDEX('Leads'!$AA$8:$AA$107,MATCH($B92,'Leads'!$A$8:$A$107,0))),""))</x:f>
      </x:c>
      <x:c r="P92" s="42" t="str">
        <x:f>IF(AND($A92="",$B92="",$D92=""),"",IF(AND($Q92=1,$R92=1,OR($I92="Active",AND(ISNUMBER($K92),$L92&lt;&gt;""))),"ครบ",IF($A92="","ขาด Order ID; ","")&amp;IF(AND($A92&lt;&gt;"",COUNTIF('Orders_PO'!$A$8:$A$107,$A92)&gt;1),"Order ID ซ้ำ; ","")&amp;IF(COUNTIF('Leads'!$A$8:$A$107,$B92)&lt;&gt;1,"ตรวจรหัส Lead; ","")&amp;IF(AND($B92&lt;&gt;"",IFERROR(INDEX('Leads'!$BA$8:$BA$107,MATCH($B92,'Leads'!$A$8:$A$107,0)),0)&lt;&gt;1),"Lead ยังไม่นับผลจริง; ","")&amp;IF(OR($C92="",$D92="",NOT(ISNUMBER($E92))),"ขาดบริษัท/เลข PO/วันรับ; ","")&amp;IF($J92="","ขาดหลักฐาน PO; ","")&amp;IF(NOT(OR($I92="Active",$I92="Cancelled")),"เลือกสถานะ PO; ","")&amp;IF(COUNTIFS('Orders_PO'!$C$8:$C$107,$C92,'Orders_PO'!$D$8:$D$107,$D92)&gt;1,"PO/ผู้ออกซ้ำ; ","")&amp;IF(OR(NOT(ISNUMBER($F92)),$G92="",$H92="",$H92="ไม่ทราบ"),"ตรวจมูลค่า/สกุล/ฐาน VAT; ","")&amp;IF(AND($I92="Cancelled",OR(NOT(ISNUMBER($K92)),$L92="")),"ขาดวัน/เหตุผลยกเลิก; ","")))</x:f>
      </x:c>
      <x:c r="Q92" s="42" t="str">
        <x:f>IF(AND($A92="",$B92="",$D92=""),"",IF(AND($A92&lt;&gt;"",COUNTIF('Orders_PO'!$A$8:$A$107,$A92)=1,COUNTIF('Leads'!$A$8:$A$107,$B92)=1,$N92&lt;&gt;"",IFERROR(INDEX('Leads'!$BA$8:$BA$107,MATCH($B92,'Leads'!$A$8:$A$107,0)),0)=1,$C92&lt;&gt;"",$D92&lt;&gt;"",ISNUMBER($E92),$E92&gt;0,$J92&lt;&gt;"",OR($I92="Active",$I92="Cancelled"),COUNTIFS('Orders_PO'!$C$8:$C$107,$C92,'Orders_PO'!$D$8:$D$107,$D92)=1),1,0))</x:f>
      </x:c>
      <x:c r="R92" s="42" t="str">
        <x:f>IF($Q92="","",IF(AND($Q92=1,ISNUMBER($F92),$F92&gt;=0,$G92&lt;&gt;"",OR($H92="รวม VAT",$H92="ไม่รวม VAT")),1,0))</x:f>
      </x:c>
    </x:row>
    <x:row r="93" ht="30" customHeight="1">
      <x:c r="A93" s="96"/>
      <x:c r="B93" s="96"/>
      <x:c r="C93" s="36"/>
      <x:c r="D93" s="96"/>
      <x:c r="E93" s="82"/>
      <x:c r="F93" s="84"/>
      <x:c r="G93" s="36"/>
      <x:c r="H93" s="36"/>
      <x:c r="I93" s="36"/>
      <x:c r="J93" s="96"/>
      <x:c r="K93" s="82"/>
      <x:c r="L93" s="36"/>
      <x:c r="M93" s="36"/>
      <x:c r="N93" s="98" t="str">
        <x:f>IF($B93="","",IFERROR(IF(INDEX('Leads'!$AE$8:$AE$107,MATCH($B93,'Leads'!$A$8:$A$107,0))="","",INDEX('Leads'!$AE$8:$AE$107,MATCH($B93,'Leads'!$A$8:$A$107,0))),""))</x:f>
      </x:c>
      <x:c r="O93" s="42" t="str">
        <x:f>IF($B93="","",IFERROR(IF(INDEX('Leads'!$AA$8:$AA$107,MATCH($B93,'Leads'!$A$8:$A$107,0))="","",INDEX('Leads'!$AA$8:$AA$107,MATCH($B93,'Leads'!$A$8:$A$107,0))),""))</x:f>
      </x:c>
      <x:c r="P93" s="42" t="str">
        <x:f>IF(AND($A93="",$B93="",$D93=""),"",IF(AND($Q93=1,$R93=1,OR($I93="Active",AND(ISNUMBER($K93),$L93&lt;&gt;""))),"ครบ",IF($A93="","ขาด Order ID; ","")&amp;IF(AND($A93&lt;&gt;"",COUNTIF('Orders_PO'!$A$8:$A$107,$A93)&gt;1),"Order ID ซ้ำ; ","")&amp;IF(COUNTIF('Leads'!$A$8:$A$107,$B93)&lt;&gt;1,"ตรวจรหัส Lead; ","")&amp;IF(AND($B93&lt;&gt;"",IFERROR(INDEX('Leads'!$BA$8:$BA$107,MATCH($B93,'Leads'!$A$8:$A$107,0)),0)&lt;&gt;1),"Lead ยังไม่นับผลจริง; ","")&amp;IF(OR($C93="",$D93="",NOT(ISNUMBER($E93))),"ขาดบริษัท/เลข PO/วันรับ; ","")&amp;IF($J93="","ขาดหลักฐาน PO; ","")&amp;IF(NOT(OR($I93="Active",$I93="Cancelled")),"เลือกสถานะ PO; ","")&amp;IF(COUNTIFS('Orders_PO'!$C$8:$C$107,$C93,'Orders_PO'!$D$8:$D$107,$D93)&gt;1,"PO/ผู้ออกซ้ำ; ","")&amp;IF(OR(NOT(ISNUMBER($F93)),$G93="",$H93="",$H93="ไม่ทราบ"),"ตรวจมูลค่า/สกุล/ฐาน VAT; ","")&amp;IF(AND($I93="Cancelled",OR(NOT(ISNUMBER($K93)),$L93="")),"ขาดวัน/เหตุผลยกเลิก; ","")))</x:f>
      </x:c>
      <x:c r="Q93" s="42" t="str">
        <x:f>IF(AND($A93="",$B93="",$D93=""),"",IF(AND($A93&lt;&gt;"",COUNTIF('Orders_PO'!$A$8:$A$107,$A93)=1,COUNTIF('Leads'!$A$8:$A$107,$B93)=1,$N93&lt;&gt;"",IFERROR(INDEX('Leads'!$BA$8:$BA$107,MATCH($B93,'Leads'!$A$8:$A$107,0)),0)=1,$C93&lt;&gt;"",$D93&lt;&gt;"",ISNUMBER($E93),$E93&gt;0,$J93&lt;&gt;"",OR($I93="Active",$I93="Cancelled"),COUNTIFS('Orders_PO'!$C$8:$C$107,$C93,'Orders_PO'!$D$8:$D$107,$D93)=1),1,0))</x:f>
      </x:c>
      <x:c r="R93" s="42" t="str">
        <x:f>IF($Q93="","",IF(AND($Q93=1,ISNUMBER($F93),$F93&gt;=0,$G93&lt;&gt;"",OR($H93="รวม VAT",$H93="ไม่รวม VAT")),1,0))</x:f>
      </x:c>
    </x:row>
    <x:row r="94" ht="30" customHeight="1">
      <x:c r="A94" s="96"/>
      <x:c r="B94" s="96"/>
      <x:c r="C94" s="36"/>
      <x:c r="D94" s="96"/>
      <x:c r="E94" s="82"/>
      <x:c r="F94" s="84"/>
      <x:c r="G94" s="36"/>
      <x:c r="H94" s="36"/>
      <x:c r="I94" s="36"/>
      <x:c r="J94" s="96"/>
      <x:c r="K94" s="82"/>
      <x:c r="L94" s="36"/>
      <x:c r="M94" s="36"/>
      <x:c r="N94" s="98" t="str">
        <x:f>IF($B94="","",IFERROR(IF(INDEX('Leads'!$AE$8:$AE$107,MATCH($B94,'Leads'!$A$8:$A$107,0))="","",INDEX('Leads'!$AE$8:$AE$107,MATCH($B94,'Leads'!$A$8:$A$107,0))),""))</x:f>
      </x:c>
      <x:c r="O94" s="42" t="str">
        <x:f>IF($B94="","",IFERROR(IF(INDEX('Leads'!$AA$8:$AA$107,MATCH($B94,'Leads'!$A$8:$A$107,0))="","",INDEX('Leads'!$AA$8:$AA$107,MATCH($B94,'Leads'!$A$8:$A$107,0))),""))</x:f>
      </x:c>
      <x:c r="P94" s="42" t="str">
        <x:f>IF(AND($A94="",$B94="",$D94=""),"",IF(AND($Q94=1,$R94=1,OR($I94="Active",AND(ISNUMBER($K94),$L94&lt;&gt;""))),"ครบ",IF($A94="","ขาด Order ID; ","")&amp;IF(AND($A94&lt;&gt;"",COUNTIF('Orders_PO'!$A$8:$A$107,$A94)&gt;1),"Order ID ซ้ำ; ","")&amp;IF(COUNTIF('Leads'!$A$8:$A$107,$B94)&lt;&gt;1,"ตรวจรหัส Lead; ","")&amp;IF(AND($B94&lt;&gt;"",IFERROR(INDEX('Leads'!$BA$8:$BA$107,MATCH($B94,'Leads'!$A$8:$A$107,0)),0)&lt;&gt;1),"Lead ยังไม่นับผลจริง; ","")&amp;IF(OR($C94="",$D94="",NOT(ISNUMBER($E94))),"ขาดบริษัท/เลข PO/วันรับ; ","")&amp;IF($J94="","ขาดหลักฐาน PO; ","")&amp;IF(NOT(OR($I94="Active",$I94="Cancelled")),"เลือกสถานะ PO; ","")&amp;IF(COUNTIFS('Orders_PO'!$C$8:$C$107,$C94,'Orders_PO'!$D$8:$D$107,$D94)&gt;1,"PO/ผู้ออกซ้ำ; ","")&amp;IF(OR(NOT(ISNUMBER($F94)),$G94="",$H94="",$H94="ไม่ทราบ"),"ตรวจมูลค่า/สกุล/ฐาน VAT; ","")&amp;IF(AND($I94="Cancelled",OR(NOT(ISNUMBER($K94)),$L94="")),"ขาดวัน/เหตุผลยกเลิก; ","")))</x:f>
      </x:c>
      <x:c r="Q94" s="42" t="str">
        <x:f>IF(AND($A94="",$B94="",$D94=""),"",IF(AND($A94&lt;&gt;"",COUNTIF('Orders_PO'!$A$8:$A$107,$A94)=1,COUNTIF('Leads'!$A$8:$A$107,$B94)=1,$N94&lt;&gt;"",IFERROR(INDEX('Leads'!$BA$8:$BA$107,MATCH($B94,'Leads'!$A$8:$A$107,0)),0)=1,$C94&lt;&gt;"",$D94&lt;&gt;"",ISNUMBER($E94),$E94&gt;0,$J94&lt;&gt;"",OR($I94="Active",$I94="Cancelled"),COUNTIFS('Orders_PO'!$C$8:$C$107,$C94,'Orders_PO'!$D$8:$D$107,$D94)=1),1,0))</x:f>
      </x:c>
      <x:c r="R94" s="42" t="str">
        <x:f>IF($Q94="","",IF(AND($Q94=1,ISNUMBER($F94),$F94&gt;=0,$G94&lt;&gt;"",OR($H94="รวม VAT",$H94="ไม่รวม VAT")),1,0))</x:f>
      </x:c>
    </x:row>
    <x:row r="95" ht="30" customHeight="1">
      <x:c r="A95" s="96"/>
      <x:c r="B95" s="96"/>
      <x:c r="C95" s="36"/>
      <x:c r="D95" s="96"/>
      <x:c r="E95" s="82"/>
      <x:c r="F95" s="84"/>
      <x:c r="G95" s="36"/>
      <x:c r="H95" s="36"/>
      <x:c r="I95" s="36"/>
      <x:c r="J95" s="96"/>
      <x:c r="K95" s="82"/>
      <x:c r="L95" s="36"/>
      <x:c r="M95" s="36"/>
      <x:c r="N95" s="98" t="str">
        <x:f>IF($B95="","",IFERROR(IF(INDEX('Leads'!$AE$8:$AE$107,MATCH($B95,'Leads'!$A$8:$A$107,0))="","",INDEX('Leads'!$AE$8:$AE$107,MATCH($B95,'Leads'!$A$8:$A$107,0))),""))</x:f>
      </x:c>
      <x:c r="O95" s="42" t="str">
        <x:f>IF($B95="","",IFERROR(IF(INDEX('Leads'!$AA$8:$AA$107,MATCH($B95,'Leads'!$A$8:$A$107,0))="","",INDEX('Leads'!$AA$8:$AA$107,MATCH($B95,'Leads'!$A$8:$A$107,0))),""))</x:f>
      </x:c>
      <x:c r="P95" s="42" t="str">
        <x:f>IF(AND($A95="",$B95="",$D95=""),"",IF(AND($Q95=1,$R95=1,OR($I95="Active",AND(ISNUMBER($K95),$L95&lt;&gt;""))),"ครบ",IF($A95="","ขาด Order ID; ","")&amp;IF(AND($A95&lt;&gt;"",COUNTIF('Orders_PO'!$A$8:$A$107,$A95)&gt;1),"Order ID ซ้ำ; ","")&amp;IF(COUNTIF('Leads'!$A$8:$A$107,$B95)&lt;&gt;1,"ตรวจรหัส Lead; ","")&amp;IF(AND($B95&lt;&gt;"",IFERROR(INDEX('Leads'!$BA$8:$BA$107,MATCH($B95,'Leads'!$A$8:$A$107,0)),0)&lt;&gt;1),"Lead ยังไม่นับผลจริง; ","")&amp;IF(OR($C95="",$D95="",NOT(ISNUMBER($E95))),"ขาดบริษัท/เลข PO/วันรับ; ","")&amp;IF($J95="","ขาดหลักฐาน PO; ","")&amp;IF(NOT(OR($I95="Active",$I95="Cancelled")),"เลือกสถานะ PO; ","")&amp;IF(COUNTIFS('Orders_PO'!$C$8:$C$107,$C95,'Orders_PO'!$D$8:$D$107,$D95)&gt;1,"PO/ผู้ออกซ้ำ; ","")&amp;IF(OR(NOT(ISNUMBER($F95)),$G95="",$H95="",$H95="ไม่ทราบ"),"ตรวจมูลค่า/สกุล/ฐาน VAT; ","")&amp;IF(AND($I95="Cancelled",OR(NOT(ISNUMBER($K95)),$L95="")),"ขาดวัน/เหตุผลยกเลิก; ","")))</x:f>
      </x:c>
      <x:c r="Q95" s="42" t="str">
        <x:f>IF(AND($A95="",$B95="",$D95=""),"",IF(AND($A95&lt;&gt;"",COUNTIF('Orders_PO'!$A$8:$A$107,$A95)=1,COUNTIF('Leads'!$A$8:$A$107,$B95)=1,$N95&lt;&gt;"",IFERROR(INDEX('Leads'!$BA$8:$BA$107,MATCH($B95,'Leads'!$A$8:$A$107,0)),0)=1,$C95&lt;&gt;"",$D95&lt;&gt;"",ISNUMBER($E95),$E95&gt;0,$J95&lt;&gt;"",OR($I95="Active",$I95="Cancelled"),COUNTIFS('Orders_PO'!$C$8:$C$107,$C95,'Orders_PO'!$D$8:$D$107,$D95)=1),1,0))</x:f>
      </x:c>
      <x:c r="R95" s="42" t="str">
        <x:f>IF($Q95="","",IF(AND($Q95=1,ISNUMBER($F95),$F95&gt;=0,$G95&lt;&gt;"",OR($H95="รวม VAT",$H95="ไม่รวม VAT")),1,0))</x:f>
      </x:c>
    </x:row>
    <x:row r="96" ht="30" customHeight="1">
      <x:c r="A96" s="96"/>
      <x:c r="B96" s="96"/>
      <x:c r="C96" s="36"/>
      <x:c r="D96" s="96"/>
      <x:c r="E96" s="82"/>
      <x:c r="F96" s="84"/>
      <x:c r="G96" s="36"/>
      <x:c r="H96" s="36"/>
      <x:c r="I96" s="36"/>
      <x:c r="J96" s="96"/>
      <x:c r="K96" s="82"/>
      <x:c r="L96" s="36"/>
      <x:c r="M96" s="36"/>
      <x:c r="N96" s="98" t="str">
        <x:f>IF($B96="","",IFERROR(IF(INDEX('Leads'!$AE$8:$AE$107,MATCH($B96,'Leads'!$A$8:$A$107,0))="","",INDEX('Leads'!$AE$8:$AE$107,MATCH($B96,'Leads'!$A$8:$A$107,0))),""))</x:f>
      </x:c>
      <x:c r="O96" s="42" t="str">
        <x:f>IF($B96="","",IFERROR(IF(INDEX('Leads'!$AA$8:$AA$107,MATCH($B96,'Leads'!$A$8:$A$107,0))="","",INDEX('Leads'!$AA$8:$AA$107,MATCH($B96,'Leads'!$A$8:$A$107,0))),""))</x:f>
      </x:c>
      <x:c r="P96" s="42" t="str">
        <x:f>IF(AND($A96="",$B96="",$D96=""),"",IF(AND($Q96=1,$R96=1,OR($I96="Active",AND(ISNUMBER($K96),$L96&lt;&gt;""))),"ครบ",IF($A96="","ขาด Order ID; ","")&amp;IF(AND($A96&lt;&gt;"",COUNTIF('Orders_PO'!$A$8:$A$107,$A96)&gt;1),"Order ID ซ้ำ; ","")&amp;IF(COUNTIF('Leads'!$A$8:$A$107,$B96)&lt;&gt;1,"ตรวจรหัส Lead; ","")&amp;IF(AND($B96&lt;&gt;"",IFERROR(INDEX('Leads'!$BA$8:$BA$107,MATCH($B96,'Leads'!$A$8:$A$107,0)),0)&lt;&gt;1),"Lead ยังไม่นับผลจริง; ","")&amp;IF(OR($C96="",$D96="",NOT(ISNUMBER($E96))),"ขาดบริษัท/เลข PO/วันรับ; ","")&amp;IF($J96="","ขาดหลักฐาน PO; ","")&amp;IF(NOT(OR($I96="Active",$I96="Cancelled")),"เลือกสถานะ PO; ","")&amp;IF(COUNTIFS('Orders_PO'!$C$8:$C$107,$C96,'Orders_PO'!$D$8:$D$107,$D96)&gt;1,"PO/ผู้ออกซ้ำ; ","")&amp;IF(OR(NOT(ISNUMBER($F96)),$G96="",$H96="",$H96="ไม่ทราบ"),"ตรวจมูลค่า/สกุล/ฐาน VAT; ","")&amp;IF(AND($I96="Cancelled",OR(NOT(ISNUMBER($K96)),$L96="")),"ขาดวัน/เหตุผลยกเลิก; ","")))</x:f>
      </x:c>
      <x:c r="Q96" s="42" t="str">
        <x:f>IF(AND($A96="",$B96="",$D96=""),"",IF(AND($A96&lt;&gt;"",COUNTIF('Orders_PO'!$A$8:$A$107,$A96)=1,COUNTIF('Leads'!$A$8:$A$107,$B96)=1,$N96&lt;&gt;"",IFERROR(INDEX('Leads'!$BA$8:$BA$107,MATCH($B96,'Leads'!$A$8:$A$107,0)),0)=1,$C96&lt;&gt;"",$D96&lt;&gt;"",ISNUMBER($E96),$E96&gt;0,$J96&lt;&gt;"",OR($I96="Active",$I96="Cancelled"),COUNTIFS('Orders_PO'!$C$8:$C$107,$C96,'Orders_PO'!$D$8:$D$107,$D96)=1),1,0))</x:f>
      </x:c>
      <x:c r="R96" s="42" t="str">
        <x:f>IF($Q96="","",IF(AND($Q96=1,ISNUMBER($F96),$F96&gt;=0,$G96&lt;&gt;"",OR($H96="รวม VAT",$H96="ไม่รวม VAT")),1,0))</x:f>
      </x:c>
    </x:row>
    <x:row r="97" ht="30" customHeight="1">
      <x:c r="A97" s="96"/>
      <x:c r="B97" s="96"/>
      <x:c r="C97" s="36"/>
      <x:c r="D97" s="96"/>
      <x:c r="E97" s="82"/>
      <x:c r="F97" s="84"/>
      <x:c r="G97" s="36"/>
      <x:c r="H97" s="36"/>
      <x:c r="I97" s="36"/>
      <x:c r="J97" s="96"/>
      <x:c r="K97" s="82"/>
      <x:c r="L97" s="36"/>
      <x:c r="M97" s="36"/>
      <x:c r="N97" s="98" t="str">
        <x:f>IF($B97="","",IFERROR(IF(INDEX('Leads'!$AE$8:$AE$107,MATCH($B97,'Leads'!$A$8:$A$107,0))="","",INDEX('Leads'!$AE$8:$AE$107,MATCH($B97,'Leads'!$A$8:$A$107,0))),""))</x:f>
      </x:c>
      <x:c r="O97" s="42" t="str">
        <x:f>IF($B97="","",IFERROR(IF(INDEX('Leads'!$AA$8:$AA$107,MATCH($B97,'Leads'!$A$8:$A$107,0))="","",INDEX('Leads'!$AA$8:$AA$107,MATCH($B97,'Leads'!$A$8:$A$107,0))),""))</x:f>
      </x:c>
      <x:c r="P97" s="42" t="str">
        <x:f>IF(AND($A97="",$B97="",$D97=""),"",IF(AND($Q97=1,$R97=1,OR($I97="Active",AND(ISNUMBER($K97),$L97&lt;&gt;""))),"ครบ",IF($A97="","ขาด Order ID; ","")&amp;IF(AND($A97&lt;&gt;"",COUNTIF('Orders_PO'!$A$8:$A$107,$A97)&gt;1),"Order ID ซ้ำ; ","")&amp;IF(COUNTIF('Leads'!$A$8:$A$107,$B97)&lt;&gt;1,"ตรวจรหัส Lead; ","")&amp;IF(AND($B97&lt;&gt;"",IFERROR(INDEX('Leads'!$BA$8:$BA$107,MATCH($B97,'Leads'!$A$8:$A$107,0)),0)&lt;&gt;1),"Lead ยังไม่นับผลจริง; ","")&amp;IF(OR($C97="",$D97="",NOT(ISNUMBER($E97))),"ขาดบริษัท/เลข PO/วันรับ; ","")&amp;IF($J97="","ขาดหลักฐาน PO; ","")&amp;IF(NOT(OR($I97="Active",$I97="Cancelled")),"เลือกสถานะ PO; ","")&amp;IF(COUNTIFS('Orders_PO'!$C$8:$C$107,$C97,'Orders_PO'!$D$8:$D$107,$D97)&gt;1,"PO/ผู้ออกซ้ำ; ","")&amp;IF(OR(NOT(ISNUMBER($F97)),$G97="",$H97="",$H97="ไม่ทราบ"),"ตรวจมูลค่า/สกุล/ฐาน VAT; ","")&amp;IF(AND($I97="Cancelled",OR(NOT(ISNUMBER($K97)),$L97="")),"ขาดวัน/เหตุผลยกเลิก; ","")))</x:f>
      </x:c>
      <x:c r="Q97" s="42" t="str">
        <x:f>IF(AND($A97="",$B97="",$D97=""),"",IF(AND($A97&lt;&gt;"",COUNTIF('Orders_PO'!$A$8:$A$107,$A97)=1,COUNTIF('Leads'!$A$8:$A$107,$B97)=1,$N97&lt;&gt;"",IFERROR(INDEX('Leads'!$BA$8:$BA$107,MATCH($B97,'Leads'!$A$8:$A$107,0)),0)=1,$C97&lt;&gt;"",$D97&lt;&gt;"",ISNUMBER($E97),$E97&gt;0,$J97&lt;&gt;"",OR($I97="Active",$I97="Cancelled"),COUNTIFS('Orders_PO'!$C$8:$C$107,$C97,'Orders_PO'!$D$8:$D$107,$D97)=1),1,0))</x:f>
      </x:c>
      <x:c r="R97" s="42" t="str">
        <x:f>IF($Q97="","",IF(AND($Q97=1,ISNUMBER($F97),$F97&gt;=0,$G97&lt;&gt;"",OR($H97="รวม VAT",$H97="ไม่รวม VAT")),1,0))</x:f>
      </x:c>
    </x:row>
    <x:row r="98" ht="30" customHeight="1">
      <x:c r="A98" s="96"/>
      <x:c r="B98" s="96"/>
      <x:c r="C98" s="36"/>
      <x:c r="D98" s="96"/>
      <x:c r="E98" s="82"/>
      <x:c r="F98" s="84"/>
      <x:c r="G98" s="36"/>
      <x:c r="H98" s="36"/>
      <x:c r="I98" s="36"/>
      <x:c r="J98" s="96"/>
      <x:c r="K98" s="82"/>
      <x:c r="L98" s="36"/>
      <x:c r="M98" s="36"/>
      <x:c r="N98" s="98" t="str">
        <x:f>IF($B98="","",IFERROR(IF(INDEX('Leads'!$AE$8:$AE$107,MATCH($B98,'Leads'!$A$8:$A$107,0))="","",INDEX('Leads'!$AE$8:$AE$107,MATCH($B98,'Leads'!$A$8:$A$107,0))),""))</x:f>
      </x:c>
      <x:c r="O98" s="42" t="str">
        <x:f>IF($B98="","",IFERROR(IF(INDEX('Leads'!$AA$8:$AA$107,MATCH($B98,'Leads'!$A$8:$A$107,0))="","",INDEX('Leads'!$AA$8:$AA$107,MATCH($B98,'Leads'!$A$8:$A$107,0))),""))</x:f>
      </x:c>
      <x:c r="P98" s="42" t="str">
        <x:f>IF(AND($A98="",$B98="",$D98=""),"",IF(AND($Q98=1,$R98=1,OR($I98="Active",AND(ISNUMBER($K98),$L98&lt;&gt;""))),"ครบ",IF($A98="","ขาด Order ID; ","")&amp;IF(AND($A98&lt;&gt;"",COUNTIF('Orders_PO'!$A$8:$A$107,$A98)&gt;1),"Order ID ซ้ำ; ","")&amp;IF(COUNTIF('Leads'!$A$8:$A$107,$B98)&lt;&gt;1,"ตรวจรหัส Lead; ","")&amp;IF(AND($B98&lt;&gt;"",IFERROR(INDEX('Leads'!$BA$8:$BA$107,MATCH($B98,'Leads'!$A$8:$A$107,0)),0)&lt;&gt;1),"Lead ยังไม่นับผลจริง; ","")&amp;IF(OR($C98="",$D98="",NOT(ISNUMBER($E98))),"ขาดบริษัท/เลข PO/วันรับ; ","")&amp;IF($J98="","ขาดหลักฐาน PO; ","")&amp;IF(NOT(OR($I98="Active",$I98="Cancelled")),"เลือกสถานะ PO; ","")&amp;IF(COUNTIFS('Orders_PO'!$C$8:$C$107,$C98,'Orders_PO'!$D$8:$D$107,$D98)&gt;1,"PO/ผู้ออกซ้ำ; ","")&amp;IF(OR(NOT(ISNUMBER($F98)),$G98="",$H98="",$H98="ไม่ทราบ"),"ตรวจมูลค่า/สกุล/ฐาน VAT; ","")&amp;IF(AND($I98="Cancelled",OR(NOT(ISNUMBER($K98)),$L98="")),"ขาดวัน/เหตุผลยกเลิก; ","")))</x:f>
      </x:c>
      <x:c r="Q98" s="42" t="str">
        <x:f>IF(AND($A98="",$B98="",$D98=""),"",IF(AND($A98&lt;&gt;"",COUNTIF('Orders_PO'!$A$8:$A$107,$A98)=1,COUNTIF('Leads'!$A$8:$A$107,$B98)=1,$N98&lt;&gt;"",IFERROR(INDEX('Leads'!$BA$8:$BA$107,MATCH($B98,'Leads'!$A$8:$A$107,0)),0)=1,$C98&lt;&gt;"",$D98&lt;&gt;"",ISNUMBER($E98),$E98&gt;0,$J98&lt;&gt;"",OR($I98="Active",$I98="Cancelled"),COUNTIFS('Orders_PO'!$C$8:$C$107,$C98,'Orders_PO'!$D$8:$D$107,$D98)=1),1,0))</x:f>
      </x:c>
      <x:c r="R98" s="42" t="str">
        <x:f>IF($Q98="","",IF(AND($Q98=1,ISNUMBER($F98),$F98&gt;=0,$G98&lt;&gt;"",OR($H98="รวม VAT",$H98="ไม่รวม VAT")),1,0))</x:f>
      </x:c>
    </x:row>
    <x:row r="99" ht="30" customHeight="1">
      <x:c r="A99" s="96"/>
      <x:c r="B99" s="96"/>
      <x:c r="C99" s="36"/>
      <x:c r="D99" s="96"/>
      <x:c r="E99" s="82"/>
      <x:c r="F99" s="84"/>
      <x:c r="G99" s="36"/>
      <x:c r="H99" s="36"/>
      <x:c r="I99" s="36"/>
      <x:c r="J99" s="96"/>
      <x:c r="K99" s="82"/>
      <x:c r="L99" s="36"/>
      <x:c r="M99" s="36"/>
      <x:c r="N99" s="98" t="str">
        <x:f>IF($B99="","",IFERROR(IF(INDEX('Leads'!$AE$8:$AE$107,MATCH($B99,'Leads'!$A$8:$A$107,0))="","",INDEX('Leads'!$AE$8:$AE$107,MATCH($B99,'Leads'!$A$8:$A$107,0))),""))</x:f>
      </x:c>
      <x:c r="O99" s="42" t="str">
        <x:f>IF($B99="","",IFERROR(IF(INDEX('Leads'!$AA$8:$AA$107,MATCH($B99,'Leads'!$A$8:$A$107,0))="","",INDEX('Leads'!$AA$8:$AA$107,MATCH($B99,'Leads'!$A$8:$A$107,0))),""))</x:f>
      </x:c>
      <x:c r="P99" s="42" t="str">
        <x:f>IF(AND($A99="",$B99="",$D99=""),"",IF(AND($Q99=1,$R99=1,OR($I99="Active",AND(ISNUMBER($K99),$L99&lt;&gt;""))),"ครบ",IF($A99="","ขาด Order ID; ","")&amp;IF(AND($A99&lt;&gt;"",COUNTIF('Orders_PO'!$A$8:$A$107,$A99)&gt;1),"Order ID ซ้ำ; ","")&amp;IF(COUNTIF('Leads'!$A$8:$A$107,$B99)&lt;&gt;1,"ตรวจรหัส Lead; ","")&amp;IF(AND($B99&lt;&gt;"",IFERROR(INDEX('Leads'!$BA$8:$BA$107,MATCH($B99,'Leads'!$A$8:$A$107,0)),0)&lt;&gt;1),"Lead ยังไม่นับผลจริง; ","")&amp;IF(OR($C99="",$D99="",NOT(ISNUMBER($E99))),"ขาดบริษัท/เลข PO/วันรับ; ","")&amp;IF($J99="","ขาดหลักฐาน PO; ","")&amp;IF(NOT(OR($I99="Active",$I99="Cancelled")),"เลือกสถานะ PO; ","")&amp;IF(COUNTIFS('Orders_PO'!$C$8:$C$107,$C99,'Orders_PO'!$D$8:$D$107,$D99)&gt;1,"PO/ผู้ออกซ้ำ; ","")&amp;IF(OR(NOT(ISNUMBER($F99)),$G99="",$H99="",$H99="ไม่ทราบ"),"ตรวจมูลค่า/สกุล/ฐาน VAT; ","")&amp;IF(AND($I99="Cancelled",OR(NOT(ISNUMBER($K99)),$L99="")),"ขาดวัน/เหตุผลยกเลิก; ","")))</x:f>
      </x:c>
      <x:c r="Q99" s="42" t="str">
        <x:f>IF(AND($A99="",$B99="",$D99=""),"",IF(AND($A99&lt;&gt;"",COUNTIF('Orders_PO'!$A$8:$A$107,$A99)=1,COUNTIF('Leads'!$A$8:$A$107,$B99)=1,$N99&lt;&gt;"",IFERROR(INDEX('Leads'!$BA$8:$BA$107,MATCH($B99,'Leads'!$A$8:$A$107,0)),0)=1,$C99&lt;&gt;"",$D99&lt;&gt;"",ISNUMBER($E99),$E99&gt;0,$J99&lt;&gt;"",OR($I99="Active",$I99="Cancelled"),COUNTIFS('Orders_PO'!$C$8:$C$107,$C99,'Orders_PO'!$D$8:$D$107,$D99)=1),1,0))</x:f>
      </x:c>
      <x:c r="R99" s="42" t="str">
        <x:f>IF($Q99="","",IF(AND($Q99=1,ISNUMBER($F99),$F99&gt;=0,$G99&lt;&gt;"",OR($H99="รวม VAT",$H99="ไม่รวม VAT")),1,0))</x:f>
      </x:c>
    </x:row>
    <x:row r="100" ht="30" customHeight="1">
      <x:c r="A100" s="96"/>
      <x:c r="B100" s="96"/>
      <x:c r="C100" s="36"/>
      <x:c r="D100" s="96"/>
      <x:c r="E100" s="82"/>
      <x:c r="F100" s="84"/>
      <x:c r="G100" s="36"/>
      <x:c r="H100" s="36"/>
      <x:c r="I100" s="36"/>
      <x:c r="J100" s="96"/>
      <x:c r="K100" s="82"/>
      <x:c r="L100" s="36"/>
      <x:c r="M100" s="36"/>
      <x:c r="N100" s="98" t="str">
        <x:f>IF($B100="","",IFERROR(IF(INDEX('Leads'!$AE$8:$AE$107,MATCH($B100,'Leads'!$A$8:$A$107,0))="","",INDEX('Leads'!$AE$8:$AE$107,MATCH($B100,'Leads'!$A$8:$A$107,0))),""))</x:f>
      </x:c>
      <x:c r="O100" s="42" t="str">
        <x:f>IF($B100="","",IFERROR(IF(INDEX('Leads'!$AA$8:$AA$107,MATCH($B100,'Leads'!$A$8:$A$107,0))="","",INDEX('Leads'!$AA$8:$AA$107,MATCH($B100,'Leads'!$A$8:$A$107,0))),""))</x:f>
      </x:c>
      <x:c r="P100" s="42" t="str">
        <x:f>IF(AND($A100="",$B100="",$D100=""),"",IF(AND($Q100=1,$R100=1,OR($I100="Active",AND(ISNUMBER($K100),$L100&lt;&gt;""))),"ครบ",IF($A100="","ขาด Order ID; ","")&amp;IF(AND($A100&lt;&gt;"",COUNTIF('Orders_PO'!$A$8:$A$107,$A100)&gt;1),"Order ID ซ้ำ; ","")&amp;IF(COUNTIF('Leads'!$A$8:$A$107,$B100)&lt;&gt;1,"ตรวจรหัส Lead; ","")&amp;IF(AND($B100&lt;&gt;"",IFERROR(INDEX('Leads'!$BA$8:$BA$107,MATCH($B100,'Leads'!$A$8:$A$107,0)),0)&lt;&gt;1),"Lead ยังไม่นับผลจริง; ","")&amp;IF(OR($C100="",$D100="",NOT(ISNUMBER($E100))),"ขาดบริษัท/เลข PO/วันรับ; ","")&amp;IF($J100="","ขาดหลักฐาน PO; ","")&amp;IF(NOT(OR($I100="Active",$I100="Cancelled")),"เลือกสถานะ PO; ","")&amp;IF(COUNTIFS('Orders_PO'!$C$8:$C$107,$C100,'Orders_PO'!$D$8:$D$107,$D100)&gt;1,"PO/ผู้ออกซ้ำ; ","")&amp;IF(OR(NOT(ISNUMBER($F100)),$G100="",$H100="",$H100="ไม่ทราบ"),"ตรวจมูลค่า/สกุล/ฐาน VAT; ","")&amp;IF(AND($I100="Cancelled",OR(NOT(ISNUMBER($K100)),$L100="")),"ขาดวัน/เหตุผลยกเลิก; ","")))</x:f>
      </x:c>
      <x:c r="Q100" s="42" t="str">
        <x:f>IF(AND($A100="",$B100="",$D100=""),"",IF(AND($A100&lt;&gt;"",COUNTIF('Orders_PO'!$A$8:$A$107,$A100)=1,COUNTIF('Leads'!$A$8:$A$107,$B100)=1,$N100&lt;&gt;"",IFERROR(INDEX('Leads'!$BA$8:$BA$107,MATCH($B100,'Leads'!$A$8:$A$107,0)),0)=1,$C100&lt;&gt;"",$D100&lt;&gt;"",ISNUMBER($E100),$E100&gt;0,$J100&lt;&gt;"",OR($I100="Active",$I100="Cancelled"),COUNTIFS('Orders_PO'!$C$8:$C$107,$C100,'Orders_PO'!$D$8:$D$107,$D100)=1),1,0))</x:f>
      </x:c>
      <x:c r="R100" s="42" t="str">
        <x:f>IF($Q100="","",IF(AND($Q100=1,ISNUMBER($F100),$F100&gt;=0,$G100&lt;&gt;"",OR($H100="รวม VAT",$H100="ไม่รวม VAT")),1,0))</x:f>
      </x:c>
    </x:row>
    <x:row r="101" ht="30" customHeight="1">
      <x:c r="A101" s="96"/>
      <x:c r="B101" s="96"/>
      <x:c r="C101" s="36"/>
      <x:c r="D101" s="96"/>
      <x:c r="E101" s="82"/>
      <x:c r="F101" s="84"/>
      <x:c r="G101" s="36"/>
      <x:c r="H101" s="36"/>
      <x:c r="I101" s="36"/>
      <x:c r="J101" s="96"/>
      <x:c r="K101" s="82"/>
      <x:c r="L101" s="36"/>
      <x:c r="M101" s="36"/>
      <x:c r="N101" s="98" t="str">
        <x:f>IF($B101="","",IFERROR(IF(INDEX('Leads'!$AE$8:$AE$107,MATCH($B101,'Leads'!$A$8:$A$107,0))="","",INDEX('Leads'!$AE$8:$AE$107,MATCH($B101,'Leads'!$A$8:$A$107,0))),""))</x:f>
      </x:c>
      <x:c r="O101" s="42" t="str">
        <x:f>IF($B101="","",IFERROR(IF(INDEX('Leads'!$AA$8:$AA$107,MATCH($B101,'Leads'!$A$8:$A$107,0))="","",INDEX('Leads'!$AA$8:$AA$107,MATCH($B101,'Leads'!$A$8:$A$107,0))),""))</x:f>
      </x:c>
      <x:c r="P101" s="42" t="str">
        <x:f>IF(AND($A101="",$B101="",$D101=""),"",IF(AND($Q101=1,$R101=1,OR($I101="Active",AND(ISNUMBER($K101),$L101&lt;&gt;""))),"ครบ",IF($A101="","ขาด Order ID; ","")&amp;IF(AND($A101&lt;&gt;"",COUNTIF('Orders_PO'!$A$8:$A$107,$A101)&gt;1),"Order ID ซ้ำ; ","")&amp;IF(COUNTIF('Leads'!$A$8:$A$107,$B101)&lt;&gt;1,"ตรวจรหัส Lead; ","")&amp;IF(AND($B101&lt;&gt;"",IFERROR(INDEX('Leads'!$BA$8:$BA$107,MATCH($B101,'Leads'!$A$8:$A$107,0)),0)&lt;&gt;1),"Lead ยังไม่นับผลจริง; ","")&amp;IF(OR($C101="",$D101="",NOT(ISNUMBER($E101))),"ขาดบริษัท/เลข PO/วันรับ; ","")&amp;IF($J101="","ขาดหลักฐาน PO; ","")&amp;IF(NOT(OR($I101="Active",$I101="Cancelled")),"เลือกสถานะ PO; ","")&amp;IF(COUNTIFS('Orders_PO'!$C$8:$C$107,$C101,'Orders_PO'!$D$8:$D$107,$D101)&gt;1,"PO/ผู้ออกซ้ำ; ","")&amp;IF(OR(NOT(ISNUMBER($F101)),$G101="",$H101="",$H101="ไม่ทราบ"),"ตรวจมูลค่า/สกุล/ฐาน VAT; ","")&amp;IF(AND($I101="Cancelled",OR(NOT(ISNUMBER($K101)),$L101="")),"ขาดวัน/เหตุผลยกเลิก; ","")))</x:f>
      </x:c>
      <x:c r="Q101" s="42" t="str">
        <x:f>IF(AND($A101="",$B101="",$D101=""),"",IF(AND($A101&lt;&gt;"",COUNTIF('Orders_PO'!$A$8:$A$107,$A101)=1,COUNTIF('Leads'!$A$8:$A$107,$B101)=1,$N101&lt;&gt;"",IFERROR(INDEX('Leads'!$BA$8:$BA$107,MATCH($B101,'Leads'!$A$8:$A$107,0)),0)=1,$C101&lt;&gt;"",$D101&lt;&gt;"",ISNUMBER($E101),$E101&gt;0,$J101&lt;&gt;"",OR($I101="Active",$I101="Cancelled"),COUNTIFS('Orders_PO'!$C$8:$C$107,$C101,'Orders_PO'!$D$8:$D$107,$D101)=1),1,0))</x:f>
      </x:c>
      <x:c r="R101" s="42" t="str">
        <x:f>IF($Q101="","",IF(AND($Q101=1,ISNUMBER($F101),$F101&gt;=0,$G101&lt;&gt;"",OR($H101="รวม VAT",$H101="ไม่รวม VAT")),1,0))</x:f>
      </x:c>
    </x:row>
    <x:row r="102" ht="30" customHeight="1">
      <x:c r="A102" s="96"/>
      <x:c r="B102" s="96"/>
      <x:c r="C102" s="36"/>
      <x:c r="D102" s="96"/>
      <x:c r="E102" s="82"/>
      <x:c r="F102" s="84"/>
      <x:c r="G102" s="36"/>
      <x:c r="H102" s="36"/>
      <x:c r="I102" s="36"/>
      <x:c r="J102" s="96"/>
      <x:c r="K102" s="82"/>
      <x:c r="L102" s="36"/>
      <x:c r="M102" s="36"/>
      <x:c r="N102" s="98" t="str">
        <x:f>IF($B102="","",IFERROR(IF(INDEX('Leads'!$AE$8:$AE$107,MATCH($B102,'Leads'!$A$8:$A$107,0))="","",INDEX('Leads'!$AE$8:$AE$107,MATCH($B102,'Leads'!$A$8:$A$107,0))),""))</x:f>
      </x:c>
      <x:c r="O102" s="42" t="str">
        <x:f>IF($B102="","",IFERROR(IF(INDEX('Leads'!$AA$8:$AA$107,MATCH($B102,'Leads'!$A$8:$A$107,0))="","",INDEX('Leads'!$AA$8:$AA$107,MATCH($B102,'Leads'!$A$8:$A$107,0))),""))</x:f>
      </x:c>
      <x:c r="P102" s="42" t="str">
        <x:f>IF(AND($A102="",$B102="",$D102=""),"",IF(AND($Q102=1,$R102=1,OR($I102="Active",AND(ISNUMBER($K102),$L102&lt;&gt;""))),"ครบ",IF($A102="","ขาด Order ID; ","")&amp;IF(AND($A102&lt;&gt;"",COUNTIF('Orders_PO'!$A$8:$A$107,$A102)&gt;1),"Order ID ซ้ำ; ","")&amp;IF(COUNTIF('Leads'!$A$8:$A$107,$B102)&lt;&gt;1,"ตรวจรหัส Lead; ","")&amp;IF(AND($B102&lt;&gt;"",IFERROR(INDEX('Leads'!$BA$8:$BA$107,MATCH($B102,'Leads'!$A$8:$A$107,0)),0)&lt;&gt;1),"Lead ยังไม่นับผลจริง; ","")&amp;IF(OR($C102="",$D102="",NOT(ISNUMBER($E102))),"ขาดบริษัท/เลข PO/วันรับ; ","")&amp;IF($J102="","ขาดหลักฐาน PO; ","")&amp;IF(NOT(OR($I102="Active",$I102="Cancelled")),"เลือกสถานะ PO; ","")&amp;IF(COUNTIFS('Orders_PO'!$C$8:$C$107,$C102,'Orders_PO'!$D$8:$D$107,$D102)&gt;1,"PO/ผู้ออกซ้ำ; ","")&amp;IF(OR(NOT(ISNUMBER($F102)),$G102="",$H102="",$H102="ไม่ทราบ"),"ตรวจมูลค่า/สกุล/ฐาน VAT; ","")&amp;IF(AND($I102="Cancelled",OR(NOT(ISNUMBER($K102)),$L102="")),"ขาดวัน/เหตุผลยกเลิก; ","")))</x:f>
      </x:c>
      <x:c r="Q102" s="42" t="str">
        <x:f>IF(AND($A102="",$B102="",$D102=""),"",IF(AND($A102&lt;&gt;"",COUNTIF('Orders_PO'!$A$8:$A$107,$A102)=1,COUNTIF('Leads'!$A$8:$A$107,$B102)=1,$N102&lt;&gt;"",IFERROR(INDEX('Leads'!$BA$8:$BA$107,MATCH($B102,'Leads'!$A$8:$A$107,0)),0)=1,$C102&lt;&gt;"",$D102&lt;&gt;"",ISNUMBER($E102),$E102&gt;0,$J102&lt;&gt;"",OR($I102="Active",$I102="Cancelled"),COUNTIFS('Orders_PO'!$C$8:$C$107,$C102,'Orders_PO'!$D$8:$D$107,$D102)=1),1,0))</x:f>
      </x:c>
      <x:c r="R102" s="42" t="str">
        <x:f>IF($Q102="","",IF(AND($Q102=1,ISNUMBER($F102),$F102&gt;=0,$G102&lt;&gt;"",OR($H102="รวม VAT",$H102="ไม่รวม VAT")),1,0))</x:f>
      </x:c>
    </x:row>
    <x:row r="103" ht="30" customHeight="1">
      <x:c r="A103" s="96"/>
      <x:c r="B103" s="96"/>
      <x:c r="C103" s="36"/>
      <x:c r="D103" s="96"/>
      <x:c r="E103" s="82"/>
      <x:c r="F103" s="84"/>
      <x:c r="G103" s="36"/>
      <x:c r="H103" s="36"/>
      <x:c r="I103" s="36"/>
      <x:c r="J103" s="96"/>
      <x:c r="K103" s="82"/>
      <x:c r="L103" s="36"/>
      <x:c r="M103" s="36"/>
      <x:c r="N103" s="98" t="str">
        <x:f>IF($B103="","",IFERROR(IF(INDEX('Leads'!$AE$8:$AE$107,MATCH($B103,'Leads'!$A$8:$A$107,0))="","",INDEX('Leads'!$AE$8:$AE$107,MATCH($B103,'Leads'!$A$8:$A$107,0))),""))</x:f>
      </x:c>
      <x:c r="O103" s="42" t="str">
        <x:f>IF($B103="","",IFERROR(IF(INDEX('Leads'!$AA$8:$AA$107,MATCH($B103,'Leads'!$A$8:$A$107,0))="","",INDEX('Leads'!$AA$8:$AA$107,MATCH($B103,'Leads'!$A$8:$A$107,0))),""))</x:f>
      </x:c>
      <x:c r="P103" s="42" t="str">
        <x:f>IF(AND($A103="",$B103="",$D103=""),"",IF(AND($Q103=1,$R103=1,OR($I103="Active",AND(ISNUMBER($K103),$L103&lt;&gt;""))),"ครบ",IF($A103="","ขาด Order ID; ","")&amp;IF(AND($A103&lt;&gt;"",COUNTIF('Orders_PO'!$A$8:$A$107,$A103)&gt;1),"Order ID ซ้ำ; ","")&amp;IF(COUNTIF('Leads'!$A$8:$A$107,$B103)&lt;&gt;1,"ตรวจรหัส Lead; ","")&amp;IF(AND($B103&lt;&gt;"",IFERROR(INDEX('Leads'!$BA$8:$BA$107,MATCH($B103,'Leads'!$A$8:$A$107,0)),0)&lt;&gt;1),"Lead ยังไม่นับผลจริง; ","")&amp;IF(OR($C103="",$D103="",NOT(ISNUMBER($E103))),"ขาดบริษัท/เลข PO/วันรับ; ","")&amp;IF($J103="","ขาดหลักฐาน PO; ","")&amp;IF(NOT(OR($I103="Active",$I103="Cancelled")),"เลือกสถานะ PO; ","")&amp;IF(COUNTIFS('Orders_PO'!$C$8:$C$107,$C103,'Orders_PO'!$D$8:$D$107,$D103)&gt;1,"PO/ผู้ออกซ้ำ; ","")&amp;IF(OR(NOT(ISNUMBER($F103)),$G103="",$H103="",$H103="ไม่ทราบ"),"ตรวจมูลค่า/สกุล/ฐาน VAT; ","")&amp;IF(AND($I103="Cancelled",OR(NOT(ISNUMBER($K103)),$L103="")),"ขาดวัน/เหตุผลยกเลิก; ","")))</x:f>
      </x:c>
      <x:c r="Q103" s="42" t="str">
        <x:f>IF(AND($A103="",$B103="",$D103=""),"",IF(AND($A103&lt;&gt;"",COUNTIF('Orders_PO'!$A$8:$A$107,$A103)=1,COUNTIF('Leads'!$A$8:$A$107,$B103)=1,$N103&lt;&gt;"",IFERROR(INDEX('Leads'!$BA$8:$BA$107,MATCH($B103,'Leads'!$A$8:$A$107,0)),0)=1,$C103&lt;&gt;"",$D103&lt;&gt;"",ISNUMBER($E103),$E103&gt;0,$J103&lt;&gt;"",OR($I103="Active",$I103="Cancelled"),COUNTIFS('Orders_PO'!$C$8:$C$107,$C103,'Orders_PO'!$D$8:$D$107,$D103)=1),1,0))</x:f>
      </x:c>
      <x:c r="R103" s="42" t="str">
        <x:f>IF($Q103="","",IF(AND($Q103=1,ISNUMBER($F103),$F103&gt;=0,$G103&lt;&gt;"",OR($H103="รวม VAT",$H103="ไม่รวม VAT")),1,0))</x:f>
      </x:c>
    </x:row>
    <x:row r="104" ht="30" customHeight="1">
      <x:c r="A104" s="96"/>
      <x:c r="B104" s="96"/>
      <x:c r="C104" s="36"/>
      <x:c r="D104" s="96"/>
      <x:c r="E104" s="82"/>
      <x:c r="F104" s="84"/>
      <x:c r="G104" s="36"/>
      <x:c r="H104" s="36"/>
      <x:c r="I104" s="36"/>
      <x:c r="J104" s="96"/>
      <x:c r="K104" s="82"/>
      <x:c r="L104" s="36"/>
      <x:c r="M104" s="36"/>
      <x:c r="N104" s="98" t="str">
        <x:f>IF($B104="","",IFERROR(IF(INDEX('Leads'!$AE$8:$AE$107,MATCH($B104,'Leads'!$A$8:$A$107,0))="","",INDEX('Leads'!$AE$8:$AE$107,MATCH($B104,'Leads'!$A$8:$A$107,0))),""))</x:f>
      </x:c>
      <x:c r="O104" s="42" t="str">
        <x:f>IF($B104="","",IFERROR(IF(INDEX('Leads'!$AA$8:$AA$107,MATCH($B104,'Leads'!$A$8:$A$107,0))="","",INDEX('Leads'!$AA$8:$AA$107,MATCH($B104,'Leads'!$A$8:$A$107,0))),""))</x:f>
      </x:c>
      <x:c r="P104" s="42" t="str">
        <x:f>IF(AND($A104="",$B104="",$D104=""),"",IF(AND($Q104=1,$R104=1,OR($I104="Active",AND(ISNUMBER($K104),$L104&lt;&gt;""))),"ครบ",IF($A104="","ขาด Order ID; ","")&amp;IF(AND($A104&lt;&gt;"",COUNTIF('Orders_PO'!$A$8:$A$107,$A104)&gt;1),"Order ID ซ้ำ; ","")&amp;IF(COUNTIF('Leads'!$A$8:$A$107,$B104)&lt;&gt;1,"ตรวจรหัส Lead; ","")&amp;IF(AND($B104&lt;&gt;"",IFERROR(INDEX('Leads'!$BA$8:$BA$107,MATCH($B104,'Leads'!$A$8:$A$107,0)),0)&lt;&gt;1),"Lead ยังไม่นับผลจริง; ","")&amp;IF(OR($C104="",$D104="",NOT(ISNUMBER($E104))),"ขาดบริษัท/เลข PO/วันรับ; ","")&amp;IF($J104="","ขาดหลักฐาน PO; ","")&amp;IF(NOT(OR($I104="Active",$I104="Cancelled")),"เลือกสถานะ PO; ","")&amp;IF(COUNTIFS('Orders_PO'!$C$8:$C$107,$C104,'Orders_PO'!$D$8:$D$107,$D104)&gt;1,"PO/ผู้ออกซ้ำ; ","")&amp;IF(OR(NOT(ISNUMBER($F104)),$G104="",$H104="",$H104="ไม่ทราบ"),"ตรวจมูลค่า/สกุล/ฐาน VAT; ","")&amp;IF(AND($I104="Cancelled",OR(NOT(ISNUMBER($K104)),$L104="")),"ขาดวัน/เหตุผลยกเลิก; ","")))</x:f>
      </x:c>
      <x:c r="Q104" s="42" t="str">
        <x:f>IF(AND($A104="",$B104="",$D104=""),"",IF(AND($A104&lt;&gt;"",COUNTIF('Orders_PO'!$A$8:$A$107,$A104)=1,COUNTIF('Leads'!$A$8:$A$107,$B104)=1,$N104&lt;&gt;"",IFERROR(INDEX('Leads'!$BA$8:$BA$107,MATCH($B104,'Leads'!$A$8:$A$107,0)),0)=1,$C104&lt;&gt;"",$D104&lt;&gt;"",ISNUMBER($E104),$E104&gt;0,$J104&lt;&gt;"",OR($I104="Active",$I104="Cancelled"),COUNTIFS('Orders_PO'!$C$8:$C$107,$C104,'Orders_PO'!$D$8:$D$107,$D104)=1),1,0))</x:f>
      </x:c>
      <x:c r="R104" s="42" t="str">
        <x:f>IF($Q104="","",IF(AND($Q104=1,ISNUMBER($F104),$F104&gt;=0,$G104&lt;&gt;"",OR($H104="รวม VAT",$H104="ไม่รวม VAT")),1,0))</x:f>
      </x:c>
    </x:row>
    <x:row r="105" ht="30" customHeight="1">
      <x:c r="A105" s="96"/>
      <x:c r="B105" s="96"/>
      <x:c r="C105" s="36"/>
      <x:c r="D105" s="96"/>
      <x:c r="E105" s="82"/>
      <x:c r="F105" s="84"/>
      <x:c r="G105" s="36"/>
      <x:c r="H105" s="36"/>
      <x:c r="I105" s="36"/>
      <x:c r="J105" s="96"/>
      <x:c r="K105" s="82"/>
      <x:c r="L105" s="36"/>
      <x:c r="M105" s="36"/>
      <x:c r="N105" s="98" t="str">
        <x:f>IF($B105="","",IFERROR(IF(INDEX('Leads'!$AE$8:$AE$107,MATCH($B105,'Leads'!$A$8:$A$107,0))="","",INDEX('Leads'!$AE$8:$AE$107,MATCH($B105,'Leads'!$A$8:$A$107,0))),""))</x:f>
      </x:c>
      <x:c r="O105" s="42" t="str">
        <x:f>IF($B105="","",IFERROR(IF(INDEX('Leads'!$AA$8:$AA$107,MATCH($B105,'Leads'!$A$8:$A$107,0))="","",INDEX('Leads'!$AA$8:$AA$107,MATCH($B105,'Leads'!$A$8:$A$107,0))),""))</x:f>
      </x:c>
      <x:c r="P105" s="42" t="str">
        <x:f>IF(AND($A105="",$B105="",$D105=""),"",IF(AND($Q105=1,$R105=1,OR($I105="Active",AND(ISNUMBER($K105),$L105&lt;&gt;""))),"ครบ",IF($A105="","ขาด Order ID; ","")&amp;IF(AND($A105&lt;&gt;"",COUNTIF('Orders_PO'!$A$8:$A$107,$A105)&gt;1),"Order ID ซ้ำ; ","")&amp;IF(COUNTIF('Leads'!$A$8:$A$107,$B105)&lt;&gt;1,"ตรวจรหัส Lead; ","")&amp;IF(AND($B105&lt;&gt;"",IFERROR(INDEX('Leads'!$BA$8:$BA$107,MATCH($B105,'Leads'!$A$8:$A$107,0)),0)&lt;&gt;1),"Lead ยังไม่นับผลจริง; ","")&amp;IF(OR($C105="",$D105="",NOT(ISNUMBER($E105))),"ขาดบริษัท/เลข PO/วันรับ; ","")&amp;IF($J105="","ขาดหลักฐาน PO; ","")&amp;IF(NOT(OR($I105="Active",$I105="Cancelled")),"เลือกสถานะ PO; ","")&amp;IF(COUNTIFS('Orders_PO'!$C$8:$C$107,$C105,'Orders_PO'!$D$8:$D$107,$D105)&gt;1,"PO/ผู้ออกซ้ำ; ","")&amp;IF(OR(NOT(ISNUMBER($F105)),$G105="",$H105="",$H105="ไม่ทราบ"),"ตรวจมูลค่า/สกุล/ฐาน VAT; ","")&amp;IF(AND($I105="Cancelled",OR(NOT(ISNUMBER($K105)),$L105="")),"ขาดวัน/เหตุผลยกเลิก; ","")))</x:f>
      </x:c>
      <x:c r="Q105" s="42" t="str">
        <x:f>IF(AND($A105="",$B105="",$D105=""),"",IF(AND($A105&lt;&gt;"",COUNTIF('Orders_PO'!$A$8:$A$107,$A105)=1,COUNTIF('Leads'!$A$8:$A$107,$B105)=1,$N105&lt;&gt;"",IFERROR(INDEX('Leads'!$BA$8:$BA$107,MATCH($B105,'Leads'!$A$8:$A$107,0)),0)=1,$C105&lt;&gt;"",$D105&lt;&gt;"",ISNUMBER($E105),$E105&gt;0,$J105&lt;&gt;"",OR($I105="Active",$I105="Cancelled"),COUNTIFS('Orders_PO'!$C$8:$C$107,$C105,'Orders_PO'!$D$8:$D$107,$D105)=1),1,0))</x:f>
      </x:c>
      <x:c r="R105" s="42" t="str">
        <x:f>IF($Q105="","",IF(AND($Q105=1,ISNUMBER($F105),$F105&gt;=0,$G105&lt;&gt;"",OR($H105="รวม VAT",$H105="ไม่รวม VAT")),1,0))</x:f>
      </x:c>
    </x:row>
    <x:row r="106" ht="30" customHeight="1">
      <x:c r="A106" s="96"/>
      <x:c r="B106" s="96"/>
      <x:c r="C106" s="36"/>
      <x:c r="D106" s="96"/>
      <x:c r="E106" s="82"/>
      <x:c r="F106" s="84"/>
      <x:c r="G106" s="36"/>
      <x:c r="H106" s="36"/>
      <x:c r="I106" s="36"/>
      <x:c r="J106" s="96"/>
      <x:c r="K106" s="82"/>
      <x:c r="L106" s="36"/>
      <x:c r="M106" s="36"/>
      <x:c r="N106" s="98" t="str">
        <x:f>IF($B106="","",IFERROR(IF(INDEX('Leads'!$AE$8:$AE$107,MATCH($B106,'Leads'!$A$8:$A$107,0))="","",INDEX('Leads'!$AE$8:$AE$107,MATCH($B106,'Leads'!$A$8:$A$107,0))),""))</x:f>
      </x:c>
      <x:c r="O106" s="42" t="str">
        <x:f>IF($B106="","",IFERROR(IF(INDEX('Leads'!$AA$8:$AA$107,MATCH($B106,'Leads'!$A$8:$A$107,0))="","",INDEX('Leads'!$AA$8:$AA$107,MATCH($B106,'Leads'!$A$8:$A$107,0))),""))</x:f>
      </x:c>
      <x:c r="P106" s="42" t="str">
        <x:f>IF(AND($A106="",$B106="",$D106=""),"",IF(AND($Q106=1,$R106=1,OR($I106="Active",AND(ISNUMBER($K106),$L106&lt;&gt;""))),"ครบ",IF($A106="","ขาด Order ID; ","")&amp;IF(AND($A106&lt;&gt;"",COUNTIF('Orders_PO'!$A$8:$A$107,$A106)&gt;1),"Order ID ซ้ำ; ","")&amp;IF(COUNTIF('Leads'!$A$8:$A$107,$B106)&lt;&gt;1,"ตรวจรหัส Lead; ","")&amp;IF(AND($B106&lt;&gt;"",IFERROR(INDEX('Leads'!$BA$8:$BA$107,MATCH($B106,'Leads'!$A$8:$A$107,0)),0)&lt;&gt;1),"Lead ยังไม่นับผลจริง; ","")&amp;IF(OR($C106="",$D106="",NOT(ISNUMBER($E106))),"ขาดบริษัท/เลข PO/วันรับ; ","")&amp;IF($J106="","ขาดหลักฐาน PO; ","")&amp;IF(NOT(OR($I106="Active",$I106="Cancelled")),"เลือกสถานะ PO; ","")&amp;IF(COUNTIFS('Orders_PO'!$C$8:$C$107,$C106,'Orders_PO'!$D$8:$D$107,$D106)&gt;1,"PO/ผู้ออกซ้ำ; ","")&amp;IF(OR(NOT(ISNUMBER($F106)),$G106="",$H106="",$H106="ไม่ทราบ"),"ตรวจมูลค่า/สกุล/ฐาน VAT; ","")&amp;IF(AND($I106="Cancelled",OR(NOT(ISNUMBER($K106)),$L106="")),"ขาดวัน/เหตุผลยกเลิก; ","")))</x:f>
      </x:c>
      <x:c r="Q106" s="42" t="str">
        <x:f>IF(AND($A106="",$B106="",$D106=""),"",IF(AND($A106&lt;&gt;"",COUNTIF('Orders_PO'!$A$8:$A$107,$A106)=1,COUNTIF('Leads'!$A$8:$A$107,$B106)=1,$N106&lt;&gt;"",IFERROR(INDEX('Leads'!$BA$8:$BA$107,MATCH($B106,'Leads'!$A$8:$A$107,0)),0)=1,$C106&lt;&gt;"",$D106&lt;&gt;"",ISNUMBER($E106),$E106&gt;0,$J106&lt;&gt;"",OR($I106="Active",$I106="Cancelled"),COUNTIFS('Orders_PO'!$C$8:$C$107,$C106,'Orders_PO'!$D$8:$D$107,$D106)=1),1,0))</x:f>
      </x:c>
      <x:c r="R106" s="42" t="str">
        <x:f>IF($Q106="","",IF(AND($Q106=1,ISNUMBER($F106),$F106&gt;=0,$G106&lt;&gt;"",OR($H106="รวม VAT",$H106="ไม่รวม VAT")),1,0))</x:f>
      </x:c>
    </x:row>
    <x:row r="107" ht="30" customHeight="1">
      <x:c r="A107" s="96"/>
      <x:c r="B107" s="96"/>
      <x:c r="C107" s="36"/>
      <x:c r="D107" s="96"/>
      <x:c r="E107" s="82"/>
      <x:c r="F107" s="84"/>
      <x:c r="G107" s="36"/>
      <x:c r="H107" s="36"/>
      <x:c r="I107" s="36"/>
      <x:c r="J107" s="96"/>
      <x:c r="K107" s="82"/>
      <x:c r="L107" s="36"/>
      <x:c r="M107" s="36"/>
      <x:c r="N107" s="98" t="str">
        <x:f>IF($B107="","",IFERROR(IF(INDEX('Leads'!$AE$8:$AE$107,MATCH($B107,'Leads'!$A$8:$A$107,0))="","",INDEX('Leads'!$AE$8:$AE$107,MATCH($B107,'Leads'!$A$8:$A$107,0))),""))</x:f>
      </x:c>
      <x:c r="O107" s="42" t="str">
        <x:f>IF($B107="","",IFERROR(IF(INDEX('Leads'!$AA$8:$AA$107,MATCH($B107,'Leads'!$A$8:$A$107,0))="","",INDEX('Leads'!$AA$8:$AA$107,MATCH($B107,'Leads'!$A$8:$A$107,0))),""))</x:f>
      </x:c>
      <x:c r="P107" s="42" t="str">
        <x:f>IF(AND($A107="",$B107="",$D107=""),"",IF(AND($Q107=1,$R107=1,OR($I107="Active",AND(ISNUMBER($K107),$L107&lt;&gt;""))),"ครบ",IF($A107="","ขาด Order ID; ","")&amp;IF(AND($A107&lt;&gt;"",COUNTIF('Orders_PO'!$A$8:$A$107,$A107)&gt;1),"Order ID ซ้ำ; ","")&amp;IF(COUNTIF('Leads'!$A$8:$A$107,$B107)&lt;&gt;1,"ตรวจรหัส Lead; ","")&amp;IF(AND($B107&lt;&gt;"",IFERROR(INDEX('Leads'!$BA$8:$BA$107,MATCH($B107,'Leads'!$A$8:$A$107,0)),0)&lt;&gt;1),"Lead ยังไม่นับผลจริง; ","")&amp;IF(OR($C107="",$D107="",NOT(ISNUMBER($E107))),"ขาดบริษัท/เลข PO/วันรับ; ","")&amp;IF($J107="","ขาดหลักฐาน PO; ","")&amp;IF(NOT(OR($I107="Active",$I107="Cancelled")),"เลือกสถานะ PO; ","")&amp;IF(COUNTIFS('Orders_PO'!$C$8:$C$107,$C107,'Orders_PO'!$D$8:$D$107,$D107)&gt;1,"PO/ผู้ออกซ้ำ; ","")&amp;IF(OR(NOT(ISNUMBER($F107)),$G107="",$H107="",$H107="ไม่ทราบ"),"ตรวจมูลค่า/สกุล/ฐาน VAT; ","")&amp;IF(AND($I107="Cancelled",OR(NOT(ISNUMBER($K107)),$L107="")),"ขาดวัน/เหตุผลยกเลิก; ","")))</x:f>
      </x:c>
      <x:c r="Q107" s="42" t="str">
        <x:f>IF(AND($A107="",$B107="",$D107=""),"",IF(AND($A107&lt;&gt;"",COUNTIF('Orders_PO'!$A$8:$A$107,$A107)=1,COUNTIF('Leads'!$A$8:$A$107,$B107)=1,$N107&lt;&gt;"",IFERROR(INDEX('Leads'!$BA$8:$BA$107,MATCH($B107,'Leads'!$A$8:$A$107,0)),0)=1,$C107&lt;&gt;"",$D107&lt;&gt;"",ISNUMBER($E107),$E107&gt;0,$J107&lt;&gt;"",OR($I107="Active",$I107="Cancelled"),COUNTIFS('Orders_PO'!$C$8:$C$107,$C107,'Orders_PO'!$D$8:$D$107,$D107)=1),1,0))</x:f>
      </x:c>
      <x:c r="R107" s="42" t="str">
        <x:f>IF($Q107="","",IF(AND($Q107=1,ISNUMBER($F107),$F107&gt;=0,$G107&lt;&gt;"",OR($H107="รวม VAT",$H107="ไม่รวม VAT")),1,0))</x:f>
      </x:c>
    </x:row>
  </x:sheetData>
  <x:mergeCells>
    <x:mergeCell ref="A1:J2"/>
    <x:mergeCell ref="A3:J3"/>
    <x:mergeCell ref="A4:C4"/>
    <x:mergeCell ref="D4:F4"/>
    <x:mergeCell ref="A5:E5"/>
    <x:mergeCell ref="F5:I5"/>
    <x:mergeCell ref="J5:M5"/>
    <x:mergeCell ref="N5:R5"/>
  </x:mergeCells>
  <x:conditionalFormatting sqref="P8:P107">
    <x:cfRule type="expression" dxfId="9" priority="1">
      <x:formula>AND($P8&lt;&gt;"",$P8&lt;&gt;"ครบ")</x:formula>
    </x:cfRule>
  </x:conditionalFormatting>
  <x:dataValidations count="7">
    <x:dataValidation type="list" errorStyle="stop" allowBlank="1" showDropDown="0" showErrorMessage="1" errorTitle="ตรวจค่าที่เลือก" error="ใช้รหัสอ้างอิงที่มีอยู่ใน Leads ก่อน" sqref="B8:B107">
      <x:formula1>'Leads'!$A$8:$A$107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G8:G107">
      <x:formula1>'Guide_Lists'!$AO$2:$AO$5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H8:H107">
      <x:formula1>'Guide_Lists'!$AN$2:$AN$4</x:formula1>
    </x:dataValidation>
    <x:dataValidation type="decimal" errorStyle="stop" operator="between" allowBlank="1" showErrorMessage="1" errorTitle="ใช้ค่าตัวเลข" error="ไม่ทราบให้เว้นว่าง ไม่ใช้ 0 แทนข้อมูลที่ยังไม่มี" sqref="F8:F107">
      <x:formula1>0</x:formula1>
      <x:formula2>1000000000</x:formula2>
    </x:dataValidation>
    <x:dataValidation type="date" operator="between" allowBlank="1" sqref="E8:E107">
      <x:formula1>DATE(2020,1,1)</x:formula1>
      <x:formula2>DATE(2100,12,31)</x:formula2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I8:I107">
      <x:formula1>'Guide_Lists'!$AP$2:$AP$3</x:formula1>
    </x:dataValidation>
    <x:dataValidation type="date" operator="between" allowBlank="1" sqref="K8:K107">
      <x:formula1>DATE(2020,1,1)</x:formula1>
      <x:formula2>DATE(2100,12,31)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09733a14eda4d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9" customHeight="1">
      <x:c r="A1" s="102" t="str">
        <x:v>DD BOX  |  ภาพรวมงานขายและสิ่งที่ต้องติดตาม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</x:row>
    <x:row r="2" ht="29" customHeight="1">
      <x:c r="A2" s="102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</x:row>
    <x:row r="3" ht="32" customHeight="1">
      <x:c r="A3" s="11" t="str">
        <x:v>นับทุกแถวในไฟล์: Real + production + รหัสไม่ซ้ำ • ไม่ใช่จำนวนลูกค้าไม่ซ้ำ • ไม่รวม Examples / TEST / Spam / Duplicate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 ht="25" customHeight="1">
      <x:c r="A4" s="46" t="str">
        <x:v>วันที่เปรียบเทียบนัดติดตาม</x:v>
      </x:c>
      <x:c r="B4" s="46"/>
      <x:c r="C4" s="46"/>
      <x:c r="D4" s="46"/>
      <x:c r="E4" s="56" t="n">
        <x:f>'Guide_Lists'!$B$4</x:f>
        <x:v>46275</x:v>
      </x:c>
      <x:c r="F4" s="56"/>
      <x:c r="G4" s="56"/>
      <x:c r="H4" s="46"/>
      <x:c r="I4" s="68" t="str">
        <x:v>กรอกงาน: แท็บ Leads</x:v>
      </x:c>
      <x:c r="J4" s="68"/>
      <x:c r="K4" s="68"/>
      <x:c r="L4" s="68"/>
      <x:c r="M4" s="68" t="str">
        <x:v>นิยาม: แท็บ Guide_Lists</x:v>
      </x:c>
      <x:c r="N4" s="68"/>
      <x:c r="O4" s="68"/>
      <x:c r="P4" s="68"/>
    </x:row>
    <x:row r="5" ht="25" customHeight="1">
      <x:c r="A5" s="46"/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</x:row>
    <x:row r="6" ht="29" customHeight="1">
      <x:c r="A6" s="104" t="str">
        <x:v>Lead จริงที่บันทึก</x:v>
      </x:c>
      <x:c r="B6" s="104"/>
      <x:c r="C6" s="104"/>
      <x:c r="D6" s="104"/>
      <x:c r="E6" s="104" t="str">
        <x:v>งานขายที่ยังเปิด</x:v>
      </x:c>
      <x:c r="F6" s="104"/>
      <x:c r="G6" s="104"/>
      <x:c r="H6" s="104"/>
      <x:c r="I6" s="104" t="str">
        <x:v>เกินกำหนดติดตาม</x:v>
      </x:c>
      <x:c r="J6" s="104"/>
      <x:c r="K6" s="104"/>
      <x:c r="L6" s="104"/>
      <x:c r="M6" s="104" t="str">
        <x:v>ถึงนัดวันนี้</x:v>
      </x:c>
      <x:c r="N6" s="104"/>
      <x:c r="O6" s="104"/>
      <x:c r="P6" s="104"/>
    </x:row>
    <x:row r="7" ht="23" customHeight="1">
      <x:c r="A7" s="108" t="n">
        <x:f>SUM('Leads'!$BA$8:$BA$107)</x:f>
        <x:v>0</x:v>
      </x:c>
      <x:c r="B7" s="108"/>
      <x:c r="C7" s="108"/>
      <x:c r="D7" s="108"/>
      <x:c r="E7" s="108" t="n">
        <x:f>COUNTIFS('Leads'!$BA$8:$BA$107,1,'Leads'!$F$8:$F$107,"&lt;&gt;Won",'Leads'!$F$8:$F$107,"&lt;&gt;Lost",'Leads'!$F$8:$F$107,"&lt;&gt;Unqualified")</x:f>
        <x:v>0</x:v>
      </x:c>
      <x:c r="F7" s="108"/>
      <x:c r="G7" s="108"/>
      <x:c r="H7" s="108"/>
      <x:c r="I7" s="114" t="n">
        <x:f>COUNTIFS('Leads'!$BA$8:$BA$107,1,'Leads'!$J$8:$J$107,"เกินกำหนด")</x:f>
        <x:v>0</x:v>
      </x:c>
      <x:c r="J7" s="114"/>
      <x:c r="K7" s="114"/>
      <x:c r="L7" s="114"/>
      <x:c r="M7" s="108" t="n">
        <x:f>COUNTIFS('Leads'!$BA$8:$BA$107,1,'Leads'!$J$8:$J$107,"ติดตามวันนี้")</x:f>
        <x:v>0</x:v>
      </x:c>
      <x:c r="N7" s="108"/>
      <x:c r="O7" s="108"/>
      <x:c r="P7" s="108"/>
    </x:row>
    <x:row r="8" ht="23" customHeight="1">
      <x:c r="A8" s="108"/>
      <x:c r="B8" s="108"/>
      <x:c r="C8" s="108"/>
      <x:c r="D8" s="108"/>
      <x:c r="E8" s="108"/>
      <x:c r="F8" s="108"/>
      <x:c r="G8" s="108"/>
      <x:c r="H8" s="108"/>
      <x:c r="I8" s="114"/>
      <x:c r="J8" s="114"/>
      <x:c r="K8" s="114"/>
      <x:c r="L8" s="114"/>
      <x:c r="M8" s="108"/>
      <x:c r="N8" s="108"/>
      <x:c r="O8" s="108"/>
      <x:c r="P8" s="108"/>
    </x:row>
    <x:row r="9" ht="23" customHeight="1">
      <x:c r="A9" s="108"/>
      <x:c r="B9" s="108"/>
      <x:c r="C9" s="108"/>
      <x:c r="D9" s="108"/>
      <x:c r="E9" s="108"/>
      <x:c r="F9" s="108"/>
      <x:c r="G9" s="108"/>
      <x:c r="H9" s="108"/>
      <x:c r="I9" s="114"/>
      <x:c r="J9" s="114"/>
      <x:c r="K9" s="114"/>
      <x:c r="L9" s="114"/>
      <x:c r="M9" s="108"/>
      <x:c r="N9" s="108"/>
      <x:c r="O9" s="108"/>
      <x:c r="P9" s="108"/>
    </x:row>
    <x:row r="10" ht="25" customHeight="1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</x:row>
    <x:row r="11" ht="29" customHeight="1">
      <x:c r="A11" s="104" t="str">
        <x:v>เคยคัดกรองผ่าน</x:v>
      </x:c>
      <x:c r="B11" s="104"/>
      <x:c r="C11" s="104"/>
      <x:c r="D11" s="104"/>
      <x:c r="E11" s="104" t="str">
        <x:v>Lead ที่ส่งราคาแล้ว</x:v>
      </x:c>
      <x:c r="F11" s="104"/>
      <x:c r="G11" s="104"/>
      <x:c r="H11" s="104"/>
      <x:c r="I11" s="104" t="str">
        <x:v>Lead ที่ได้รับ PO</x:v>
      </x:c>
      <x:c r="J11" s="104"/>
      <x:c r="K11" s="104"/>
      <x:c r="L11" s="104"/>
      <x:c r="M11" s="104" t="str">
        <x:v>Lead ที่ต้องตรวจข้อมูล</x:v>
      </x:c>
      <x:c r="N11" s="104"/>
      <x:c r="O11" s="104"/>
      <x:c r="P11" s="104"/>
    </x:row>
    <x:row r="12" ht="23" customHeight="1">
      <x:c r="A12" s="108" t="n">
        <x:f>COUNTIFS('Leads'!$BA$8:$BA$107,1,'Leads'!$U$8:$U$107,"&gt;0")</x:f>
        <x:v>0</x:v>
      </x:c>
      <x:c r="B12" s="108"/>
      <x:c r="C12" s="108"/>
      <x:c r="D12" s="108"/>
      <x:c r="E12" s="108" t="n">
        <x:f>COUNTIFS('Leads'!$BA$8:$BA$107,1,'Leads'!$AV$8:$AV$107,"&gt;0")</x:f>
        <x:v>0</x:v>
      </x:c>
      <x:c r="F12" s="108"/>
      <x:c r="G12" s="108"/>
      <x:c r="H12" s="108"/>
      <x:c r="I12" s="108" t="n">
        <x:f>COUNTIFS('Leads'!$BA$8:$BA$107,1,'Leads'!$AY$8:$AY$107,"&gt;0")</x:f>
        <x:v>0</x:v>
      </x:c>
      <x:c r="J12" s="108"/>
      <x:c r="K12" s="108"/>
      <x:c r="L12" s="108"/>
      <x:c r="M12" s="114" t="n">
        <x:f>COUNTIFS('Leads'!$AA$8:$AA$107,"Real",'Leads'!$A$8:$A$107,"&lt;&gt;",'Leads'!$AZ$8:$AZ$107,"&lt;&gt;ครบ")</x:f>
        <x:v>0</x:v>
      </x:c>
      <x:c r="N12" s="114"/>
      <x:c r="O12" s="114"/>
      <x:c r="P12" s="114"/>
    </x:row>
    <x:row r="13" ht="23" customHeight="1">
      <x:c r="A13" s="108"/>
      <x:c r="B13" s="108"/>
      <x:c r="C13" s="108"/>
      <x:c r="D13" s="108"/>
      <x:c r="E13" s="108"/>
      <x:c r="F13" s="108"/>
      <x:c r="G13" s="108"/>
      <x:c r="H13" s="108"/>
      <x:c r="I13" s="108"/>
      <x:c r="J13" s="108"/>
      <x:c r="K13" s="108"/>
      <x:c r="L13" s="108"/>
      <x:c r="M13" s="114"/>
      <x:c r="N13" s="114"/>
      <x:c r="O13" s="114"/>
      <x:c r="P13" s="114"/>
    </x:row>
    <x:row r="14" ht="23" customHeight="1">
      <x:c r="A14" s="108"/>
      <x:c r="B14" s="108"/>
      <x:c r="C14" s="108"/>
      <x:c r="D14" s="108"/>
      <x:c r="E14" s="108"/>
      <x:c r="F14" s="108"/>
      <x:c r="G14" s="108"/>
      <x:c r="H14" s="108"/>
      <x:c r="I14" s="108"/>
      <x:c r="J14" s="108"/>
      <x:c r="K14" s="108"/>
      <x:c r="L14" s="108"/>
      <x:c r="M14" s="114"/>
      <x:c r="N14" s="114"/>
      <x:c r="O14" s="114"/>
      <x:c r="P14" s="114"/>
    </x:row>
    <x:row r="15" ht="25" customHeight="1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</x:row>
    <x:row r="16" ht="31" customHeight="1">
      <x:c r="A16" s="11" t="str">
        <x:v>ทุกตัวเลขเป็นจำนวนรายการที่กรอกในไฟล์นี้ • วันที่ด้านบนใช้ตรวจนัดเท่านั้น ไม่ได้กรอง cohort หรือย้อนหลังสถานะ</x:v>
      </x:c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</x:row>
    <x:row r="17" ht="25" customHeight="1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</x:row>
    <x:row r="18" ht="25" customHeight="1">
      <x:c r="A18" s="62" t="str">
        <x:v>สถานะงานปัจจุบัน</x:v>
      </x:c>
      <x:c r="B18" s="62"/>
      <x:c r="C18" s="62"/>
      <x:c r="D18" s="62"/>
      <x:c r="E18" s="62"/>
      <x:c r="F18" s="62"/>
      <x:c r="G18" s="46"/>
      <x:c r="H18" s="62" t="str">
        <x:v>ตรวจงานก่อนจบวัน</x:v>
      </x:c>
      <x:c r="I18" s="62"/>
      <x:c r="J18" s="62"/>
      <x:c r="K18" s="62"/>
      <x:c r="L18" s="62"/>
      <x:c r="M18" s="62"/>
      <x:c r="N18" s="62"/>
      <x:c r="O18" s="62"/>
      <x:c r="P18" s="62"/>
    </x:row>
    <x:row r="19" ht="25" customHeight="1">
      <x:c r="A19" s="46" t="str">
        <x:v>New Lead</x:v>
      </x:c>
      <x:c r="B19" s="46"/>
      <x:c r="C19" s="46"/>
      <x:c r="D19" s="46"/>
      <x:c r="E19" s="118" t="n">
        <x:f>COUNTIFS('Leads'!$BA$8:$BA$107,1,'Leads'!$F$8:$F$107,A19)</x:f>
        <x:v>0</x:v>
      </x:c>
      <x:c r="F19" s="118"/>
      <x:c r="G19" s="46"/>
      <x:c r="H19" s="46" t="str">
        <x:v>ยังไม่ได้กำหนดนัด</x:v>
      </x:c>
      <x:c r="I19" s="46"/>
      <x:c r="J19" s="46"/>
      <x:c r="K19" s="46"/>
      <x:c r="L19" s="46"/>
      <x:c r="M19" s="46"/>
      <x:c r="N19" s="118" t="n">
        <x:f>COUNTIFS('Leads'!$BA$8:$BA$107,1,'Leads'!$J$8:$J$107,"ยังไม่นัด")</x:f>
        <x:v>0</x:v>
      </x:c>
      <x:c r="O19" s="118"/>
      <x:c r="P19" s="118"/>
    </x:row>
    <x:row r="20" ht="25" customHeight="1">
      <x:c r="A20" s="46" t="str">
        <x:v>Contacting</x:v>
      </x:c>
      <x:c r="B20" s="46"/>
      <x:c r="C20" s="46"/>
      <x:c r="D20" s="46"/>
      <x:c r="E20" s="118" t="n">
        <x:f>COUNTIFS('Leads'!$BA$8:$BA$107,1,'Leads'!$F$8:$F$107,A20)</x:f>
        <x:v>0</x:v>
      </x:c>
      <x:c r="F20" s="118"/>
      <x:c r="G20" s="46"/>
      <x:c r="H20" s="46" t="str">
        <x:v>ใบเสนอราคาที่ต้องตรวจ</x:v>
      </x:c>
      <x:c r="I20" s="46"/>
      <x:c r="J20" s="46"/>
      <x:c r="K20" s="46"/>
      <x:c r="L20" s="46"/>
      <x:c r="M20" s="46"/>
      <x:c r="N20" s="118" t="n">
        <x:f>COUNTIFS('Quotations'!$M$8:$M$107,"Real",'Quotations'!$B$8:$B$107,"&lt;&gt;",'Quotations'!$N$8:$N$107,"&lt;&gt;ครบ")</x:f>
        <x:v>0</x:v>
      </x:c>
      <x:c r="O20" s="118"/>
      <x:c r="P20" s="118"/>
    </x:row>
    <x:row r="21" ht="25" customHeight="1">
      <x:c r="A21" s="46" t="str">
        <x:v>Contacted</x:v>
      </x:c>
      <x:c r="B21" s="46"/>
      <x:c r="C21" s="46"/>
      <x:c r="D21" s="46"/>
      <x:c r="E21" s="118" t="n">
        <x:f>COUNTIFS('Leads'!$BA$8:$BA$107,1,'Leads'!$F$8:$F$107,A21)</x:f>
        <x:v>0</x:v>
      </x:c>
      <x:c r="F21" s="118"/>
      <x:c r="G21" s="46"/>
      <x:c r="H21" s="46" t="str">
        <x:v>PO ที่ต้องตรวจ</x:v>
      </x:c>
      <x:c r="I21" s="46"/>
      <x:c r="J21" s="46"/>
      <x:c r="K21" s="46"/>
      <x:c r="L21" s="46"/>
      <x:c r="M21" s="46"/>
      <x:c r="N21" s="118" t="n">
        <x:f>COUNTIFS('Orders_PO'!$O$8:$O$107,"Real",'Orders_PO'!$B$8:$B$107,"&lt;&gt;",'Orders_PO'!$P$8:$P$107,"&lt;&gt;ครบ")</x:f>
        <x:v>0</x:v>
      </x:c>
      <x:c r="O21" s="118"/>
      <x:c r="P21" s="118"/>
    </x:row>
    <x:row r="22" ht="25" customHeight="1">
      <x:c r="A22" s="46" t="str">
        <x:v>Awaiting Information</x:v>
      </x:c>
      <x:c r="B22" s="46"/>
      <x:c r="C22" s="46"/>
      <x:c r="D22" s="46"/>
      <x:c r="E22" s="118" t="n">
        <x:f>COUNTIFS('Leads'!$BA$8:$BA$107,1,'Leads'!$F$8:$F$107,A22)</x:f>
        <x:v>0</x:v>
      </x:c>
      <x:c r="F22" s="118"/>
      <x:c r="G22" s="46"/>
      <x:c r="H22" s="46" t="str">
        <x:v>PO ที่รับ (รวมที่ยกเลิก)</x:v>
      </x:c>
      <x:c r="I22" s="46"/>
      <x:c r="J22" s="46"/>
      <x:c r="K22" s="46"/>
      <x:c r="L22" s="46"/>
      <x:c r="M22" s="46"/>
      <x:c r="N22" s="118" t="n">
        <x:f>COUNTIF('Orders_PO'!$Q$8:$Q$107,1)</x:f>
        <x:v>0</x:v>
      </x:c>
      <x:c r="O22" s="118"/>
      <x:c r="P22" s="118"/>
    </x:row>
    <x:row r="23" ht="25" customHeight="1">
      <x:c r="A23" s="46" t="str">
        <x:v>Qualified</x:v>
      </x:c>
      <x:c r="B23" s="46"/>
      <x:c r="C23" s="46"/>
      <x:c r="D23" s="46"/>
      <x:c r="E23" s="118" t="n">
        <x:f>COUNTIFS('Leads'!$BA$8:$BA$107,1,'Leads'!$F$8:$F$107,A23)</x:f>
        <x:v>0</x:v>
      </x:c>
      <x:c r="F23" s="118"/>
      <x:c r="G23" s="46"/>
      <x:c r="H23" s="46" t="str">
        <x:v>PO ที่ยัง Active</x:v>
      </x:c>
      <x:c r="I23" s="46"/>
      <x:c r="J23" s="46"/>
      <x:c r="K23" s="46"/>
      <x:c r="L23" s="46"/>
      <x:c r="M23" s="46"/>
      <x:c r="N23" s="118" t="n">
        <x:f>COUNTIFS('Orders_PO'!$Q$8:$Q$107,1,'Orders_PO'!$I$8:$I$107,"Active")</x:f>
        <x:v>0</x:v>
      </x:c>
      <x:c r="O23" s="118"/>
      <x:c r="P23" s="118"/>
    </x:row>
    <x:row r="24" ht="25" customHeight="1">
      <x:c r="A24" s="46" t="str">
        <x:v>Unqualified</x:v>
      </x:c>
      <x:c r="B24" s="46"/>
      <x:c r="C24" s="46"/>
      <x:c r="D24" s="46"/>
      <x:c r="E24" s="118" t="n">
        <x:f>COUNTIFS('Leads'!$BA$8:$BA$107,1,'Leads'!$F$8:$F$107,A24)</x:f>
        <x:v>0</x:v>
      </x:c>
      <x:c r="F24" s="118"/>
      <x:c r="G24" s="46"/>
      <x:c r="H24" s="46" t="str">
        <x:v>PO ที่ยกเลิก</x:v>
      </x:c>
      <x:c r="I24" s="46"/>
      <x:c r="J24" s="46"/>
      <x:c r="K24" s="46"/>
      <x:c r="L24" s="46"/>
      <x:c r="M24" s="46"/>
      <x:c r="N24" s="118" t="n">
        <x:f>COUNTIFS('Orders_PO'!$Q$8:$Q$107,1,'Orders_PO'!$I$8:$I$107,"Cancelled")</x:f>
        <x:v>0</x:v>
      </x:c>
      <x:c r="O24" s="118"/>
      <x:c r="P24" s="118"/>
    </x:row>
    <x:row r="25" ht="25" customHeight="1">
      <x:c r="A25" s="46" t="str">
        <x:v>Quotation Preparing</x:v>
      </x:c>
      <x:c r="B25" s="46"/>
      <x:c r="C25" s="46"/>
      <x:c r="D25" s="46"/>
      <x:c r="E25" s="118" t="n">
        <x:f>COUNTIFS('Leads'!$BA$8:$BA$107,1,'Leads'!$F$8:$F$107,A25)</x:f>
        <x:v>0</x:v>
      </x:c>
      <x:c r="F25" s="118"/>
      <x:c r="G25" s="46"/>
      <x:c r="H25" s="46" t="str">
        <x:v>ที่มา Captured (เฉพาะเว็บ)</x:v>
      </x:c>
      <x:c r="I25" s="46"/>
      <x:c r="J25" s="46"/>
      <x:c r="K25" s="46"/>
      <x:c r="L25" s="46"/>
      <x:c r="M25" s="46"/>
      <x:c r="N25" s="118" t="n">
        <x:f>COUNTIFS('Leads'!$BA$8:$BA$107,1,'Leads'!$AG$8:$AG$107,"website_form",'Leads'!$AM$8:$AM$107,"captured")</x:f>
        <x:v>0</x:v>
      </x:c>
      <x:c r="O25" s="118"/>
      <x:c r="P25" s="118"/>
    </x:row>
    <x:row r="26" ht="25" customHeight="1">
      <x:c r="A26" s="46" t="str">
        <x:v>Quotation Sent</x:v>
      </x:c>
      <x:c r="B26" s="46"/>
      <x:c r="C26" s="46"/>
      <x:c r="D26" s="46"/>
      <x:c r="E26" s="118" t="n">
        <x:f>COUNTIFS('Leads'!$BA$8:$BA$107,1,'Leads'!$F$8:$F$107,A26)</x:f>
        <x:v>0</x:v>
      </x:c>
      <x:c r="F26" s="118"/>
      <x:c r="G26" s="46"/>
      <x:c r="H26" s="46" t="str">
        <x:v>ที่มายังไม่ captured (เว็บ)</x:v>
      </x:c>
      <x:c r="I26" s="46"/>
      <x:c r="J26" s="46"/>
      <x:c r="K26" s="46"/>
      <x:c r="L26" s="46"/>
      <x:c r="M26" s="46"/>
      <x:c r="N26" s="118" t="n">
        <x:f>COUNTIFS('Leads'!$BA$8:$BA$107,1,'Leads'!$AG$8:$AG$107,"website_form",'Leads'!$AM$8:$AM$107,"&lt;&gt;captured")</x:f>
        <x:v>0</x:v>
      </x:c>
      <x:c r="O26" s="118"/>
      <x:c r="P26" s="118"/>
    </x:row>
    <x:row r="27" ht="25" customHeight="1">
      <x:c r="A27" s="46" t="str">
        <x:v>Sample / Mockup</x:v>
      </x:c>
      <x:c r="B27" s="46"/>
      <x:c r="C27" s="46"/>
      <x:c r="D27" s="46"/>
      <x:c r="E27" s="118" t="n">
        <x:f>COUNTIFS('Leads'!$BA$8:$BA$107,1,'Leads'!$F$8:$F$107,A27)</x:f>
        <x:v>0</x:v>
      </x:c>
      <x:c r="F27" s="118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</x:row>
    <x:row r="28" ht="30" customHeight="1">
      <x:c r="A28" s="46" t="str">
        <x:v>Negotiation</x:v>
      </x:c>
      <x:c r="B28" s="46"/>
      <x:c r="C28" s="46"/>
      <x:c r="D28" s="46"/>
      <x:c r="E28" s="118" t="n">
        <x:f>COUNTIFS('Leads'!$BA$8:$BA$107,1,'Leads'!$F$8:$F$107,A28)</x:f>
        <x:v>0</x:v>
      </x:c>
      <x:c r="F28" s="118"/>
      <x:c r="G28" s="46"/>
      <x:c r="H28" s="36" t="str">
        <x:v>Qualified ใช้วันที่คัดกรองผ่าน ไม่หายเมื่อสถานะไป Won/Lost
รับ PO ต้องมีเลข/วันรับ/บริษัทผู้ออก/หลักฐานที่เชื่อม Lead ได้
งานที่ยังไม่ครบถูกแจ้งเตือน แก้ที่ชีตต้นทาง ไม่แก้สูตร</x:v>
      </x:c>
      <x:c r="I28" s="36"/>
      <x:c r="J28" s="36"/>
      <x:c r="K28" s="36"/>
      <x:c r="L28" s="36"/>
      <x:c r="M28" s="36"/>
      <x:c r="N28" s="36"/>
      <x:c r="O28" s="36"/>
      <x:c r="P28" s="36"/>
    </x:row>
    <x:row r="29" ht="30" customHeight="1">
      <x:c r="A29" s="46" t="str">
        <x:v>Won</x:v>
      </x:c>
      <x:c r="B29" s="46"/>
      <x:c r="C29" s="46"/>
      <x:c r="D29" s="46"/>
      <x:c r="E29" s="118" t="n">
        <x:f>COUNTIFS('Leads'!$BA$8:$BA$107,1,'Leads'!$F$8:$F$107,A29)</x:f>
        <x:v>0</x:v>
      </x:c>
      <x:c r="F29" s="118"/>
      <x:c r="G29" s="46"/>
      <x:c r="H29" s="36"/>
      <x:c r="I29" s="36"/>
      <x:c r="J29" s="36"/>
      <x:c r="K29" s="36"/>
      <x:c r="L29" s="36"/>
      <x:c r="M29" s="36"/>
      <x:c r="N29" s="36"/>
      <x:c r="O29" s="36"/>
      <x:c r="P29" s="36"/>
    </x:row>
    <x:row r="30" ht="30" customHeight="1">
      <x:c r="A30" s="46" t="str">
        <x:v>Lost</x:v>
      </x:c>
      <x:c r="B30" s="46"/>
      <x:c r="C30" s="46"/>
      <x:c r="D30" s="46"/>
      <x:c r="E30" s="118" t="n">
        <x:f>COUNTIFS('Leads'!$BA$8:$BA$107,1,'Leads'!$F$8:$F$107,A30)</x:f>
        <x:v>0</x:v>
      </x:c>
      <x:c r="F30" s="118"/>
      <x:c r="G30" s="46"/>
      <x:c r="H30" s="36"/>
      <x:c r="I30" s="36"/>
      <x:c r="J30" s="36"/>
      <x:c r="K30" s="36"/>
      <x:c r="L30" s="36"/>
      <x:c r="M30" s="36"/>
      <x:c r="N30" s="36"/>
      <x:c r="O30" s="36"/>
      <x:c r="P30" s="36"/>
    </x:row>
    <x:row r="31" ht="25" customHeight="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</x:row>
    <x:row r="32" ht="25" customHeight="1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</x:row>
    <x:row r="33" ht="35" customHeight="1">
      <x:c r="A33" s="46" t="str">
        <x:v>Lead → ได้รับ PO (อัตราจากข้อมูลในไฟล์)</x:v>
      </x:c>
      <x:c r="B33" s="46"/>
      <x:c r="C33" s="46"/>
      <x:c r="D33" s="46"/>
      <x:c r="E33" s="46"/>
      <x:c r="F33" s="46"/>
      <x:c r="G33" s="122" t="str">
        <x:f>IF(A7=0,"ข้อมูลไม่พอ",I12/A7)</x:f>
        <x:v>ข้อมูลไม่พอ</x:v>
      </x:c>
      <x:c r="H33" s="122"/>
      <x:c r="I33" s="122"/>
      <x:c r="J33" s="46" t="str">
        <x:v>ไม่ใช่อัตราปิดจาก Ads clicks และไม่บอกเหตุเชิงสาเหตุ</x:v>
      </x:c>
      <x:c r="K33" s="46"/>
      <x:c r="L33" s="46"/>
      <x:c r="M33" s="46"/>
      <x:c r="N33" s="46"/>
      <x:c r="O33" s="46"/>
      <x:c r="P33" s="46"/>
    </x:row>
    <x:row r="34" ht="25" customHeight="1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</x:row>
    <x:row r="35" ht="25" customHeight="1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</x:row>
    <x:row r="36" ht="31" customHeight="1">
      <x:c r="A36" s="63" t="str">
        <x:v>มูลค่าเอกสาร (THB เท่านั้น) — แยกฐาน VAT และไม่ใช่รายรับจริง</x:v>
      </x:c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</x:row>
    <x:row r="37" ht="27" customHeight="1">
      <x:c r="A37" s="76" t="str">
        <x:v>ประเภทมูลค่า</x:v>
      </x:c>
      <x:c r="B37" s="76"/>
      <x:c r="C37" s="76"/>
      <x:c r="D37" s="76"/>
      <x:c r="E37" s="76"/>
      <x:c r="F37" s="76" t="str">
        <x:v>ไม่รวม VAT</x:v>
      </x:c>
      <x:c r="G37" s="76"/>
      <x:c r="H37" s="76"/>
      <x:c r="I37" s="76" t="str">
        <x:v>รวม VAT</x:v>
      </x:c>
      <x:c r="J37" s="76"/>
      <x:c r="K37" s="76"/>
      <x:c r="L37" s="76" t="str">
        <x:v>ความหมาย</x:v>
      </x:c>
      <x:c r="M37" s="76"/>
      <x:c r="N37" s="76"/>
      <x:c r="O37" s="76"/>
      <x:c r="P37" s="76"/>
    </x:row>
    <x:row r="38" ht="37" customHeight="1">
      <x:c r="A38" s="46" t="str">
        <x:v>ใบราคาฉบับปัจจุบัน</x:v>
      </x:c>
      <x:c r="B38" s="46"/>
      <x:c r="C38" s="46"/>
      <x:c r="D38" s="46"/>
      <x:c r="E38" s="46"/>
      <x:c r="F38" s="126" t="str">
        <x:f>IF(COUNTIFS('Quotations'!$O$8:$O$107,1,'Quotations'!$G$8:$G$107,"THB",'Quotations'!$H$8:$H$107,"ไม่รวม VAT",'Quotations'!$I$8:$I$107,"Yes")=0,"ยังไม่มีรายการ",IF(COUNTIFS('Quotations'!$O$8:$O$107,1,'Quotations'!$G$8:$G$107,"THB",'Quotations'!$H$8:$H$107,"ไม่รวม VAT",'Quotations'!$I$8:$I$107,"Yes",'Quotations'!$P$8:$P$107,1)&lt;COUNTIFS('Quotations'!$O$8:$O$107,1,'Quotations'!$G$8:$G$107,"THB",'Quotations'!$H$8:$H$107,"ไม่รวม VAT",'Quotations'!$I$8:$I$107,"Yes"),"มูลค่าไม่ครบ",SUMIFS('Quotations'!$F$8:$F$107,'Quotations'!$O$8:$O$107,1,'Quotations'!$G$8:$G$107,"THB",'Quotations'!$H$8:$H$107,"ไม่รวม VAT",'Quotations'!$I$8:$I$107,"Yes",'Quotations'!$P$8:$P$107,1)))</x:f>
        <x:v>ยังไม่มีรายการ</x:v>
      </x:c>
      <x:c r="G38" s="126"/>
      <x:c r="H38" s="126"/>
      <x:c r="I38" s="126" t="str">
        <x:f>IF(COUNTIFS('Quotations'!$O$8:$O$107,1,'Quotations'!$G$8:$G$107,"THB",'Quotations'!$H$8:$H$107,"รวม VAT",'Quotations'!$I$8:$I$107,"Yes")=0,"ยังไม่มีรายการ",IF(COUNTIFS('Quotations'!$O$8:$O$107,1,'Quotations'!$G$8:$G$107,"THB",'Quotations'!$H$8:$H$107,"รวม VAT",'Quotations'!$I$8:$I$107,"Yes",'Quotations'!$P$8:$P$107,1)&lt;COUNTIFS('Quotations'!$O$8:$O$107,1,'Quotations'!$G$8:$G$107,"THB",'Quotations'!$H$8:$H$107,"รวม VAT",'Quotations'!$I$8:$I$107,"Yes"),"มูลค่าไม่ครบ",SUMIFS('Quotations'!$F$8:$F$107,'Quotations'!$O$8:$O$107,1,'Quotations'!$G$8:$G$107,"THB",'Quotations'!$H$8:$H$107,"รวม VAT",'Quotations'!$I$8:$I$107,"Yes",'Quotations'!$P$8:$P$107,1)))</x:f>
        <x:v>ยังไม่มีรายการ</x:v>
      </x:c>
      <x:c r="J38" s="126"/>
      <x:c r="K38" s="126"/>
      <x:c r="L38" s="46" t="str">
        <x:v>ไม่ใช่ยอดขาย และไม่ใช่ open pipeline</x:v>
      </x:c>
      <x:c r="M38" s="46"/>
      <x:c r="N38" s="46"/>
      <x:c r="O38" s="46"/>
      <x:c r="P38" s="46"/>
    </x:row>
    <x:row r="39" ht="37" customHeight="1">
      <x:c r="A39" s="46" t="str">
        <x:v>PO รับทั้งหมด</x:v>
      </x:c>
      <x:c r="B39" s="46"/>
      <x:c r="C39" s="46"/>
      <x:c r="D39" s="46"/>
      <x:c r="E39" s="46"/>
      <x:c r="F39" s="126" t="str">
        <x:f>IF(COUNTIFS('Orders_PO'!$Q$8:$Q$107,1,'Orders_PO'!$G$8:$G$107,"THB",'Orders_PO'!$H$8:$H$107,"ไม่รวม VAT")=0,"ยังไม่มีรายการ",IF(COUNTIFS('Orders_PO'!$Q$8:$Q$107,1,'Orders_PO'!$G$8:$G$107,"THB",'Orders_PO'!$H$8:$H$107,"ไม่รวม VAT",'Orders_PO'!$R$8:$R$107,1)&lt;COUNTIFS('Orders_PO'!$Q$8:$Q$107,1,'Orders_PO'!$G$8:$G$107,"THB",'Orders_PO'!$H$8:$H$107,"ไม่รวม VAT"),"มูลค่าไม่ครบ",SUMIFS('Orders_PO'!$F$8:$F$107,'Orders_PO'!$Q$8:$Q$107,1,'Orders_PO'!$G$8:$G$107,"THB",'Orders_PO'!$H$8:$H$107,"ไม่รวม VAT",'Orders_PO'!$R$8:$R$107,1)))</x:f>
        <x:v>ยังไม่มีรายการ</x:v>
      </x:c>
      <x:c r="G39" s="126"/>
      <x:c r="H39" s="126"/>
      <x:c r="I39" s="126" t="str">
        <x:f>IF(COUNTIFS('Orders_PO'!$Q$8:$Q$107,1,'Orders_PO'!$G$8:$G$107,"THB",'Orders_PO'!$H$8:$H$107,"รวม VAT")=0,"ยังไม่มีรายการ",IF(COUNTIFS('Orders_PO'!$Q$8:$Q$107,1,'Orders_PO'!$G$8:$G$107,"THB",'Orders_PO'!$H$8:$H$107,"รวม VAT",'Orders_PO'!$R$8:$R$107,1)&lt;COUNTIFS('Orders_PO'!$Q$8:$Q$107,1,'Orders_PO'!$G$8:$G$107,"THB",'Orders_PO'!$H$8:$H$107,"รวม VAT"),"มูลค่าไม่ครบ",SUMIFS('Orders_PO'!$F$8:$F$107,'Orders_PO'!$Q$8:$Q$107,1,'Orders_PO'!$G$8:$G$107,"THB",'Orders_PO'!$H$8:$H$107,"รวม VAT",'Orders_PO'!$R$8:$R$107,1)))</x:f>
        <x:v>ยังไม่มีรายการ</x:v>
      </x:c>
      <x:c r="J39" s="126"/>
      <x:c r="K39" s="126"/>
      <x:c r="L39" s="46" t="str">
        <x:v>รวมประวัติ PO ที่ยกเลิกภายหลัง</x:v>
      </x:c>
      <x:c r="M39" s="46"/>
      <x:c r="N39" s="46"/>
      <x:c r="O39" s="46"/>
      <x:c r="P39" s="46"/>
    </x:row>
    <x:row r="40" ht="37" customHeight="1">
      <x:c r="A40" s="46" t="str">
        <x:v>PO ยกเลิก</x:v>
      </x:c>
      <x:c r="B40" s="46"/>
      <x:c r="C40" s="46"/>
      <x:c r="D40" s="46"/>
      <x:c r="E40" s="46"/>
      <x:c r="F40" s="126" t="str">
        <x:f>IF(COUNTIFS('Orders_PO'!$Q$8:$Q$107,1,'Orders_PO'!$G$8:$G$107,"THB",'Orders_PO'!$H$8:$H$107,"ไม่รวม VAT",'Orders_PO'!$I$8:$I$107,"Cancelled")=0,"ยังไม่มีรายการ",IF(COUNTIFS('Orders_PO'!$Q$8:$Q$107,1,'Orders_PO'!$G$8:$G$107,"THB",'Orders_PO'!$H$8:$H$107,"ไม่รวม VAT",'Orders_PO'!$I$8:$I$107,"Cancelled",'Orders_PO'!$R$8:$R$107,1)&lt;COUNTIFS('Orders_PO'!$Q$8:$Q$107,1,'Orders_PO'!$G$8:$G$107,"THB",'Orders_PO'!$H$8:$H$107,"ไม่รวม VAT",'Orders_PO'!$I$8:$I$107,"Cancelled"),"มูลค่าไม่ครบ",SUMIFS('Orders_PO'!$F$8:$F$107,'Orders_PO'!$Q$8:$Q$107,1,'Orders_PO'!$G$8:$G$107,"THB",'Orders_PO'!$H$8:$H$107,"ไม่รวม VAT",'Orders_PO'!$I$8:$I$107,"Cancelled",'Orders_PO'!$R$8:$R$107,1)))</x:f>
        <x:v>ยังไม่มีรายการ</x:v>
      </x:c>
      <x:c r="G40" s="126"/>
      <x:c r="H40" s="126"/>
      <x:c r="I40" s="126" t="str">
        <x:f>IF(COUNTIFS('Orders_PO'!$Q$8:$Q$107,1,'Orders_PO'!$G$8:$G$107,"THB",'Orders_PO'!$H$8:$H$107,"รวม VAT",'Orders_PO'!$I$8:$I$107,"Cancelled")=0,"ยังไม่มีรายการ",IF(COUNTIFS('Orders_PO'!$Q$8:$Q$107,1,'Orders_PO'!$G$8:$G$107,"THB",'Orders_PO'!$H$8:$H$107,"รวม VAT",'Orders_PO'!$I$8:$I$107,"Cancelled",'Orders_PO'!$R$8:$R$107,1)&lt;COUNTIFS('Orders_PO'!$Q$8:$Q$107,1,'Orders_PO'!$G$8:$G$107,"THB",'Orders_PO'!$H$8:$H$107,"รวม VAT",'Orders_PO'!$I$8:$I$107,"Cancelled"),"มูลค่าไม่ครบ",SUMIFS('Orders_PO'!$F$8:$F$107,'Orders_PO'!$Q$8:$Q$107,1,'Orders_PO'!$G$8:$G$107,"THB",'Orders_PO'!$H$8:$H$107,"รวม VAT",'Orders_PO'!$I$8:$I$107,"Cancelled",'Orders_PO'!$R$8:$R$107,1)))</x:f>
        <x:v>ยังไม่มีรายการ</x:v>
      </x:c>
      <x:c r="J40" s="126"/>
      <x:c r="K40" s="126"/>
      <x:c r="L40" s="46" t="str">
        <x:v>เก็บประวัติ ไม่ลบแถว</x:v>
      </x:c>
      <x:c r="M40" s="46"/>
      <x:c r="N40" s="46"/>
      <x:c r="O40" s="46"/>
      <x:c r="P40" s="46"/>
    </x:row>
    <x:row r="41" ht="37" customHeight="1">
      <x:c r="A41" s="46" t="str">
        <x:v>PO Active</x:v>
      </x:c>
      <x:c r="B41" s="46"/>
      <x:c r="C41" s="46"/>
      <x:c r="D41" s="46"/>
      <x:c r="E41" s="46"/>
      <x:c r="F41" s="126" t="str">
        <x:f>IF(COUNTIFS('Orders_PO'!$Q$8:$Q$107,1,'Orders_PO'!$G$8:$G$107,"THB",'Orders_PO'!$H$8:$H$107,"ไม่รวม VAT",'Orders_PO'!$I$8:$I$107,"Active")=0,"ยังไม่มีรายการ",IF(COUNTIFS('Orders_PO'!$Q$8:$Q$107,1,'Orders_PO'!$G$8:$G$107,"THB",'Orders_PO'!$H$8:$H$107,"ไม่รวม VAT",'Orders_PO'!$I$8:$I$107,"Active",'Orders_PO'!$R$8:$R$107,1)&lt;COUNTIFS('Orders_PO'!$Q$8:$Q$107,1,'Orders_PO'!$G$8:$G$107,"THB",'Orders_PO'!$H$8:$H$107,"ไม่รวม VAT",'Orders_PO'!$I$8:$I$107,"Active"),"มูลค่าไม่ครบ",SUMIFS('Orders_PO'!$F$8:$F$107,'Orders_PO'!$Q$8:$Q$107,1,'Orders_PO'!$G$8:$G$107,"THB",'Orders_PO'!$H$8:$H$107,"ไม่รวม VAT",'Orders_PO'!$I$8:$I$107,"Active",'Orders_PO'!$R$8:$R$107,1)))</x:f>
        <x:v>ยังไม่มีรายการ</x:v>
      </x:c>
      <x:c r="G41" s="126"/>
      <x:c r="H41" s="126"/>
      <x:c r="I41" s="126" t="str">
        <x:f>IF(COUNTIFS('Orders_PO'!$Q$8:$Q$107,1,'Orders_PO'!$G$8:$G$107,"THB",'Orders_PO'!$H$8:$H$107,"รวม VAT",'Orders_PO'!$I$8:$I$107,"Active")=0,"ยังไม่มีรายการ",IF(COUNTIFS('Orders_PO'!$Q$8:$Q$107,1,'Orders_PO'!$G$8:$G$107,"THB",'Orders_PO'!$H$8:$H$107,"รวม VAT",'Orders_PO'!$I$8:$I$107,"Active",'Orders_PO'!$R$8:$R$107,1)&lt;COUNTIFS('Orders_PO'!$Q$8:$Q$107,1,'Orders_PO'!$G$8:$G$107,"THB",'Orders_PO'!$H$8:$H$107,"รวม VAT",'Orders_PO'!$I$8:$I$107,"Active"),"มูลค่าไม่ครบ",SUMIFS('Orders_PO'!$F$8:$F$107,'Orders_PO'!$Q$8:$Q$107,1,'Orders_PO'!$G$8:$G$107,"THB",'Orders_PO'!$H$8:$H$107,"รวม VAT",'Orders_PO'!$I$8:$I$107,"Active",'Orders_PO'!$R$8:$R$107,1)))</x:f>
        <x:v>ยังไม่มีรายการ</x:v>
      </x:c>
      <x:c r="J41" s="126"/>
      <x:c r="K41" s="126"/>
      <x:c r="L41" s="46" t="str">
        <x:v>Booked order value ไม่ใช่เงินสดรับ</x:v>
      </x:c>
      <x:c r="M41" s="46"/>
      <x:c r="N41" s="46"/>
      <x:c r="O41" s="46"/>
      <x:c r="P41" s="46"/>
    </x:row>
    <x:row r="42" ht="25" customHeight="1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</x:row>
    <x:row r="43" ht="34" customHeight="1">
      <x:c r="A43" s="120" t="str">
        <x:v>PO ที่หลักฐานครบ แต่มูลค่า/ฐาน/สกุลยังไม่ครบ หรือไม่ใช่ THB</x:v>
      </x:c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 t="n">
        <x:f>COUNTIF('Orders_PO'!$Q$8:$Q$107,1)-COUNTIFS('Orders_PO'!$Q$8:$Q$107,1,'Orders_PO'!$R$8:$R$107,1,'Orders_PO'!$G$8:$G$107,"THB")</x:f>
        <x:v>0</x:v>
      </x:c>
      <x:c r="M43" s="120"/>
      <x:c r="N43" s="120"/>
      <x:c r="O43" s="120"/>
      <x:c r="P43" s="120"/>
    </x:row>
    <x:row r="44" ht="25" customHeight="1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</x:row>
    <x:row r="45" ht="24" customHeight="1">
      <x:c r="A45" s="11" t="str">
        <x:v>ไม่มีรายการ = ยังไม่มีเอกสารที่เข้าเกณฑ์ในไฟล์ ไม่ได้แปลว่าบริษัทมียอดขาย 0
มูลค่าไม่ครบ = มีเอกสารแต่ข้อมูลมูลค่ายังขาด ห้ามอ่านผลรวมบางส่วนเป็นยอดทั้งหมด
ไม่รวมเอกสารที่ตรวจไม่ผ่านหรือ Lead ที่ไม่มี ID/ไม่ใช่ Real-production; ตรวจคอลัมน์เตือนก่อนใช้รายงาน</x:v>
      </x:c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</x:row>
    <x:row r="46" ht="24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</x:row>
    <x:row r="47" ht="24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</x:row>
    <x:row r="48" ht="25" customHeight="1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</x:row>
    <x:row r="49" ht="31" customHeight="1">
      <x:c r="A49" s="128" t="str">
        <x:v>ที่มา: Analysis-CRM-plan.md §2 และ §5.4 + ข้อยืนยัน Won = ได้รับ PO • Dashboard นี้ไม่มีข้อมูลบัญชี/เงินรับ จึงไม่มี ROAS</x:v>
      </x:c>
      <x:c r="B49" s="128"/>
      <x:c r="C49" s="128"/>
      <x:c r="D49" s="128"/>
      <x:c r="E49" s="128"/>
      <x:c r="F49" s="128"/>
      <x:c r="G49" s="128"/>
      <x:c r="H49" s="128"/>
      <x:c r="I49" s="128"/>
      <x:c r="J49" s="128"/>
      <x:c r="K49" s="128"/>
      <x:c r="L49" s="128"/>
      <x:c r="M49" s="128"/>
      <x:c r="N49" s="128"/>
      <x:c r="O49" s="128"/>
      <x:c r="P49" s="128"/>
    </x:row>
    <x:row r="50" ht="25" customHeight="1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</x:row>
    <x:row r="51" ht="25" customHeight="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</x:row>
    <x:row r="52" ht="25" customHeight="1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</x:row>
    <x:row r="53" ht="25" customHeight="1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</x:row>
  </x:sheetData>
  <x:mergeCells>
    <x:mergeCell ref="A1:P2"/>
    <x:mergeCell ref="A3:P3"/>
    <x:mergeCell ref="A4:D4"/>
    <x:mergeCell ref="E4:G4"/>
    <x:mergeCell ref="I4:L4"/>
    <x:mergeCell ref="M4:P4"/>
    <x:mergeCell ref="A6:D6"/>
    <x:mergeCell ref="A7:D9"/>
    <x:mergeCell ref="E6:H6"/>
    <x:mergeCell ref="E7:H9"/>
    <x:mergeCell ref="I6:L6"/>
    <x:mergeCell ref="I7:L9"/>
    <x:mergeCell ref="M6:P6"/>
    <x:mergeCell ref="M7:P9"/>
    <x:mergeCell ref="A11:D11"/>
    <x:mergeCell ref="A12:D14"/>
    <x:mergeCell ref="E11:H11"/>
    <x:mergeCell ref="E12:H14"/>
    <x:mergeCell ref="I11:L11"/>
    <x:mergeCell ref="I12:L14"/>
    <x:mergeCell ref="M11:P11"/>
    <x:mergeCell ref="M12:P14"/>
    <x:mergeCell ref="A16:P16"/>
    <x:mergeCell ref="A18:F18"/>
    <x:mergeCell ref="H18:P18"/>
    <x:mergeCell ref="A19:D19"/>
    <x:mergeCell ref="E19:F19"/>
    <x:mergeCell ref="A20:D20"/>
    <x:mergeCell ref="E20:F20"/>
    <x:mergeCell ref="A21:D21"/>
    <x:mergeCell ref="E21:F21"/>
    <x:mergeCell ref="A22:D22"/>
    <x:mergeCell ref="E22:F22"/>
    <x:mergeCell ref="A23:D23"/>
    <x:mergeCell ref="E23:F23"/>
    <x:mergeCell ref="A24:D24"/>
    <x:mergeCell ref="E24:F24"/>
    <x:mergeCell ref="A25:D25"/>
    <x:mergeCell ref="E25:F25"/>
    <x:mergeCell ref="A26:D26"/>
    <x:mergeCell ref="E26:F26"/>
    <x:mergeCell ref="A27:D27"/>
    <x:mergeCell ref="E27:F27"/>
    <x:mergeCell ref="A28:D28"/>
    <x:mergeCell ref="E28:F28"/>
    <x:mergeCell ref="A29:D29"/>
    <x:mergeCell ref="E29:F29"/>
    <x:mergeCell ref="A30:D30"/>
    <x:mergeCell ref="E30:F30"/>
    <x:mergeCell ref="H19:M19"/>
    <x:mergeCell ref="N19:P19"/>
    <x:mergeCell ref="H20:M20"/>
    <x:mergeCell ref="N20:P20"/>
    <x:mergeCell ref="H21:M21"/>
    <x:mergeCell ref="N21:P21"/>
    <x:mergeCell ref="H22:M22"/>
    <x:mergeCell ref="N22:P22"/>
    <x:mergeCell ref="H23:M23"/>
    <x:mergeCell ref="N23:P23"/>
    <x:mergeCell ref="H24:M24"/>
    <x:mergeCell ref="N24:P24"/>
    <x:mergeCell ref="H25:M25"/>
    <x:mergeCell ref="N25:P25"/>
    <x:mergeCell ref="H26:M26"/>
    <x:mergeCell ref="N26:P26"/>
    <x:mergeCell ref="H28:P30"/>
    <x:mergeCell ref="A33:F33"/>
    <x:mergeCell ref="G33:I33"/>
    <x:mergeCell ref="J33:P33"/>
    <x:mergeCell ref="A36:P36"/>
    <x:mergeCell ref="A37:E37"/>
    <x:mergeCell ref="F37:H37"/>
    <x:mergeCell ref="I37:K37"/>
    <x:mergeCell ref="L37:P37"/>
    <x:mergeCell ref="A38:E38"/>
    <x:mergeCell ref="F38:H38"/>
    <x:mergeCell ref="I38:K38"/>
    <x:mergeCell ref="L38:P38"/>
    <x:mergeCell ref="A39:E39"/>
    <x:mergeCell ref="F39:H39"/>
    <x:mergeCell ref="I39:K39"/>
    <x:mergeCell ref="L39:P39"/>
    <x:mergeCell ref="A40:E40"/>
    <x:mergeCell ref="F40:H40"/>
    <x:mergeCell ref="I40:K40"/>
    <x:mergeCell ref="L40:P40"/>
    <x:mergeCell ref="A41:E41"/>
    <x:mergeCell ref="F41:H41"/>
    <x:mergeCell ref="I41:K41"/>
    <x:mergeCell ref="L41:P41"/>
    <x:mergeCell ref="A43:K43"/>
    <x:mergeCell ref="L43:P43"/>
    <x:mergeCell ref="A45:P47"/>
    <x:mergeCell ref="A49:P4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1" hidden="0" customWidth="1"/>
    <x:col min="3" max="3" width="24" hidden="0" customWidth="1"/>
    <x:col min="4" max="4" width="21" hidden="0" customWidth="1"/>
    <x:col min="5" max="5" width="21" hidden="0" customWidth="1"/>
    <x:col min="6" max="6" width="24" hidden="0" customWidth="1"/>
    <x:col min="7" max="7" width="18" hidden="0" customWidth="1"/>
    <x:col min="8" max="8" width="19" hidden="0" customWidth="1"/>
    <x:col min="9" max="9" width="21" hidden="0" customWidth="1"/>
    <x:col min="10" max="10" width="29" hidden="0" customWidth="1"/>
    <x:col min="11" max="11" width="24" hidden="0" customWidth="1"/>
    <x:col min="12" max="12" width="26" hidden="0" customWidth="1"/>
    <x:col min="13" max="13" width="12" hidden="0" customWidth="1"/>
    <x:col min="14" max="14" width="20" hidden="0" customWidth="1"/>
    <x:col min="15" max="15" width="21" hidden="0" customWidth="1"/>
    <x:col min="16" max="16" width="40" hidden="0" customWidth="1"/>
    <x:col min="17" max="17" width="26" hidden="0" customWidth="1"/>
    <x:col min="18" max="18" width="21" hidden="0" customWidth="1"/>
    <x:col min="19" max="19" width="23" hidden="0" customWidth="1"/>
    <x:col min="20" max="20" width="20" hidden="0" customWidth="1"/>
    <x:col min="21" max="21" width="36" hidden="0" customWidth="1"/>
    <x:col min="22" max="22" width="27" hidden="0" customWidth="1"/>
    <x:col min="23" max="23" width="33" hidden="0" customWidth="1"/>
    <x:col min="24" max="24" width="21" hidden="0" customWidth="1"/>
    <x:col min="25" max="25" width="19" hidden="0" customWidth="1"/>
    <x:col min="26" max="26" width="22" hidden="0" customWidth="1"/>
    <x:col min="27" max="27" width="29" hidden="0" customWidth="1"/>
    <x:col min="28" max="28" width="33" hidden="0" customWidth="1"/>
  </x:cols>
  <x:sheetData>
    <x:row r="1" ht="25" customHeight="1">
      <x:c r="A1" s="7" t="str">
        <x:v>DD BOX  |  พื้นที่ตรวจไฟล์นำเข้า</x:v>
      </x:c>
      <x:c r="B1" s="7"/>
      <x:c r="C1" s="7"/>
      <x:c r="D1" s="7"/>
      <x:c r="E1" s="7"/>
      <x:c r="F1" s="7"/>
      <x:c r="G1" s="7"/>
      <x:c r="H1" s="7"/>
      <x:c r="I1" s="7"/>
      <x:c r="J1" s="7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40" customHeight="1">
      <x:c r="A3" s="11" t="str">
        <x:v>สำหรับเปา • วางค่าเฉพาะ A:Z • นำเข้าเฉพาะ NEW ตามชื่อ field • EXISTS ห้ามวางทับงานเดิม • สูตรนี้ไม่ย้ายข้อมูลให้อัตโนมัติ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24" customHeight="1">
      <x:c r="A4" s="14" t="str">
        <x:v>วิธีใช้: เปิดแท็บ Guide_Lists</x:v>
      </x:c>
      <x:c r="B4" s="14"/>
      <x:c r="C4" s="14"/>
      <x:c r="D4" s="16" t="str">
        <x:v>ภาพรวม: เปิดแท็บ Dashboard</x:v>
      </x:c>
      <x:c r="E4" s="16"/>
      <x:c r="F4" s="16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27" customHeight="1">
      <x:c r="A5" s="19" t="str">
        <x:v>01  ตัวระบุจากระบบ</x:v>
      </x:c>
      <x:c r="B5" s="19"/>
      <x:c r="C5" s="19"/>
      <x:c r="D5" s="19"/>
      <x:c r="E5" s="19" t="str">
        <x:v>02  ผู้ติดต่อ</x:v>
      </x:c>
      <x:c r="F5" s="19"/>
      <x:c r="G5" s="19"/>
      <x:c r="H5" s="19"/>
      <x:c r="I5" s="19"/>
      <x:c r="J5" s="19"/>
      <x:c r="K5" s="19" t="str">
        <x:v>03  ข้อมูลงาน</x:v>
      </x:c>
      <x:c r="L5" s="19"/>
      <x:c r="M5" s="19"/>
      <x:c r="N5" s="19"/>
      <x:c r="O5" s="19"/>
      <x:c r="P5" s="19"/>
      <x:c r="Q5" s="19"/>
      <x:c r="R5" s="19" t="str">
        <x:v>04  ที่มาและรอบส่งออก</x:v>
      </x:c>
      <x:c r="S5" s="19"/>
      <x:c r="T5" s="19"/>
      <x:c r="U5" s="19"/>
      <x:c r="V5" s="19"/>
      <x:c r="W5" s="19"/>
      <x:c r="X5" s="19"/>
      <x:c r="Y5" s="19"/>
      <x:c r="Z5" s="19"/>
      <x:c r="AA5" s="19" t="str">
        <x:v>05  ผลตรวจ — สูตร</x:v>
      </x:c>
      <x:c r="AB5" s="19"/>
    </x:row>
    <x:row r="6" ht="22" customHeight="1">
      <x:c r="A6" s="23" t="str">
        <x:v>lead_id</x:v>
      </x:c>
      <x:c r="B6" s="23" t="str">
        <x:v>lead_reference</x:v>
      </x:c>
      <x:c r="C6" s="23" t="str">
        <x:v>received_at_th</x:v>
      </x:c>
      <x:c r="D6" s="23" t="str">
        <x:v>lead_origin</x:v>
      </x:c>
      <x:c r="E6" s="23" t="str">
        <x:v>contact_name</x:v>
      </x:c>
      <x:c r="F6" s="23" t="str">
        <x:v>company</x:v>
      </x:c>
      <x:c r="G6" s="23" t="str">
        <x:v>preferred_contact</x:v>
      </x:c>
      <x:c r="H6" s="23" t="str">
        <x:v>phone</x:v>
      </x:c>
      <x:c r="I6" s="23" t="str">
        <x:v>line_id</x:v>
      </x:c>
      <x:c r="J6" s="23" t="str">
        <x:v>email</x:v>
      </x:c>
      <x:c r="K6" s="23" t="str">
        <x:v>customer_path</x:v>
      </x:c>
      <x:c r="L6" s="23" t="str">
        <x:v>product_type</x:v>
      </x:c>
      <x:c r="M6" s="23" t="str">
        <x:v>quantity</x:v>
      </x:c>
      <x:c r="N6" s="23" t="str">
        <x:v>delivery_province</x:v>
      </x:c>
      <x:c r="O6" s="23" t="str">
        <x:v>required_date</x:v>
      </x:c>
      <x:c r="P6" s="23" t="str">
        <x:v>project_details</x:v>
      </x:c>
      <x:c r="Q6" s="23" t="str">
        <x:v>submission_path</x:v>
      </x:c>
      <x:c r="R6" s="23" t="str">
        <x:v>attribution_status</x:v>
      </x:c>
      <x:c r="S6" s="23" t="str">
        <x:v>last_utm_source</x:v>
      </x:c>
      <x:c r="T6" s="23" t="str">
        <x:v>last_utm_medium</x:v>
      </x:c>
      <x:c r="U6" s="23" t="str">
        <x:v>last_utm_campaign</x:v>
      </x:c>
      <x:c r="V6" s="23" t="str">
        <x:v>last_utm_id</x:v>
      </x:c>
      <x:c r="W6" s="23" t="str">
        <x:v>last_utm_term</x:v>
      </x:c>
      <x:c r="X6" s="23" t="str">
        <x:v>gclid_present</x:v>
      </x:c>
      <x:c r="Y6" s="23" t="str">
        <x:v>source_environment</x:v>
      </x:c>
      <x:c r="Z6" s="23" t="str">
        <x:v>exported_at</x:v>
      </x:c>
      <x:c r="AA6" s="23" t="str">
        <x:v>import_decision</x:v>
      </x:c>
      <x:c r="AB6" s="23" t="str">
        <x:v>conflict_check</x:v>
      </x:c>
    </x:row>
    <x:row r="7" ht="40" customHeight="1">
      <x:c r="A7" s="27" t="str">
        <x:v>Lead ID</x:v>
      </x:c>
      <x:c r="B7" s="27" t="str">
        <x:v>รหัสอ้างอิง</x:v>
      </x:c>
      <x:c r="C7" s="27" t="str">
        <x:v>รับ Lead เมื่อ (เวลาไทย)</x:v>
      </x:c>
      <x:c r="D7" s="27" t="str">
        <x:v>ช่องทางรับ Lead</x:v>
      </x:c>
      <x:c r="E7" s="27" t="str">
        <x:v>ผู้ติดต่อ</x:v>
      </x:c>
      <x:c r="F7" s="27" t="str">
        <x:v>บริษัท / แบรนด์</x:v>
      </x:c>
      <x:c r="G7" s="27" t="str">
        <x:v>ช่องทางที่สะดวก</x:v>
      </x:c>
      <x:c r="H7" s="27" t="str">
        <x:v>เบอร์โทร</x:v>
      </x:c>
      <x:c r="I7" s="27" t="str">
        <x:v>LINE ID ลูกค้า</x:v>
      </x:c>
      <x:c r="J7" s="27" t="str">
        <x:v>อีเมลลูกค้า</x:v>
      </x:c>
      <x:c r="K7" s="27" t="str">
        <x:v>จุดเริ่มของลูกค้า</x:v>
      </x:c>
      <x:c r="L7" s="27" t="str">
        <x:v>สินค้า / งานกล่อง</x:v>
      </x:c>
      <x:c r="M7" s="27" t="str">
        <x:v>จำนวน (ใบ)</x:v>
      </x:c>
      <x:c r="N7" s="27" t="str">
        <x:v>จังหวัดจัดส่ง</x:v>
      </x:c>
      <x:c r="O7" s="27" t="str">
        <x:v>วันต้องการใช้งาน</x:v>
      </x:c>
      <x:c r="P7" s="27" t="str">
        <x:v>โจทย์ที่ได้รับ</x:v>
      </x:c>
      <x:c r="Q7" s="27" t="str">
        <x:v>หน้าที่ส่งคำขอ</x:v>
      </x:c>
      <x:c r="R7" s="27" t="str">
        <x:v>สถานะที่มา</x:v>
      </x:c>
      <x:c r="S7" s="27" t="str">
        <x:v>แหล่งที่มา</x:v>
      </x:c>
      <x:c r="T7" s="27" t="str">
        <x:v>ประเภทสื่อ</x:v>
      </x:c>
      <x:c r="U7" s="27" t="str">
        <x:v>Campaign</x:v>
      </x:c>
      <x:c r="V7" s="27" t="str">
        <x:v>Campaign ID</x:v>
      </x:c>
      <x:c r="W7" s="27" t="str">
        <x:v>Keyword ที่ match</x:v>
      </x:c>
      <x:c r="X7" s="27" t="str">
        <x:v>มี Click ID หรือไม่</x:v>
      </x:c>
      <x:c r="Y7" s="27" t="str">
        <x:v>Environment</x:v>
      </x:c>
      <x:c r="Z7" s="27" t="str">
        <x:v>เวลาส่งออก</x:v>
      </x:c>
      <x:c r="AA7" s="27" t="str">
        <x:v>ผลตรวจนำเข้า · สูตร</x:v>
      </x:c>
      <x:c r="AB7" s="27" t="str">
        <x:v>ข้อมูลเดิมเปลี่ยน? · สูตร</x:v>
      </x:c>
    </x:row>
    <x:row r="8" ht="30" customHeight="1">
      <x:c r="A8" s="94"/>
      <x:c r="B8" s="94"/>
      <x:c r="C8" s="86"/>
      <x:c r="D8" s="32"/>
      <x:c r="E8" s="32"/>
      <x:c r="F8" s="32"/>
      <x:c r="G8" s="32"/>
      <x:c r="H8" s="94"/>
      <x:c r="I8" s="94"/>
      <x:c r="J8" s="94"/>
      <x:c r="K8" s="32"/>
      <x:c r="L8" s="32"/>
      <x:c r="M8" s="32"/>
      <x:c r="N8" s="32"/>
      <x:c r="O8" s="88"/>
      <x:c r="P8" s="32"/>
      <x:c r="Q8" s="32"/>
      <x:c r="R8" s="32"/>
      <x:c r="S8" s="32"/>
      <x:c r="T8" s="32"/>
      <x:c r="U8" s="32"/>
      <x:c r="V8" s="94"/>
      <x:c r="W8" s="32"/>
      <x:c r="X8" s="32"/>
      <x:c r="Y8" s="32"/>
      <x:c r="Z8" s="86"/>
      <x:c r="AA8" s="42" t="str">
        <x:f>IF(AND($A8="",$B8=""),"",IF(OR($A8="",$B8=""),"CHECK_INPUT",IF(OR($Y8="test",COUNTIF('Guide_Lists'!$AR$2:$AR$4,$B8)&gt;0),"TEST_DO_NOT_IMPORT",IF(OR(COUNTIF('Import_Staging'!$A$8:$A$107,$A8)&gt;1,COUNTIF('Import_Staging'!$B$8:$B$107,$B8)&gt;1),"DUPLICATE_IN_IMPORT",IF(COUNTIF('Leads'!$AE$8:$AE$107,$A8)&gt;0,"EXISTS",IF(COUNTIF('Leads'!$A$8:$A$107,$B8)&gt;0,"CHECK_INPUT",IF(AND($Y8="production",ISNUMBER($C8)),"NEW","CHECK_INPUT")))))))</x:f>
      </x:c>
      <x:c r="AB8" s="42" t="str">
        <x:f>IF($AA8="","",IF($AA8&lt;&gt;"EXISTS","",IFERROR(IF(OR(IF(INDEX('Leads'!$A$8:$A$107,MATCH($A8,'Leads'!$AE$8:$AE$107,0))="","",INDEX('Leads'!$A$8:$A$107,MATCH($A8,'Leads'!$AE$8:$AE$107,0)))&lt;&gt;$B8,IF(INDEX('Leads'!$AF$8:$AF$107,MATCH($A8,'Leads'!$AE$8:$AE$107,0))="","",INDEX('Leads'!$AF$8:$AF$107,MATCH($A8,'Leads'!$AE$8:$AE$107,0)))&lt;&gt;$C8,IF(INDEX('Leads'!$AG$8:$AG$107,MATCH($A8,'Leads'!$AE$8:$AE$107,0))="","",INDEX('Leads'!$AG$8:$AG$107,MATCH($A8,'Leads'!$AE$8:$AE$107,0)))&lt;&gt;$D8,IF(INDEX('Leads'!$B$8:$B$107,MATCH($A8,'Leads'!$AE$8:$AE$107,0))="","",INDEX('Leads'!$B$8:$B$107,MATCH($A8,'Leads'!$AE$8:$AE$107,0)))&lt;&gt;$E8,IF(INDEX('Leads'!$C$8:$C$107,MATCH($A8,'Leads'!$AE$8:$AE$107,0))="","",INDEX('Leads'!$C$8:$C$107,MATCH($A8,'Leads'!$AE$8:$AE$107,0)))&lt;&gt;$F8,IF(INDEX('Leads'!$K$8:$K$107,MATCH($A8,'Leads'!$AE$8:$AE$107,0))="","",INDEX('Leads'!$K$8:$K$107,MATCH($A8,'Leads'!$AE$8:$AE$107,0)))&lt;&gt;$G8,IF(INDEX('Leads'!$L$8:$L$107,MATCH($A8,'Leads'!$AE$8:$AE$107,0))="","",INDEX('Leads'!$L$8:$L$107,MATCH($A8,'Leads'!$AE$8:$AE$107,0)))&lt;&gt;$H8,IF(INDEX('Leads'!$M$8:$M$107,MATCH($A8,'Leads'!$AE$8:$AE$107,0))="","",INDEX('Leads'!$M$8:$M$107,MATCH($A8,'Leads'!$AE$8:$AE$107,0)))&lt;&gt;$I8,IF(INDEX('Leads'!$N$8:$N$107,MATCH($A8,'Leads'!$AE$8:$AE$107,0))="","",INDEX('Leads'!$N$8:$N$107,MATCH($A8,'Leads'!$AE$8:$AE$107,0)))&lt;&gt;$J8,IF(INDEX('Leads'!$AH$8:$AH$107,MATCH($A8,'Leads'!$AE$8:$AE$107,0))="","",INDEX('Leads'!$AH$8:$AH$107,MATCH($A8,'Leads'!$AE$8:$AE$107,0)))&lt;&gt;$K8,IF(INDEX('Leads'!$D$8:$D$107,MATCH($A8,'Leads'!$AE$8:$AE$107,0))="","",INDEX('Leads'!$D$8:$D$107,MATCH($A8,'Leads'!$AE$8:$AE$107,0)))&lt;&gt;$L8,IF(INDEX('Leads'!$E$8:$E$107,MATCH($A8,'Leads'!$AE$8:$AE$107,0))="","",INDEX('Leads'!$E$8:$E$107,MATCH($A8,'Leads'!$AE$8:$AE$107,0)))&lt;&gt;$M8,IF(INDEX('Leads'!$AI$8:$AI$107,MATCH($A8,'Leads'!$AE$8:$AE$107,0))="","",INDEX('Leads'!$AI$8:$AI$107,MATCH($A8,'Leads'!$AE$8:$AE$107,0)))&lt;&gt;$N8,IF(INDEX('Leads'!$AJ$8:$AJ$107,MATCH($A8,'Leads'!$AE$8:$AE$107,0))="","",INDEX('Leads'!$AJ$8:$AJ$107,MATCH($A8,'Leads'!$AE$8:$AE$107,0)))&lt;&gt;$O8,IF(INDEX('Leads'!$AK$8:$AK$107,MATCH($A8,'Leads'!$AE$8:$AE$107,0))="","",INDEX('Leads'!$AK$8:$AK$107,MATCH($A8,'Leads'!$AE$8:$AE$107,0)))&lt;&gt;$P8,IF(INDEX('Leads'!$AL$8:$AL$107,MATCH($A8,'Leads'!$AE$8:$AE$107,0))="","",INDEX('Leads'!$AL$8:$AL$107,MATCH($A8,'Leads'!$AE$8:$AE$107,0)))&lt;&gt;$Q8,IF(INDEX('Leads'!$AM$8:$AM$107,MATCH($A8,'Leads'!$AE$8:$AE$107,0))="","",INDEX('Leads'!$AM$8:$AM$107,MATCH($A8,'Leads'!$AE$8:$AE$107,0)))&lt;&gt;$R8,IF(INDEX('Leads'!$AN$8:$AN$107,MATCH($A8,'Leads'!$AE$8:$AE$107,0))="","",INDEX('Leads'!$AN$8:$AN$107,MATCH($A8,'Leads'!$AE$8:$AE$107,0)))&lt;&gt;$S8,IF(INDEX('Leads'!$AO$8:$AO$107,MATCH($A8,'Leads'!$AE$8:$AE$107,0))="","",INDEX('Leads'!$AO$8:$AO$107,MATCH($A8,'Leads'!$AE$8:$AE$107,0)))&lt;&gt;$T8,IF(INDEX('Leads'!$AP$8:$AP$107,MATCH($A8,'Leads'!$AE$8:$AE$107,0))="","",INDEX('Leads'!$AP$8:$AP$107,MATCH($A8,'Leads'!$AE$8:$AE$107,0)))&lt;&gt;$U8,IF(INDEX('Leads'!$AQ$8:$AQ$107,MATCH($A8,'Leads'!$AE$8:$AE$107,0))="","",INDEX('Leads'!$AQ$8:$AQ$107,MATCH($A8,'Leads'!$AE$8:$AE$107,0)))&lt;&gt;$V8,IF(INDEX('Leads'!$AR$8:$AR$107,MATCH($A8,'Leads'!$AE$8:$AE$107,0))="","",INDEX('Leads'!$AR$8:$AR$107,MATCH($A8,'Leads'!$AE$8:$AE$107,0)))&lt;&gt;$W8,IF(INDEX('Leads'!$AS$8:$AS$107,MATCH($A8,'Leads'!$AE$8:$AE$107,0))="","",INDEX('Leads'!$AS$8:$AS$107,MATCH($A8,'Leads'!$AE$8:$AE$107,0)))&lt;&gt;$X8,IF(INDEX('Leads'!$AT$8:$AT$107,MATCH($A8,'Leads'!$AE$8:$AE$107,0))="","",INDEX('Leads'!$AT$8:$AT$107,MATCH($A8,'Leads'!$AE$8:$AE$107,0)))&lt;&gt;$Y8),"ข้อมูลรับเข้าต่าง — ตรวจเอง","ตรงกัน — ห้ามนำเข้าซ้ำ"),"ตรวจ Lead ID เดิม")))</x:f>
      </x:c>
    </x:row>
    <x:row r="9" ht="30" customHeight="1">
      <x:c r="A9" s="94"/>
      <x:c r="B9" s="94"/>
      <x:c r="C9" s="86"/>
      <x:c r="D9" s="32"/>
      <x:c r="E9" s="32"/>
      <x:c r="F9" s="32"/>
      <x:c r="G9" s="32"/>
      <x:c r="H9" s="94"/>
      <x:c r="I9" s="94"/>
      <x:c r="J9" s="94"/>
      <x:c r="K9" s="32"/>
      <x:c r="L9" s="32"/>
      <x:c r="M9" s="32"/>
      <x:c r="N9" s="32"/>
      <x:c r="O9" s="88"/>
      <x:c r="P9" s="32"/>
      <x:c r="Q9" s="32"/>
      <x:c r="R9" s="32"/>
      <x:c r="S9" s="32"/>
      <x:c r="T9" s="32"/>
      <x:c r="U9" s="32"/>
      <x:c r="V9" s="94"/>
      <x:c r="W9" s="32"/>
      <x:c r="X9" s="32"/>
      <x:c r="Y9" s="32"/>
      <x:c r="Z9" s="86"/>
      <x:c r="AA9" s="42" t="str">
        <x:f>IF(AND($A9="",$B9=""),"",IF(OR($A9="",$B9=""),"CHECK_INPUT",IF(OR($Y9="test",COUNTIF('Guide_Lists'!$AR$2:$AR$4,$B9)&gt;0),"TEST_DO_NOT_IMPORT",IF(OR(COUNTIF('Import_Staging'!$A$8:$A$107,$A9)&gt;1,COUNTIF('Import_Staging'!$B$8:$B$107,$B9)&gt;1),"DUPLICATE_IN_IMPORT",IF(COUNTIF('Leads'!$AE$8:$AE$107,$A9)&gt;0,"EXISTS",IF(COUNTIF('Leads'!$A$8:$A$107,$B9)&gt;0,"CHECK_INPUT",IF(AND($Y9="production",ISNUMBER($C9)),"NEW","CHECK_INPUT")))))))</x:f>
      </x:c>
      <x:c r="AB9" s="42" t="str">
        <x:f>IF($AA9="","",IF($AA9&lt;&gt;"EXISTS","",IFERROR(IF(OR(IF(INDEX('Leads'!$A$8:$A$107,MATCH($A9,'Leads'!$AE$8:$AE$107,0))="","",INDEX('Leads'!$A$8:$A$107,MATCH($A9,'Leads'!$AE$8:$AE$107,0)))&lt;&gt;$B9,IF(INDEX('Leads'!$AF$8:$AF$107,MATCH($A9,'Leads'!$AE$8:$AE$107,0))="","",INDEX('Leads'!$AF$8:$AF$107,MATCH($A9,'Leads'!$AE$8:$AE$107,0)))&lt;&gt;$C9,IF(INDEX('Leads'!$AG$8:$AG$107,MATCH($A9,'Leads'!$AE$8:$AE$107,0))="","",INDEX('Leads'!$AG$8:$AG$107,MATCH($A9,'Leads'!$AE$8:$AE$107,0)))&lt;&gt;$D9,IF(INDEX('Leads'!$B$8:$B$107,MATCH($A9,'Leads'!$AE$8:$AE$107,0))="","",INDEX('Leads'!$B$8:$B$107,MATCH($A9,'Leads'!$AE$8:$AE$107,0)))&lt;&gt;$E9,IF(INDEX('Leads'!$C$8:$C$107,MATCH($A9,'Leads'!$AE$8:$AE$107,0))="","",INDEX('Leads'!$C$8:$C$107,MATCH($A9,'Leads'!$AE$8:$AE$107,0)))&lt;&gt;$F9,IF(INDEX('Leads'!$K$8:$K$107,MATCH($A9,'Leads'!$AE$8:$AE$107,0))="","",INDEX('Leads'!$K$8:$K$107,MATCH($A9,'Leads'!$AE$8:$AE$107,0)))&lt;&gt;$G9,IF(INDEX('Leads'!$L$8:$L$107,MATCH($A9,'Leads'!$AE$8:$AE$107,0))="","",INDEX('Leads'!$L$8:$L$107,MATCH($A9,'Leads'!$AE$8:$AE$107,0)))&lt;&gt;$H9,IF(INDEX('Leads'!$M$8:$M$107,MATCH($A9,'Leads'!$AE$8:$AE$107,0))="","",INDEX('Leads'!$M$8:$M$107,MATCH($A9,'Leads'!$AE$8:$AE$107,0)))&lt;&gt;$I9,IF(INDEX('Leads'!$N$8:$N$107,MATCH($A9,'Leads'!$AE$8:$AE$107,0))="","",INDEX('Leads'!$N$8:$N$107,MATCH($A9,'Leads'!$AE$8:$AE$107,0)))&lt;&gt;$J9,IF(INDEX('Leads'!$AH$8:$AH$107,MATCH($A9,'Leads'!$AE$8:$AE$107,0))="","",INDEX('Leads'!$AH$8:$AH$107,MATCH($A9,'Leads'!$AE$8:$AE$107,0)))&lt;&gt;$K9,IF(INDEX('Leads'!$D$8:$D$107,MATCH($A9,'Leads'!$AE$8:$AE$107,0))="","",INDEX('Leads'!$D$8:$D$107,MATCH($A9,'Leads'!$AE$8:$AE$107,0)))&lt;&gt;$L9,IF(INDEX('Leads'!$E$8:$E$107,MATCH($A9,'Leads'!$AE$8:$AE$107,0))="","",INDEX('Leads'!$E$8:$E$107,MATCH($A9,'Leads'!$AE$8:$AE$107,0)))&lt;&gt;$M9,IF(INDEX('Leads'!$AI$8:$AI$107,MATCH($A9,'Leads'!$AE$8:$AE$107,0))="","",INDEX('Leads'!$AI$8:$AI$107,MATCH($A9,'Leads'!$AE$8:$AE$107,0)))&lt;&gt;$N9,IF(INDEX('Leads'!$AJ$8:$AJ$107,MATCH($A9,'Leads'!$AE$8:$AE$107,0))="","",INDEX('Leads'!$AJ$8:$AJ$107,MATCH($A9,'Leads'!$AE$8:$AE$107,0)))&lt;&gt;$O9,IF(INDEX('Leads'!$AK$8:$AK$107,MATCH($A9,'Leads'!$AE$8:$AE$107,0))="","",INDEX('Leads'!$AK$8:$AK$107,MATCH($A9,'Leads'!$AE$8:$AE$107,0)))&lt;&gt;$P9,IF(INDEX('Leads'!$AL$8:$AL$107,MATCH($A9,'Leads'!$AE$8:$AE$107,0))="","",INDEX('Leads'!$AL$8:$AL$107,MATCH($A9,'Leads'!$AE$8:$AE$107,0)))&lt;&gt;$Q9,IF(INDEX('Leads'!$AM$8:$AM$107,MATCH($A9,'Leads'!$AE$8:$AE$107,0))="","",INDEX('Leads'!$AM$8:$AM$107,MATCH($A9,'Leads'!$AE$8:$AE$107,0)))&lt;&gt;$R9,IF(INDEX('Leads'!$AN$8:$AN$107,MATCH($A9,'Leads'!$AE$8:$AE$107,0))="","",INDEX('Leads'!$AN$8:$AN$107,MATCH($A9,'Leads'!$AE$8:$AE$107,0)))&lt;&gt;$S9,IF(INDEX('Leads'!$AO$8:$AO$107,MATCH($A9,'Leads'!$AE$8:$AE$107,0))="","",INDEX('Leads'!$AO$8:$AO$107,MATCH($A9,'Leads'!$AE$8:$AE$107,0)))&lt;&gt;$T9,IF(INDEX('Leads'!$AP$8:$AP$107,MATCH($A9,'Leads'!$AE$8:$AE$107,0))="","",INDEX('Leads'!$AP$8:$AP$107,MATCH($A9,'Leads'!$AE$8:$AE$107,0)))&lt;&gt;$U9,IF(INDEX('Leads'!$AQ$8:$AQ$107,MATCH($A9,'Leads'!$AE$8:$AE$107,0))="","",INDEX('Leads'!$AQ$8:$AQ$107,MATCH($A9,'Leads'!$AE$8:$AE$107,0)))&lt;&gt;$V9,IF(INDEX('Leads'!$AR$8:$AR$107,MATCH($A9,'Leads'!$AE$8:$AE$107,0))="","",INDEX('Leads'!$AR$8:$AR$107,MATCH($A9,'Leads'!$AE$8:$AE$107,0)))&lt;&gt;$W9,IF(INDEX('Leads'!$AS$8:$AS$107,MATCH($A9,'Leads'!$AE$8:$AE$107,0))="","",INDEX('Leads'!$AS$8:$AS$107,MATCH($A9,'Leads'!$AE$8:$AE$107,0)))&lt;&gt;$X9,IF(INDEX('Leads'!$AT$8:$AT$107,MATCH($A9,'Leads'!$AE$8:$AE$107,0))="","",INDEX('Leads'!$AT$8:$AT$107,MATCH($A9,'Leads'!$AE$8:$AE$107,0)))&lt;&gt;$Y9),"ข้อมูลรับเข้าต่าง — ตรวจเอง","ตรงกัน — ห้ามนำเข้าซ้ำ"),"ตรวจ Lead ID เดิม")))</x:f>
      </x:c>
    </x:row>
    <x:row r="10" ht="30" customHeight="1">
      <x:c r="A10" s="94"/>
      <x:c r="B10" s="94"/>
      <x:c r="C10" s="86"/>
      <x:c r="D10" s="32"/>
      <x:c r="E10" s="32"/>
      <x:c r="F10" s="32"/>
      <x:c r="G10" s="32"/>
      <x:c r="H10" s="94"/>
      <x:c r="I10" s="94"/>
      <x:c r="J10" s="94"/>
      <x:c r="K10" s="32"/>
      <x:c r="L10" s="32"/>
      <x:c r="M10" s="32"/>
      <x:c r="N10" s="32"/>
      <x:c r="O10" s="88"/>
      <x:c r="P10" s="32"/>
      <x:c r="Q10" s="32"/>
      <x:c r="R10" s="32"/>
      <x:c r="S10" s="32"/>
      <x:c r="T10" s="32"/>
      <x:c r="U10" s="32"/>
      <x:c r="V10" s="94"/>
      <x:c r="W10" s="32"/>
      <x:c r="X10" s="32"/>
      <x:c r="Y10" s="32"/>
      <x:c r="Z10" s="86"/>
      <x:c r="AA10" s="42" t="str">
        <x:f>IF(AND($A10="",$B10=""),"",IF(OR($A10="",$B10=""),"CHECK_INPUT",IF(OR($Y10="test",COUNTIF('Guide_Lists'!$AR$2:$AR$4,$B10)&gt;0),"TEST_DO_NOT_IMPORT",IF(OR(COUNTIF('Import_Staging'!$A$8:$A$107,$A10)&gt;1,COUNTIF('Import_Staging'!$B$8:$B$107,$B10)&gt;1),"DUPLICATE_IN_IMPORT",IF(COUNTIF('Leads'!$AE$8:$AE$107,$A10)&gt;0,"EXISTS",IF(COUNTIF('Leads'!$A$8:$A$107,$B10)&gt;0,"CHECK_INPUT",IF(AND($Y10="production",ISNUMBER($C10)),"NEW","CHECK_INPUT")))))))</x:f>
      </x:c>
      <x:c r="AB10" s="42" t="str">
        <x:f>IF($AA10="","",IF($AA10&lt;&gt;"EXISTS","",IFERROR(IF(OR(IF(INDEX('Leads'!$A$8:$A$107,MATCH($A10,'Leads'!$AE$8:$AE$107,0))="","",INDEX('Leads'!$A$8:$A$107,MATCH($A10,'Leads'!$AE$8:$AE$107,0)))&lt;&gt;$B10,IF(INDEX('Leads'!$AF$8:$AF$107,MATCH($A10,'Leads'!$AE$8:$AE$107,0))="","",INDEX('Leads'!$AF$8:$AF$107,MATCH($A10,'Leads'!$AE$8:$AE$107,0)))&lt;&gt;$C10,IF(INDEX('Leads'!$AG$8:$AG$107,MATCH($A10,'Leads'!$AE$8:$AE$107,0))="","",INDEX('Leads'!$AG$8:$AG$107,MATCH($A10,'Leads'!$AE$8:$AE$107,0)))&lt;&gt;$D10,IF(INDEX('Leads'!$B$8:$B$107,MATCH($A10,'Leads'!$AE$8:$AE$107,0))="","",INDEX('Leads'!$B$8:$B$107,MATCH($A10,'Leads'!$AE$8:$AE$107,0)))&lt;&gt;$E10,IF(INDEX('Leads'!$C$8:$C$107,MATCH($A10,'Leads'!$AE$8:$AE$107,0))="","",INDEX('Leads'!$C$8:$C$107,MATCH($A10,'Leads'!$AE$8:$AE$107,0)))&lt;&gt;$F10,IF(INDEX('Leads'!$K$8:$K$107,MATCH($A10,'Leads'!$AE$8:$AE$107,0))="","",INDEX('Leads'!$K$8:$K$107,MATCH($A10,'Leads'!$AE$8:$AE$107,0)))&lt;&gt;$G10,IF(INDEX('Leads'!$L$8:$L$107,MATCH($A10,'Leads'!$AE$8:$AE$107,0))="","",INDEX('Leads'!$L$8:$L$107,MATCH($A10,'Leads'!$AE$8:$AE$107,0)))&lt;&gt;$H10,IF(INDEX('Leads'!$M$8:$M$107,MATCH($A10,'Leads'!$AE$8:$AE$107,0))="","",INDEX('Leads'!$M$8:$M$107,MATCH($A10,'Leads'!$AE$8:$AE$107,0)))&lt;&gt;$I10,IF(INDEX('Leads'!$N$8:$N$107,MATCH($A10,'Leads'!$AE$8:$AE$107,0))="","",INDEX('Leads'!$N$8:$N$107,MATCH($A10,'Leads'!$AE$8:$AE$107,0)))&lt;&gt;$J10,IF(INDEX('Leads'!$AH$8:$AH$107,MATCH($A10,'Leads'!$AE$8:$AE$107,0))="","",INDEX('Leads'!$AH$8:$AH$107,MATCH($A10,'Leads'!$AE$8:$AE$107,0)))&lt;&gt;$K10,IF(INDEX('Leads'!$D$8:$D$107,MATCH($A10,'Leads'!$AE$8:$AE$107,0))="","",INDEX('Leads'!$D$8:$D$107,MATCH($A10,'Leads'!$AE$8:$AE$107,0)))&lt;&gt;$L10,IF(INDEX('Leads'!$E$8:$E$107,MATCH($A10,'Leads'!$AE$8:$AE$107,0))="","",INDEX('Leads'!$E$8:$E$107,MATCH($A10,'Leads'!$AE$8:$AE$107,0)))&lt;&gt;$M10,IF(INDEX('Leads'!$AI$8:$AI$107,MATCH($A10,'Leads'!$AE$8:$AE$107,0))="","",INDEX('Leads'!$AI$8:$AI$107,MATCH($A10,'Leads'!$AE$8:$AE$107,0)))&lt;&gt;$N10,IF(INDEX('Leads'!$AJ$8:$AJ$107,MATCH($A10,'Leads'!$AE$8:$AE$107,0))="","",INDEX('Leads'!$AJ$8:$AJ$107,MATCH($A10,'Leads'!$AE$8:$AE$107,0)))&lt;&gt;$O10,IF(INDEX('Leads'!$AK$8:$AK$107,MATCH($A10,'Leads'!$AE$8:$AE$107,0))="","",INDEX('Leads'!$AK$8:$AK$107,MATCH($A10,'Leads'!$AE$8:$AE$107,0)))&lt;&gt;$P10,IF(INDEX('Leads'!$AL$8:$AL$107,MATCH($A10,'Leads'!$AE$8:$AE$107,0))="","",INDEX('Leads'!$AL$8:$AL$107,MATCH($A10,'Leads'!$AE$8:$AE$107,0)))&lt;&gt;$Q10,IF(INDEX('Leads'!$AM$8:$AM$107,MATCH($A10,'Leads'!$AE$8:$AE$107,0))="","",INDEX('Leads'!$AM$8:$AM$107,MATCH($A10,'Leads'!$AE$8:$AE$107,0)))&lt;&gt;$R10,IF(INDEX('Leads'!$AN$8:$AN$107,MATCH($A10,'Leads'!$AE$8:$AE$107,0))="","",INDEX('Leads'!$AN$8:$AN$107,MATCH($A10,'Leads'!$AE$8:$AE$107,0)))&lt;&gt;$S10,IF(INDEX('Leads'!$AO$8:$AO$107,MATCH($A10,'Leads'!$AE$8:$AE$107,0))="","",INDEX('Leads'!$AO$8:$AO$107,MATCH($A10,'Leads'!$AE$8:$AE$107,0)))&lt;&gt;$T10,IF(INDEX('Leads'!$AP$8:$AP$107,MATCH($A10,'Leads'!$AE$8:$AE$107,0))="","",INDEX('Leads'!$AP$8:$AP$107,MATCH($A10,'Leads'!$AE$8:$AE$107,0)))&lt;&gt;$U10,IF(INDEX('Leads'!$AQ$8:$AQ$107,MATCH($A10,'Leads'!$AE$8:$AE$107,0))="","",INDEX('Leads'!$AQ$8:$AQ$107,MATCH($A10,'Leads'!$AE$8:$AE$107,0)))&lt;&gt;$V10,IF(INDEX('Leads'!$AR$8:$AR$107,MATCH($A10,'Leads'!$AE$8:$AE$107,0))="","",INDEX('Leads'!$AR$8:$AR$107,MATCH($A10,'Leads'!$AE$8:$AE$107,0)))&lt;&gt;$W10,IF(INDEX('Leads'!$AS$8:$AS$107,MATCH($A10,'Leads'!$AE$8:$AE$107,0))="","",INDEX('Leads'!$AS$8:$AS$107,MATCH($A10,'Leads'!$AE$8:$AE$107,0)))&lt;&gt;$X10,IF(INDEX('Leads'!$AT$8:$AT$107,MATCH($A10,'Leads'!$AE$8:$AE$107,0))="","",INDEX('Leads'!$AT$8:$AT$107,MATCH($A10,'Leads'!$AE$8:$AE$107,0)))&lt;&gt;$Y10),"ข้อมูลรับเข้าต่าง — ตรวจเอง","ตรงกัน — ห้ามนำเข้าซ้ำ"),"ตรวจ Lead ID เดิม")))</x:f>
      </x:c>
    </x:row>
    <x:row r="11" ht="30" customHeight="1">
      <x:c r="A11" s="94"/>
      <x:c r="B11" s="94"/>
      <x:c r="C11" s="86"/>
      <x:c r="D11" s="32"/>
      <x:c r="E11" s="32"/>
      <x:c r="F11" s="32"/>
      <x:c r="G11" s="32"/>
      <x:c r="H11" s="94"/>
      <x:c r="I11" s="94"/>
      <x:c r="J11" s="94"/>
      <x:c r="K11" s="32"/>
      <x:c r="L11" s="32"/>
      <x:c r="M11" s="32"/>
      <x:c r="N11" s="32"/>
      <x:c r="O11" s="88"/>
      <x:c r="P11" s="32"/>
      <x:c r="Q11" s="32"/>
      <x:c r="R11" s="32"/>
      <x:c r="S11" s="32"/>
      <x:c r="T11" s="32"/>
      <x:c r="U11" s="32"/>
      <x:c r="V11" s="94"/>
      <x:c r="W11" s="32"/>
      <x:c r="X11" s="32"/>
      <x:c r="Y11" s="32"/>
      <x:c r="Z11" s="86"/>
      <x:c r="AA11" s="42" t="str">
        <x:f>IF(AND($A11="",$B11=""),"",IF(OR($A11="",$B11=""),"CHECK_INPUT",IF(OR($Y11="test",COUNTIF('Guide_Lists'!$AR$2:$AR$4,$B11)&gt;0),"TEST_DO_NOT_IMPORT",IF(OR(COUNTIF('Import_Staging'!$A$8:$A$107,$A11)&gt;1,COUNTIF('Import_Staging'!$B$8:$B$107,$B11)&gt;1),"DUPLICATE_IN_IMPORT",IF(COUNTIF('Leads'!$AE$8:$AE$107,$A11)&gt;0,"EXISTS",IF(COUNTIF('Leads'!$A$8:$A$107,$B11)&gt;0,"CHECK_INPUT",IF(AND($Y11="production",ISNUMBER($C11)),"NEW","CHECK_INPUT")))))))</x:f>
      </x:c>
      <x:c r="AB11" s="42" t="str">
        <x:f>IF($AA11="","",IF($AA11&lt;&gt;"EXISTS","",IFERROR(IF(OR(IF(INDEX('Leads'!$A$8:$A$107,MATCH($A11,'Leads'!$AE$8:$AE$107,0))="","",INDEX('Leads'!$A$8:$A$107,MATCH($A11,'Leads'!$AE$8:$AE$107,0)))&lt;&gt;$B11,IF(INDEX('Leads'!$AF$8:$AF$107,MATCH($A11,'Leads'!$AE$8:$AE$107,0))="","",INDEX('Leads'!$AF$8:$AF$107,MATCH($A11,'Leads'!$AE$8:$AE$107,0)))&lt;&gt;$C11,IF(INDEX('Leads'!$AG$8:$AG$107,MATCH($A11,'Leads'!$AE$8:$AE$107,0))="","",INDEX('Leads'!$AG$8:$AG$107,MATCH($A11,'Leads'!$AE$8:$AE$107,0)))&lt;&gt;$D11,IF(INDEX('Leads'!$B$8:$B$107,MATCH($A11,'Leads'!$AE$8:$AE$107,0))="","",INDEX('Leads'!$B$8:$B$107,MATCH($A11,'Leads'!$AE$8:$AE$107,0)))&lt;&gt;$E11,IF(INDEX('Leads'!$C$8:$C$107,MATCH($A11,'Leads'!$AE$8:$AE$107,0))="","",INDEX('Leads'!$C$8:$C$107,MATCH($A11,'Leads'!$AE$8:$AE$107,0)))&lt;&gt;$F11,IF(INDEX('Leads'!$K$8:$K$107,MATCH($A11,'Leads'!$AE$8:$AE$107,0))="","",INDEX('Leads'!$K$8:$K$107,MATCH($A11,'Leads'!$AE$8:$AE$107,0)))&lt;&gt;$G11,IF(INDEX('Leads'!$L$8:$L$107,MATCH($A11,'Leads'!$AE$8:$AE$107,0))="","",INDEX('Leads'!$L$8:$L$107,MATCH($A11,'Leads'!$AE$8:$AE$107,0)))&lt;&gt;$H11,IF(INDEX('Leads'!$M$8:$M$107,MATCH($A11,'Leads'!$AE$8:$AE$107,0))="","",INDEX('Leads'!$M$8:$M$107,MATCH($A11,'Leads'!$AE$8:$AE$107,0)))&lt;&gt;$I11,IF(INDEX('Leads'!$N$8:$N$107,MATCH($A11,'Leads'!$AE$8:$AE$107,0))="","",INDEX('Leads'!$N$8:$N$107,MATCH($A11,'Leads'!$AE$8:$AE$107,0)))&lt;&gt;$J11,IF(INDEX('Leads'!$AH$8:$AH$107,MATCH($A11,'Leads'!$AE$8:$AE$107,0))="","",INDEX('Leads'!$AH$8:$AH$107,MATCH($A11,'Leads'!$AE$8:$AE$107,0)))&lt;&gt;$K11,IF(INDEX('Leads'!$D$8:$D$107,MATCH($A11,'Leads'!$AE$8:$AE$107,0))="","",INDEX('Leads'!$D$8:$D$107,MATCH($A11,'Leads'!$AE$8:$AE$107,0)))&lt;&gt;$L11,IF(INDEX('Leads'!$E$8:$E$107,MATCH($A11,'Leads'!$AE$8:$AE$107,0))="","",INDEX('Leads'!$E$8:$E$107,MATCH($A11,'Leads'!$AE$8:$AE$107,0)))&lt;&gt;$M11,IF(INDEX('Leads'!$AI$8:$AI$107,MATCH($A11,'Leads'!$AE$8:$AE$107,0))="","",INDEX('Leads'!$AI$8:$AI$107,MATCH($A11,'Leads'!$AE$8:$AE$107,0)))&lt;&gt;$N11,IF(INDEX('Leads'!$AJ$8:$AJ$107,MATCH($A11,'Leads'!$AE$8:$AE$107,0))="","",INDEX('Leads'!$AJ$8:$AJ$107,MATCH($A11,'Leads'!$AE$8:$AE$107,0)))&lt;&gt;$O11,IF(INDEX('Leads'!$AK$8:$AK$107,MATCH($A11,'Leads'!$AE$8:$AE$107,0))="","",INDEX('Leads'!$AK$8:$AK$107,MATCH($A11,'Leads'!$AE$8:$AE$107,0)))&lt;&gt;$P11,IF(INDEX('Leads'!$AL$8:$AL$107,MATCH($A11,'Leads'!$AE$8:$AE$107,0))="","",INDEX('Leads'!$AL$8:$AL$107,MATCH($A11,'Leads'!$AE$8:$AE$107,0)))&lt;&gt;$Q11,IF(INDEX('Leads'!$AM$8:$AM$107,MATCH($A11,'Leads'!$AE$8:$AE$107,0))="","",INDEX('Leads'!$AM$8:$AM$107,MATCH($A11,'Leads'!$AE$8:$AE$107,0)))&lt;&gt;$R11,IF(INDEX('Leads'!$AN$8:$AN$107,MATCH($A11,'Leads'!$AE$8:$AE$107,0))="","",INDEX('Leads'!$AN$8:$AN$107,MATCH($A11,'Leads'!$AE$8:$AE$107,0)))&lt;&gt;$S11,IF(INDEX('Leads'!$AO$8:$AO$107,MATCH($A11,'Leads'!$AE$8:$AE$107,0))="","",INDEX('Leads'!$AO$8:$AO$107,MATCH($A11,'Leads'!$AE$8:$AE$107,0)))&lt;&gt;$T11,IF(INDEX('Leads'!$AP$8:$AP$107,MATCH($A11,'Leads'!$AE$8:$AE$107,0))="","",INDEX('Leads'!$AP$8:$AP$107,MATCH($A11,'Leads'!$AE$8:$AE$107,0)))&lt;&gt;$U11,IF(INDEX('Leads'!$AQ$8:$AQ$107,MATCH($A11,'Leads'!$AE$8:$AE$107,0))="","",INDEX('Leads'!$AQ$8:$AQ$107,MATCH($A11,'Leads'!$AE$8:$AE$107,0)))&lt;&gt;$V11,IF(INDEX('Leads'!$AR$8:$AR$107,MATCH($A11,'Leads'!$AE$8:$AE$107,0))="","",INDEX('Leads'!$AR$8:$AR$107,MATCH($A11,'Leads'!$AE$8:$AE$107,0)))&lt;&gt;$W11,IF(INDEX('Leads'!$AS$8:$AS$107,MATCH($A11,'Leads'!$AE$8:$AE$107,0))="","",INDEX('Leads'!$AS$8:$AS$107,MATCH($A11,'Leads'!$AE$8:$AE$107,0)))&lt;&gt;$X11,IF(INDEX('Leads'!$AT$8:$AT$107,MATCH($A11,'Leads'!$AE$8:$AE$107,0))="","",INDEX('Leads'!$AT$8:$AT$107,MATCH($A11,'Leads'!$AE$8:$AE$107,0)))&lt;&gt;$Y11),"ข้อมูลรับเข้าต่าง — ตรวจเอง","ตรงกัน — ห้ามนำเข้าซ้ำ"),"ตรวจ Lead ID เดิม")))</x:f>
      </x:c>
    </x:row>
    <x:row r="12" ht="30" customHeight="1">
      <x:c r="A12" s="94"/>
      <x:c r="B12" s="94"/>
      <x:c r="C12" s="86"/>
      <x:c r="D12" s="32"/>
      <x:c r="E12" s="32"/>
      <x:c r="F12" s="32"/>
      <x:c r="G12" s="32"/>
      <x:c r="H12" s="94"/>
      <x:c r="I12" s="94"/>
      <x:c r="J12" s="94"/>
      <x:c r="K12" s="32"/>
      <x:c r="L12" s="32"/>
      <x:c r="M12" s="32"/>
      <x:c r="N12" s="32"/>
      <x:c r="O12" s="88"/>
      <x:c r="P12" s="32"/>
      <x:c r="Q12" s="32"/>
      <x:c r="R12" s="32"/>
      <x:c r="S12" s="32"/>
      <x:c r="T12" s="32"/>
      <x:c r="U12" s="32"/>
      <x:c r="V12" s="94"/>
      <x:c r="W12" s="32"/>
      <x:c r="X12" s="32"/>
      <x:c r="Y12" s="32"/>
      <x:c r="Z12" s="86"/>
      <x:c r="AA12" s="42" t="str">
        <x:f>IF(AND($A12="",$B12=""),"",IF(OR($A12="",$B12=""),"CHECK_INPUT",IF(OR($Y12="test",COUNTIF('Guide_Lists'!$AR$2:$AR$4,$B12)&gt;0),"TEST_DO_NOT_IMPORT",IF(OR(COUNTIF('Import_Staging'!$A$8:$A$107,$A12)&gt;1,COUNTIF('Import_Staging'!$B$8:$B$107,$B12)&gt;1),"DUPLICATE_IN_IMPORT",IF(COUNTIF('Leads'!$AE$8:$AE$107,$A12)&gt;0,"EXISTS",IF(COUNTIF('Leads'!$A$8:$A$107,$B12)&gt;0,"CHECK_INPUT",IF(AND($Y12="production",ISNUMBER($C12)),"NEW","CHECK_INPUT")))))))</x:f>
      </x:c>
      <x:c r="AB12" s="42" t="str">
        <x:f>IF($AA12="","",IF($AA12&lt;&gt;"EXISTS","",IFERROR(IF(OR(IF(INDEX('Leads'!$A$8:$A$107,MATCH($A12,'Leads'!$AE$8:$AE$107,0))="","",INDEX('Leads'!$A$8:$A$107,MATCH($A12,'Leads'!$AE$8:$AE$107,0)))&lt;&gt;$B12,IF(INDEX('Leads'!$AF$8:$AF$107,MATCH($A12,'Leads'!$AE$8:$AE$107,0))="","",INDEX('Leads'!$AF$8:$AF$107,MATCH($A12,'Leads'!$AE$8:$AE$107,0)))&lt;&gt;$C12,IF(INDEX('Leads'!$AG$8:$AG$107,MATCH($A12,'Leads'!$AE$8:$AE$107,0))="","",INDEX('Leads'!$AG$8:$AG$107,MATCH($A12,'Leads'!$AE$8:$AE$107,0)))&lt;&gt;$D12,IF(INDEX('Leads'!$B$8:$B$107,MATCH($A12,'Leads'!$AE$8:$AE$107,0))="","",INDEX('Leads'!$B$8:$B$107,MATCH($A12,'Leads'!$AE$8:$AE$107,0)))&lt;&gt;$E12,IF(INDEX('Leads'!$C$8:$C$107,MATCH($A12,'Leads'!$AE$8:$AE$107,0))="","",INDEX('Leads'!$C$8:$C$107,MATCH($A12,'Leads'!$AE$8:$AE$107,0)))&lt;&gt;$F12,IF(INDEX('Leads'!$K$8:$K$107,MATCH($A12,'Leads'!$AE$8:$AE$107,0))="","",INDEX('Leads'!$K$8:$K$107,MATCH($A12,'Leads'!$AE$8:$AE$107,0)))&lt;&gt;$G12,IF(INDEX('Leads'!$L$8:$L$107,MATCH($A12,'Leads'!$AE$8:$AE$107,0))="","",INDEX('Leads'!$L$8:$L$107,MATCH($A12,'Leads'!$AE$8:$AE$107,0)))&lt;&gt;$H12,IF(INDEX('Leads'!$M$8:$M$107,MATCH($A12,'Leads'!$AE$8:$AE$107,0))="","",INDEX('Leads'!$M$8:$M$107,MATCH($A12,'Leads'!$AE$8:$AE$107,0)))&lt;&gt;$I12,IF(INDEX('Leads'!$N$8:$N$107,MATCH($A12,'Leads'!$AE$8:$AE$107,0))="","",INDEX('Leads'!$N$8:$N$107,MATCH($A12,'Leads'!$AE$8:$AE$107,0)))&lt;&gt;$J12,IF(INDEX('Leads'!$AH$8:$AH$107,MATCH($A12,'Leads'!$AE$8:$AE$107,0))="","",INDEX('Leads'!$AH$8:$AH$107,MATCH($A12,'Leads'!$AE$8:$AE$107,0)))&lt;&gt;$K12,IF(INDEX('Leads'!$D$8:$D$107,MATCH($A12,'Leads'!$AE$8:$AE$107,0))="","",INDEX('Leads'!$D$8:$D$107,MATCH($A12,'Leads'!$AE$8:$AE$107,0)))&lt;&gt;$L12,IF(INDEX('Leads'!$E$8:$E$107,MATCH($A12,'Leads'!$AE$8:$AE$107,0))="","",INDEX('Leads'!$E$8:$E$107,MATCH($A12,'Leads'!$AE$8:$AE$107,0)))&lt;&gt;$M12,IF(INDEX('Leads'!$AI$8:$AI$107,MATCH($A12,'Leads'!$AE$8:$AE$107,0))="","",INDEX('Leads'!$AI$8:$AI$107,MATCH($A12,'Leads'!$AE$8:$AE$107,0)))&lt;&gt;$N12,IF(INDEX('Leads'!$AJ$8:$AJ$107,MATCH($A12,'Leads'!$AE$8:$AE$107,0))="","",INDEX('Leads'!$AJ$8:$AJ$107,MATCH($A12,'Leads'!$AE$8:$AE$107,0)))&lt;&gt;$O12,IF(INDEX('Leads'!$AK$8:$AK$107,MATCH($A12,'Leads'!$AE$8:$AE$107,0))="","",INDEX('Leads'!$AK$8:$AK$107,MATCH($A12,'Leads'!$AE$8:$AE$107,0)))&lt;&gt;$P12,IF(INDEX('Leads'!$AL$8:$AL$107,MATCH($A12,'Leads'!$AE$8:$AE$107,0))="","",INDEX('Leads'!$AL$8:$AL$107,MATCH($A12,'Leads'!$AE$8:$AE$107,0)))&lt;&gt;$Q12,IF(INDEX('Leads'!$AM$8:$AM$107,MATCH($A12,'Leads'!$AE$8:$AE$107,0))="","",INDEX('Leads'!$AM$8:$AM$107,MATCH($A12,'Leads'!$AE$8:$AE$107,0)))&lt;&gt;$R12,IF(INDEX('Leads'!$AN$8:$AN$107,MATCH($A12,'Leads'!$AE$8:$AE$107,0))="","",INDEX('Leads'!$AN$8:$AN$107,MATCH($A12,'Leads'!$AE$8:$AE$107,0)))&lt;&gt;$S12,IF(INDEX('Leads'!$AO$8:$AO$107,MATCH($A12,'Leads'!$AE$8:$AE$107,0))="","",INDEX('Leads'!$AO$8:$AO$107,MATCH($A12,'Leads'!$AE$8:$AE$107,0)))&lt;&gt;$T12,IF(INDEX('Leads'!$AP$8:$AP$107,MATCH($A12,'Leads'!$AE$8:$AE$107,0))="","",INDEX('Leads'!$AP$8:$AP$107,MATCH($A12,'Leads'!$AE$8:$AE$107,0)))&lt;&gt;$U12,IF(INDEX('Leads'!$AQ$8:$AQ$107,MATCH($A12,'Leads'!$AE$8:$AE$107,0))="","",INDEX('Leads'!$AQ$8:$AQ$107,MATCH($A12,'Leads'!$AE$8:$AE$107,0)))&lt;&gt;$V12,IF(INDEX('Leads'!$AR$8:$AR$107,MATCH($A12,'Leads'!$AE$8:$AE$107,0))="","",INDEX('Leads'!$AR$8:$AR$107,MATCH($A12,'Leads'!$AE$8:$AE$107,0)))&lt;&gt;$W12,IF(INDEX('Leads'!$AS$8:$AS$107,MATCH($A12,'Leads'!$AE$8:$AE$107,0))="","",INDEX('Leads'!$AS$8:$AS$107,MATCH($A12,'Leads'!$AE$8:$AE$107,0)))&lt;&gt;$X12,IF(INDEX('Leads'!$AT$8:$AT$107,MATCH($A12,'Leads'!$AE$8:$AE$107,0))="","",INDEX('Leads'!$AT$8:$AT$107,MATCH($A12,'Leads'!$AE$8:$AE$107,0)))&lt;&gt;$Y12),"ข้อมูลรับเข้าต่าง — ตรวจเอง","ตรงกัน — ห้ามนำเข้าซ้ำ"),"ตรวจ Lead ID เดิม")))</x:f>
      </x:c>
    </x:row>
    <x:row r="13" ht="30" customHeight="1">
      <x:c r="A13" s="94"/>
      <x:c r="B13" s="94"/>
      <x:c r="C13" s="86"/>
      <x:c r="D13" s="32"/>
      <x:c r="E13" s="32"/>
      <x:c r="F13" s="32"/>
      <x:c r="G13" s="32"/>
      <x:c r="H13" s="94"/>
      <x:c r="I13" s="94"/>
      <x:c r="J13" s="94"/>
      <x:c r="K13" s="32"/>
      <x:c r="L13" s="32"/>
      <x:c r="M13" s="32"/>
      <x:c r="N13" s="32"/>
      <x:c r="O13" s="88"/>
      <x:c r="P13" s="32"/>
      <x:c r="Q13" s="32"/>
      <x:c r="R13" s="32"/>
      <x:c r="S13" s="32"/>
      <x:c r="T13" s="32"/>
      <x:c r="U13" s="32"/>
      <x:c r="V13" s="94"/>
      <x:c r="W13" s="32"/>
      <x:c r="X13" s="32"/>
      <x:c r="Y13" s="32"/>
      <x:c r="Z13" s="86"/>
      <x:c r="AA13" s="42" t="str">
        <x:f>IF(AND($A13="",$B13=""),"",IF(OR($A13="",$B13=""),"CHECK_INPUT",IF(OR($Y13="test",COUNTIF('Guide_Lists'!$AR$2:$AR$4,$B13)&gt;0),"TEST_DO_NOT_IMPORT",IF(OR(COUNTIF('Import_Staging'!$A$8:$A$107,$A13)&gt;1,COUNTIF('Import_Staging'!$B$8:$B$107,$B13)&gt;1),"DUPLICATE_IN_IMPORT",IF(COUNTIF('Leads'!$AE$8:$AE$107,$A13)&gt;0,"EXISTS",IF(COUNTIF('Leads'!$A$8:$A$107,$B13)&gt;0,"CHECK_INPUT",IF(AND($Y13="production",ISNUMBER($C13)),"NEW","CHECK_INPUT")))))))</x:f>
      </x:c>
      <x:c r="AB13" s="42" t="str">
        <x:f>IF($AA13="","",IF($AA13&lt;&gt;"EXISTS","",IFERROR(IF(OR(IF(INDEX('Leads'!$A$8:$A$107,MATCH($A13,'Leads'!$AE$8:$AE$107,0))="","",INDEX('Leads'!$A$8:$A$107,MATCH($A13,'Leads'!$AE$8:$AE$107,0)))&lt;&gt;$B13,IF(INDEX('Leads'!$AF$8:$AF$107,MATCH($A13,'Leads'!$AE$8:$AE$107,0))="","",INDEX('Leads'!$AF$8:$AF$107,MATCH($A13,'Leads'!$AE$8:$AE$107,0)))&lt;&gt;$C13,IF(INDEX('Leads'!$AG$8:$AG$107,MATCH($A13,'Leads'!$AE$8:$AE$107,0))="","",INDEX('Leads'!$AG$8:$AG$107,MATCH($A13,'Leads'!$AE$8:$AE$107,0)))&lt;&gt;$D13,IF(INDEX('Leads'!$B$8:$B$107,MATCH($A13,'Leads'!$AE$8:$AE$107,0))="","",INDEX('Leads'!$B$8:$B$107,MATCH($A13,'Leads'!$AE$8:$AE$107,0)))&lt;&gt;$E13,IF(INDEX('Leads'!$C$8:$C$107,MATCH($A13,'Leads'!$AE$8:$AE$107,0))="","",INDEX('Leads'!$C$8:$C$107,MATCH($A13,'Leads'!$AE$8:$AE$107,0)))&lt;&gt;$F13,IF(INDEX('Leads'!$K$8:$K$107,MATCH($A13,'Leads'!$AE$8:$AE$107,0))="","",INDEX('Leads'!$K$8:$K$107,MATCH($A13,'Leads'!$AE$8:$AE$107,0)))&lt;&gt;$G13,IF(INDEX('Leads'!$L$8:$L$107,MATCH($A13,'Leads'!$AE$8:$AE$107,0))="","",INDEX('Leads'!$L$8:$L$107,MATCH($A13,'Leads'!$AE$8:$AE$107,0)))&lt;&gt;$H13,IF(INDEX('Leads'!$M$8:$M$107,MATCH($A13,'Leads'!$AE$8:$AE$107,0))="","",INDEX('Leads'!$M$8:$M$107,MATCH($A13,'Leads'!$AE$8:$AE$107,0)))&lt;&gt;$I13,IF(INDEX('Leads'!$N$8:$N$107,MATCH($A13,'Leads'!$AE$8:$AE$107,0))="","",INDEX('Leads'!$N$8:$N$107,MATCH($A13,'Leads'!$AE$8:$AE$107,0)))&lt;&gt;$J13,IF(INDEX('Leads'!$AH$8:$AH$107,MATCH($A13,'Leads'!$AE$8:$AE$107,0))="","",INDEX('Leads'!$AH$8:$AH$107,MATCH($A13,'Leads'!$AE$8:$AE$107,0)))&lt;&gt;$K13,IF(INDEX('Leads'!$D$8:$D$107,MATCH($A13,'Leads'!$AE$8:$AE$107,0))="","",INDEX('Leads'!$D$8:$D$107,MATCH($A13,'Leads'!$AE$8:$AE$107,0)))&lt;&gt;$L13,IF(INDEX('Leads'!$E$8:$E$107,MATCH($A13,'Leads'!$AE$8:$AE$107,0))="","",INDEX('Leads'!$E$8:$E$107,MATCH($A13,'Leads'!$AE$8:$AE$107,0)))&lt;&gt;$M13,IF(INDEX('Leads'!$AI$8:$AI$107,MATCH($A13,'Leads'!$AE$8:$AE$107,0))="","",INDEX('Leads'!$AI$8:$AI$107,MATCH($A13,'Leads'!$AE$8:$AE$107,0)))&lt;&gt;$N13,IF(INDEX('Leads'!$AJ$8:$AJ$107,MATCH($A13,'Leads'!$AE$8:$AE$107,0))="","",INDEX('Leads'!$AJ$8:$AJ$107,MATCH($A13,'Leads'!$AE$8:$AE$107,0)))&lt;&gt;$O13,IF(INDEX('Leads'!$AK$8:$AK$107,MATCH($A13,'Leads'!$AE$8:$AE$107,0))="","",INDEX('Leads'!$AK$8:$AK$107,MATCH($A13,'Leads'!$AE$8:$AE$107,0)))&lt;&gt;$P13,IF(INDEX('Leads'!$AL$8:$AL$107,MATCH($A13,'Leads'!$AE$8:$AE$107,0))="","",INDEX('Leads'!$AL$8:$AL$107,MATCH($A13,'Leads'!$AE$8:$AE$107,0)))&lt;&gt;$Q13,IF(INDEX('Leads'!$AM$8:$AM$107,MATCH($A13,'Leads'!$AE$8:$AE$107,0))="","",INDEX('Leads'!$AM$8:$AM$107,MATCH($A13,'Leads'!$AE$8:$AE$107,0)))&lt;&gt;$R13,IF(INDEX('Leads'!$AN$8:$AN$107,MATCH($A13,'Leads'!$AE$8:$AE$107,0))="","",INDEX('Leads'!$AN$8:$AN$107,MATCH($A13,'Leads'!$AE$8:$AE$107,0)))&lt;&gt;$S13,IF(INDEX('Leads'!$AO$8:$AO$107,MATCH($A13,'Leads'!$AE$8:$AE$107,0))="","",INDEX('Leads'!$AO$8:$AO$107,MATCH($A13,'Leads'!$AE$8:$AE$107,0)))&lt;&gt;$T13,IF(INDEX('Leads'!$AP$8:$AP$107,MATCH($A13,'Leads'!$AE$8:$AE$107,0))="","",INDEX('Leads'!$AP$8:$AP$107,MATCH($A13,'Leads'!$AE$8:$AE$107,0)))&lt;&gt;$U13,IF(INDEX('Leads'!$AQ$8:$AQ$107,MATCH($A13,'Leads'!$AE$8:$AE$107,0))="","",INDEX('Leads'!$AQ$8:$AQ$107,MATCH($A13,'Leads'!$AE$8:$AE$107,0)))&lt;&gt;$V13,IF(INDEX('Leads'!$AR$8:$AR$107,MATCH($A13,'Leads'!$AE$8:$AE$107,0))="","",INDEX('Leads'!$AR$8:$AR$107,MATCH($A13,'Leads'!$AE$8:$AE$107,0)))&lt;&gt;$W13,IF(INDEX('Leads'!$AS$8:$AS$107,MATCH($A13,'Leads'!$AE$8:$AE$107,0))="","",INDEX('Leads'!$AS$8:$AS$107,MATCH($A13,'Leads'!$AE$8:$AE$107,0)))&lt;&gt;$X13,IF(INDEX('Leads'!$AT$8:$AT$107,MATCH($A13,'Leads'!$AE$8:$AE$107,0))="","",INDEX('Leads'!$AT$8:$AT$107,MATCH($A13,'Leads'!$AE$8:$AE$107,0)))&lt;&gt;$Y13),"ข้อมูลรับเข้าต่าง — ตรวจเอง","ตรงกัน — ห้ามนำเข้าซ้ำ"),"ตรวจ Lead ID เดิม")))</x:f>
      </x:c>
    </x:row>
    <x:row r="14" ht="30" customHeight="1">
      <x:c r="A14" s="94"/>
      <x:c r="B14" s="94"/>
      <x:c r="C14" s="86"/>
      <x:c r="D14" s="32"/>
      <x:c r="E14" s="32"/>
      <x:c r="F14" s="32"/>
      <x:c r="G14" s="32"/>
      <x:c r="H14" s="94"/>
      <x:c r="I14" s="94"/>
      <x:c r="J14" s="94"/>
      <x:c r="K14" s="32"/>
      <x:c r="L14" s="32"/>
      <x:c r="M14" s="32"/>
      <x:c r="N14" s="32"/>
      <x:c r="O14" s="88"/>
      <x:c r="P14" s="32"/>
      <x:c r="Q14" s="32"/>
      <x:c r="R14" s="32"/>
      <x:c r="S14" s="32"/>
      <x:c r="T14" s="32"/>
      <x:c r="U14" s="32"/>
      <x:c r="V14" s="94"/>
      <x:c r="W14" s="32"/>
      <x:c r="X14" s="32"/>
      <x:c r="Y14" s="32"/>
      <x:c r="Z14" s="86"/>
      <x:c r="AA14" s="42" t="str">
        <x:f>IF(AND($A14="",$B14=""),"",IF(OR($A14="",$B14=""),"CHECK_INPUT",IF(OR($Y14="test",COUNTIF('Guide_Lists'!$AR$2:$AR$4,$B14)&gt;0),"TEST_DO_NOT_IMPORT",IF(OR(COUNTIF('Import_Staging'!$A$8:$A$107,$A14)&gt;1,COUNTIF('Import_Staging'!$B$8:$B$107,$B14)&gt;1),"DUPLICATE_IN_IMPORT",IF(COUNTIF('Leads'!$AE$8:$AE$107,$A14)&gt;0,"EXISTS",IF(COUNTIF('Leads'!$A$8:$A$107,$B14)&gt;0,"CHECK_INPUT",IF(AND($Y14="production",ISNUMBER($C14)),"NEW","CHECK_INPUT")))))))</x:f>
      </x:c>
      <x:c r="AB14" s="42" t="str">
        <x:f>IF($AA14="","",IF($AA14&lt;&gt;"EXISTS","",IFERROR(IF(OR(IF(INDEX('Leads'!$A$8:$A$107,MATCH($A14,'Leads'!$AE$8:$AE$107,0))="","",INDEX('Leads'!$A$8:$A$107,MATCH($A14,'Leads'!$AE$8:$AE$107,0)))&lt;&gt;$B14,IF(INDEX('Leads'!$AF$8:$AF$107,MATCH($A14,'Leads'!$AE$8:$AE$107,0))="","",INDEX('Leads'!$AF$8:$AF$107,MATCH($A14,'Leads'!$AE$8:$AE$107,0)))&lt;&gt;$C14,IF(INDEX('Leads'!$AG$8:$AG$107,MATCH($A14,'Leads'!$AE$8:$AE$107,0))="","",INDEX('Leads'!$AG$8:$AG$107,MATCH($A14,'Leads'!$AE$8:$AE$107,0)))&lt;&gt;$D14,IF(INDEX('Leads'!$B$8:$B$107,MATCH($A14,'Leads'!$AE$8:$AE$107,0))="","",INDEX('Leads'!$B$8:$B$107,MATCH($A14,'Leads'!$AE$8:$AE$107,0)))&lt;&gt;$E14,IF(INDEX('Leads'!$C$8:$C$107,MATCH($A14,'Leads'!$AE$8:$AE$107,0))="","",INDEX('Leads'!$C$8:$C$107,MATCH($A14,'Leads'!$AE$8:$AE$107,0)))&lt;&gt;$F14,IF(INDEX('Leads'!$K$8:$K$107,MATCH($A14,'Leads'!$AE$8:$AE$107,0))="","",INDEX('Leads'!$K$8:$K$107,MATCH($A14,'Leads'!$AE$8:$AE$107,0)))&lt;&gt;$G14,IF(INDEX('Leads'!$L$8:$L$107,MATCH($A14,'Leads'!$AE$8:$AE$107,0))="","",INDEX('Leads'!$L$8:$L$107,MATCH($A14,'Leads'!$AE$8:$AE$107,0)))&lt;&gt;$H14,IF(INDEX('Leads'!$M$8:$M$107,MATCH($A14,'Leads'!$AE$8:$AE$107,0))="","",INDEX('Leads'!$M$8:$M$107,MATCH($A14,'Leads'!$AE$8:$AE$107,0)))&lt;&gt;$I14,IF(INDEX('Leads'!$N$8:$N$107,MATCH($A14,'Leads'!$AE$8:$AE$107,0))="","",INDEX('Leads'!$N$8:$N$107,MATCH($A14,'Leads'!$AE$8:$AE$107,0)))&lt;&gt;$J14,IF(INDEX('Leads'!$AH$8:$AH$107,MATCH($A14,'Leads'!$AE$8:$AE$107,0))="","",INDEX('Leads'!$AH$8:$AH$107,MATCH($A14,'Leads'!$AE$8:$AE$107,0)))&lt;&gt;$K14,IF(INDEX('Leads'!$D$8:$D$107,MATCH($A14,'Leads'!$AE$8:$AE$107,0))="","",INDEX('Leads'!$D$8:$D$107,MATCH($A14,'Leads'!$AE$8:$AE$107,0)))&lt;&gt;$L14,IF(INDEX('Leads'!$E$8:$E$107,MATCH($A14,'Leads'!$AE$8:$AE$107,0))="","",INDEX('Leads'!$E$8:$E$107,MATCH($A14,'Leads'!$AE$8:$AE$107,0)))&lt;&gt;$M14,IF(INDEX('Leads'!$AI$8:$AI$107,MATCH($A14,'Leads'!$AE$8:$AE$107,0))="","",INDEX('Leads'!$AI$8:$AI$107,MATCH($A14,'Leads'!$AE$8:$AE$107,0)))&lt;&gt;$N14,IF(INDEX('Leads'!$AJ$8:$AJ$107,MATCH($A14,'Leads'!$AE$8:$AE$107,0))="","",INDEX('Leads'!$AJ$8:$AJ$107,MATCH($A14,'Leads'!$AE$8:$AE$107,0)))&lt;&gt;$O14,IF(INDEX('Leads'!$AK$8:$AK$107,MATCH($A14,'Leads'!$AE$8:$AE$107,0))="","",INDEX('Leads'!$AK$8:$AK$107,MATCH($A14,'Leads'!$AE$8:$AE$107,0)))&lt;&gt;$P14,IF(INDEX('Leads'!$AL$8:$AL$107,MATCH($A14,'Leads'!$AE$8:$AE$107,0))="","",INDEX('Leads'!$AL$8:$AL$107,MATCH($A14,'Leads'!$AE$8:$AE$107,0)))&lt;&gt;$Q14,IF(INDEX('Leads'!$AM$8:$AM$107,MATCH($A14,'Leads'!$AE$8:$AE$107,0))="","",INDEX('Leads'!$AM$8:$AM$107,MATCH($A14,'Leads'!$AE$8:$AE$107,0)))&lt;&gt;$R14,IF(INDEX('Leads'!$AN$8:$AN$107,MATCH($A14,'Leads'!$AE$8:$AE$107,0))="","",INDEX('Leads'!$AN$8:$AN$107,MATCH($A14,'Leads'!$AE$8:$AE$107,0)))&lt;&gt;$S14,IF(INDEX('Leads'!$AO$8:$AO$107,MATCH($A14,'Leads'!$AE$8:$AE$107,0))="","",INDEX('Leads'!$AO$8:$AO$107,MATCH($A14,'Leads'!$AE$8:$AE$107,0)))&lt;&gt;$T14,IF(INDEX('Leads'!$AP$8:$AP$107,MATCH($A14,'Leads'!$AE$8:$AE$107,0))="","",INDEX('Leads'!$AP$8:$AP$107,MATCH($A14,'Leads'!$AE$8:$AE$107,0)))&lt;&gt;$U14,IF(INDEX('Leads'!$AQ$8:$AQ$107,MATCH($A14,'Leads'!$AE$8:$AE$107,0))="","",INDEX('Leads'!$AQ$8:$AQ$107,MATCH($A14,'Leads'!$AE$8:$AE$107,0)))&lt;&gt;$V14,IF(INDEX('Leads'!$AR$8:$AR$107,MATCH($A14,'Leads'!$AE$8:$AE$107,0))="","",INDEX('Leads'!$AR$8:$AR$107,MATCH($A14,'Leads'!$AE$8:$AE$107,0)))&lt;&gt;$W14,IF(INDEX('Leads'!$AS$8:$AS$107,MATCH($A14,'Leads'!$AE$8:$AE$107,0))="","",INDEX('Leads'!$AS$8:$AS$107,MATCH($A14,'Leads'!$AE$8:$AE$107,0)))&lt;&gt;$X14,IF(INDEX('Leads'!$AT$8:$AT$107,MATCH($A14,'Leads'!$AE$8:$AE$107,0))="","",INDEX('Leads'!$AT$8:$AT$107,MATCH($A14,'Leads'!$AE$8:$AE$107,0)))&lt;&gt;$Y14),"ข้อมูลรับเข้าต่าง — ตรวจเอง","ตรงกัน — ห้ามนำเข้าซ้ำ"),"ตรวจ Lead ID เดิม")))</x:f>
      </x:c>
    </x:row>
    <x:row r="15" ht="30" customHeight="1">
      <x:c r="A15" s="94"/>
      <x:c r="B15" s="94"/>
      <x:c r="C15" s="86"/>
      <x:c r="D15" s="32"/>
      <x:c r="E15" s="32"/>
      <x:c r="F15" s="32"/>
      <x:c r="G15" s="32"/>
      <x:c r="H15" s="94"/>
      <x:c r="I15" s="94"/>
      <x:c r="J15" s="94"/>
      <x:c r="K15" s="32"/>
      <x:c r="L15" s="32"/>
      <x:c r="M15" s="32"/>
      <x:c r="N15" s="32"/>
      <x:c r="O15" s="88"/>
      <x:c r="P15" s="32"/>
      <x:c r="Q15" s="32"/>
      <x:c r="R15" s="32"/>
      <x:c r="S15" s="32"/>
      <x:c r="T15" s="32"/>
      <x:c r="U15" s="32"/>
      <x:c r="V15" s="94"/>
      <x:c r="W15" s="32"/>
      <x:c r="X15" s="32"/>
      <x:c r="Y15" s="32"/>
      <x:c r="Z15" s="86"/>
      <x:c r="AA15" s="42" t="str">
        <x:f>IF(AND($A15="",$B15=""),"",IF(OR($A15="",$B15=""),"CHECK_INPUT",IF(OR($Y15="test",COUNTIF('Guide_Lists'!$AR$2:$AR$4,$B15)&gt;0),"TEST_DO_NOT_IMPORT",IF(OR(COUNTIF('Import_Staging'!$A$8:$A$107,$A15)&gt;1,COUNTIF('Import_Staging'!$B$8:$B$107,$B15)&gt;1),"DUPLICATE_IN_IMPORT",IF(COUNTIF('Leads'!$AE$8:$AE$107,$A15)&gt;0,"EXISTS",IF(COUNTIF('Leads'!$A$8:$A$107,$B15)&gt;0,"CHECK_INPUT",IF(AND($Y15="production",ISNUMBER($C15)),"NEW","CHECK_INPUT")))))))</x:f>
      </x:c>
      <x:c r="AB15" s="42" t="str">
        <x:f>IF($AA15="","",IF($AA15&lt;&gt;"EXISTS","",IFERROR(IF(OR(IF(INDEX('Leads'!$A$8:$A$107,MATCH($A15,'Leads'!$AE$8:$AE$107,0))="","",INDEX('Leads'!$A$8:$A$107,MATCH($A15,'Leads'!$AE$8:$AE$107,0)))&lt;&gt;$B15,IF(INDEX('Leads'!$AF$8:$AF$107,MATCH($A15,'Leads'!$AE$8:$AE$107,0))="","",INDEX('Leads'!$AF$8:$AF$107,MATCH($A15,'Leads'!$AE$8:$AE$107,0)))&lt;&gt;$C15,IF(INDEX('Leads'!$AG$8:$AG$107,MATCH($A15,'Leads'!$AE$8:$AE$107,0))="","",INDEX('Leads'!$AG$8:$AG$107,MATCH($A15,'Leads'!$AE$8:$AE$107,0)))&lt;&gt;$D15,IF(INDEX('Leads'!$B$8:$B$107,MATCH($A15,'Leads'!$AE$8:$AE$107,0))="","",INDEX('Leads'!$B$8:$B$107,MATCH($A15,'Leads'!$AE$8:$AE$107,0)))&lt;&gt;$E15,IF(INDEX('Leads'!$C$8:$C$107,MATCH($A15,'Leads'!$AE$8:$AE$107,0))="","",INDEX('Leads'!$C$8:$C$107,MATCH($A15,'Leads'!$AE$8:$AE$107,0)))&lt;&gt;$F15,IF(INDEX('Leads'!$K$8:$K$107,MATCH($A15,'Leads'!$AE$8:$AE$107,0))="","",INDEX('Leads'!$K$8:$K$107,MATCH($A15,'Leads'!$AE$8:$AE$107,0)))&lt;&gt;$G15,IF(INDEX('Leads'!$L$8:$L$107,MATCH($A15,'Leads'!$AE$8:$AE$107,0))="","",INDEX('Leads'!$L$8:$L$107,MATCH($A15,'Leads'!$AE$8:$AE$107,0)))&lt;&gt;$H15,IF(INDEX('Leads'!$M$8:$M$107,MATCH($A15,'Leads'!$AE$8:$AE$107,0))="","",INDEX('Leads'!$M$8:$M$107,MATCH($A15,'Leads'!$AE$8:$AE$107,0)))&lt;&gt;$I15,IF(INDEX('Leads'!$N$8:$N$107,MATCH($A15,'Leads'!$AE$8:$AE$107,0))="","",INDEX('Leads'!$N$8:$N$107,MATCH($A15,'Leads'!$AE$8:$AE$107,0)))&lt;&gt;$J15,IF(INDEX('Leads'!$AH$8:$AH$107,MATCH($A15,'Leads'!$AE$8:$AE$107,0))="","",INDEX('Leads'!$AH$8:$AH$107,MATCH($A15,'Leads'!$AE$8:$AE$107,0)))&lt;&gt;$K15,IF(INDEX('Leads'!$D$8:$D$107,MATCH($A15,'Leads'!$AE$8:$AE$107,0))="","",INDEX('Leads'!$D$8:$D$107,MATCH($A15,'Leads'!$AE$8:$AE$107,0)))&lt;&gt;$L15,IF(INDEX('Leads'!$E$8:$E$107,MATCH($A15,'Leads'!$AE$8:$AE$107,0))="","",INDEX('Leads'!$E$8:$E$107,MATCH($A15,'Leads'!$AE$8:$AE$107,0)))&lt;&gt;$M15,IF(INDEX('Leads'!$AI$8:$AI$107,MATCH($A15,'Leads'!$AE$8:$AE$107,0))="","",INDEX('Leads'!$AI$8:$AI$107,MATCH($A15,'Leads'!$AE$8:$AE$107,0)))&lt;&gt;$N15,IF(INDEX('Leads'!$AJ$8:$AJ$107,MATCH($A15,'Leads'!$AE$8:$AE$107,0))="","",INDEX('Leads'!$AJ$8:$AJ$107,MATCH($A15,'Leads'!$AE$8:$AE$107,0)))&lt;&gt;$O15,IF(INDEX('Leads'!$AK$8:$AK$107,MATCH($A15,'Leads'!$AE$8:$AE$107,0))="","",INDEX('Leads'!$AK$8:$AK$107,MATCH($A15,'Leads'!$AE$8:$AE$107,0)))&lt;&gt;$P15,IF(INDEX('Leads'!$AL$8:$AL$107,MATCH($A15,'Leads'!$AE$8:$AE$107,0))="","",INDEX('Leads'!$AL$8:$AL$107,MATCH($A15,'Leads'!$AE$8:$AE$107,0)))&lt;&gt;$Q15,IF(INDEX('Leads'!$AM$8:$AM$107,MATCH($A15,'Leads'!$AE$8:$AE$107,0))="","",INDEX('Leads'!$AM$8:$AM$107,MATCH($A15,'Leads'!$AE$8:$AE$107,0)))&lt;&gt;$R15,IF(INDEX('Leads'!$AN$8:$AN$107,MATCH($A15,'Leads'!$AE$8:$AE$107,0))="","",INDEX('Leads'!$AN$8:$AN$107,MATCH($A15,'Leads'!$AE$8:$AE$107,0)))&lt;&gt;$S15,IF(INDEX('Leads'!$AO$8:$AO$107,MATCH($A15,'Leads'!$AE$8:$AE$107,0))="","",INDEX('Leads'!$AO$8:$AO$107,MATCH($A15,'Leads'!$AE$8:$AE$107,0)))&lt;&gt;$T15,IF(INDEX('Leads'!$AP$8:$AP$107,MATCH($A15,'Leads'!$AE$8:$AE$107,0))="","",INDEX('Leads'!$AP$8:$AP$107,MATCH($A15,'Leads'!$AE$8:$AE$107,0)))&lt;&gt;$U15,IF(INDEX('Leads'!$AQ$8:$AQ$107,MATCH($A15,'Leads'!$AE$8:$AE$107,0))="","",INDEX('Leads'!$AQ$8:$AQ$107,MATCH($A15,'Leads'!$AE$8:$AE$107,0)))&lt;&gt;$V15,IF(INDEX('Leads'!$AR$8:$AR$107,MATCH($A15,'Leads'!$AE$8:$AE$107,0))="","",INDEX('Leads'!$AR$8:$AR$107,MATCH($A15,'Leads'!$AE$8:$AE$107,0)))&lt;&gt;$W15,IF(INDEX('Leads'!$AS$8:$AS$107,MATCH($A15,'Leads'!$AE$8:$AE$107,0))="","",INDEX('Leads'!$AS$8:$AS$107,MATCH($A15,'Leads'!$AE$8:$AE$107,0)))&lt;&gt;$X15,IF(INDEX('Leads'!$AT$8:$AT$107,MATCH($A15,'Leads'!$AE$8:$AE$107,0))="","",INDEX('Leads'!$AT$8:$AT$107,MATCH($A15,'Leads'!$AE$8:$AE$107,0)))&lt;&gt;$Y15),"ข้อมูลรับเข้าต่าง — ตรวจเอง","ตรงกัน — ห้ามนำเข้าซ้ำ"),"ตรวจ Lead ID เดิม")))</x:f>
      </x:c>
    </x:row>
    <x:row r="16" ht="30" customHeight="1">
      <x:c r="A16" s="94"/>
      <x:c r="B16" s="94"/>
      <x:c r="C16" s="86"/>
      <x:c r="D16" s="32"/>
      <x:c r="E16" s="32"/>
      <x:c r="F16" s="32"/>
      <x:c r="G16" s="32"/>
      <x:c r="H16" s="94"/>
      <x:c r="I16" s="94"/>
      <x:c r="J16" s="94"/>
      <x:c r="K16" s="32"/>
      <x:c r="L16" s="32"/>
      <x:c r="M16" s="32"/>
      <x:c r="N16" s="32"/>
      <x:c r="O16" s="88"/>
      <x:c r="P16" s="32"/>
      <x:c r="Q16" s="32"/>
      <x:c r="R16" s="32"/>
      <x:c r="S16" s="32"/>
      <x:c r="T16" s="32"/>
      <x:c r="U16" s="32"/>
      <x:c r="V16" s="94"/>
      <x:c r="W16" s="32"/>
      <x:c r="X16" s="32"/>
      <x:c r="Y16" s="32"/>
      <x:c r="Z16" s="86"/>
      <x:c r="AA16" s="42" t="str">
        <x:f>IF(AND($A16="",$B16=""),"",IF(OR($A16="",$B16=""),"CHECK_INPUT",IF(OR($Y16="test",COUNTIF('Guide_Lists'!$AR$2:$AR$4,$B16)&gt;0),"TEST_DO_NOT_IMPORT",IF(OR(COUNTIF('Import_Staging'!$A$8:$A$107,$A16)&gt;1,COUNTIF('Import_Staging'!$B$8:$B$107,$B16)&gt;1),"DUPLICATE_IN_IMPORT",IF(COUNTIF('Leads'!$AE$8:$AE$107,$A16)&gt;0,"EXISTS",IF(COUNTIF('Leads'!$A$8:$A$107,$B16)&gt;0,"CHECK_INPUT",IF(AND($Y16="production",ISNUMBER($C16)),"NEW","CHECK_INPUT")))))))</x:f>
      </x:c>
      <x:c r="AB16" s="42" t="str">
        <x:f>IF($AA16="","",IF($AA16&lt;&gt;"EXISTS","",IFERROR(IF(OR(IF(INDEX('Leads'!$A$8:$A$107,MATCH($A16,'Leads'!$AE$8:$AE$107,0))="","",INDEX('Leads'!$A$8:$A$107,MATCH($A16,'Leads'!$AE$8:$AE$107,0)))&lt;&gt;$B16,IF(INDEX('Leads'!$AF$8:$AF$107,MATCH($A16,'Leads'!$AE$8:$AE$107,0))="","",INDEX('Leads'!$AF$8:$AF$107,MATCH($A16,'Leads'!$AE$8:$AE$107,0)))&lt;&gt;$C16,IF(INDEX('Leads'!$AG$8:$AG$107,MATCH($A16,'Leads'!$AE$8:$AE$107,0))="","",INDEX('Leads'!$AG$8:$AG$107,MATCH($A16,'Leads'!$AE$8:$AE$107,0)))&lt;&gt;$D16,IF(INDEX('Leads'!$B$8:$B$107,MATCH($A16,'Leads'!$AE$8:$AE$107,0))="","",INDEX('Leads'!$B$8:$B$107,MATCH($A16,'Leads'!$AE$8:$AE$107,0)))&lt;&gt;$E16,IF(INDEX('Leads'!$C$8:$C$107,MATCH($A16,'Leads'!$AE$8:$AE$107,0))="","",INDEX('Leads'!$C$8:$C$107,MATCH($A16,'Leads'!$AE$8:$AE$107,0)))&lt;&gt;$F16,IF(INDEX('Leads'!$K$8:$K$107,MATCH($A16,'Leads'!$AE$8:$AE$107,0))="","",INDEX('Leads'!$K$8:$K$107,MATCH($A16,'Leads'!$AE$8:$AE$107,0)))&lt;&gt;$G16,IF(INDEX('Leads'!$L$8:$L$107,MATCH($A16,'Leads'!$AE$8:$AE$107,0))="","",INDEX('Leads'!$L$8:$L$107,MATCH($A16,'Leads'!$AE$8:$AE$107,0)))&lt;&gt;$H16,IF(INDEX('Leads'!$M$8:$M$107,MATCH($A16,'Leads'!$AE$8:$AE$107,0))="","",INDEX('Leads'!$M$8:$M$107,MATCH($A16,'Leads'!$AE$8:$AE$107,0)))&lt;&gt;$I16,IF(INDEX('Leads'!$N$8:$N$107,MATCH($A16,'Leads'!$AE$8:$AE$107,0))="","",INDEX('Leads'!$N$8:$N$107,MATCH($A16,'Leads'!$AE$8:$AE$107,0)))&lt;&gt;$J16,IF(INDEX('Leads'!$AH$8:$AH$107,MATCH($A16,'Leads'!$AE$8:$AE$107,0))="","",INDEX('Leads'!$AH$8:$AH$107,MATCH($A16,'Leads'!$AE$8:$AE$107,0)))&lt;&gt;$K16,IF(INDEX('Leads'!$D$8:$D$107,MATCH($A16,'Leads'!$AE$8:$AE$107,0))="","",INDEX('Leads'!$D$8:$D$107,MATCH($A16,'Leads'!$AE$8:$AE$107,0)))&lt;&gt;$L16,IF(INDEX('Leads'!$E$8:$E$107,MATCH($A16,'Leads'!$AE$8:$AE$107,0))="","",INDEX('Leads'!$E$8:$E$107,MATCH($A16,'Leads'!$AE$8:$AE$107,0)))&lt;&gt;$M16,IF(INDEX('Leads'!$AI$8:$AI$107,MATCH($A16,'Leads'!$AE$8:$AE$107,0))="","",INDEX('Leads'!$AI$8:$AI$107,MATCH($A16,'Leads'!$AE$8:$AE$107,0)))&lt;&gt;$N16,IF(INDEX('Leads'!$AJ$8:$AJ$107,MATCH($A16,'Leads'!$AE$8:$AE$107,0))="","",INDEX('Leads'!$AJ$8:$AJ$107,MATCH($A16,'Leads'!$AE$8:$AE$107,0)))&lt;&gt;$O16,IF(INDEX('Leads'!$AK$8:$AK$107,MATCH($A16,'Leads'!$AE$8:$AE$107,0))="","",INDEX('Leads'!$AK$8:$AK$107,MATCH($A16,'Leads'!$AE$8:$AE$107,0)))&lt;&gt;$P16,IF(INDEX('Leads'!$AL$8:$AL$107,MATCH($A16,'Leads'!$AE$8:$AE$107,0))="","",INDEX('Leads'!$AL$8:$AL$107,MATCH($A16,'Leads'!$AE$8:$AE$107,0)))&lt;&gt;$Q16,IF(INDEX('Leads'!$AM$8:$AM$107,MATCH($A16,'Leads'!$AE$8:$AE$107,0))="","",INDEX('Leads'!$AM$8:$AM$107,MATCH($A16,'Leads'!$AE$8:$AE$107,0)))&lt;&gt;$R16,IF(INDEX('Leads'!$AN$8:$AN$107,MATCH($A16,'Leads'!$AE$8:$AE$107,0))="","",INDEX('Leads'!$AN$8:$AN$107,MATCH($A16,'Leads'!$AE$8:$AE$107,0)))&lt;&gt;$S16,IF(INDEX('Leads'!$AO$8:$AO$107,MATCH($A16,'Leads'!$AE$8:$AE$107,0))="","",INDEX('Leads'!$AO$8:$AO$107,MATCH($A16,'Leads'!$AE$8:$AE$107,0)))&lt;&gt;$T16,IF(INDEX('Leads'!$AP$8:$AP$107,MATCH($A16,'Leads'!$AE$8:$AE$107,0))="","",INDEX('Leads'!$AP$8:$AP$107,MATCH($A16,'Leads'!$AE$8:$AE$107,0)))&lt;&gt;$U16,IF(INDEX('Leads'!$AQ$8:$AQ$107,MATCH($A16,'Leads'!$AE$8:$AE$107,0))="","",INDEX('Leads'!$AQ$8:$AQ$107,MATCH($A16,'Leads'!$AE$8:$AE$107,0)))&lt;&gt;$V16,IF(INDEX('Leads'!$AR$8:$AR$107,MATCH($A16,'Leads'!$AE$8:$AE$107,0))="","",INDEX('Leads'!$AR$8:$AR$107,MATCH($A16,'Leads'!$AE$8:$AE$107,0)))&lt;&gt;$W16,IF(INDEX('Leads'!$AS$8:$AS$107,MATCH($A16,'Leads'!$AE$8:$AE$107,0))="","",INDEX('Leads'!$AS$8:$AS$107,MATCH($A16,'Leads'!$AE$8:$AE$107,0)))&lt;&gt;$X16,IF(INDEX('Leads'!$AT$8:$AT$107,MATCH($A16,'Leads'!$AE$8:$AE$107,0))="","",INDEX('Leads'!$AT$8:$AT$107,MATCH($A16,'Leads'!$AE$8:$AE$107,0)))&lt;&gt;$Y16),"ข้อมูลรับเข้าต่าง — ตรวจเอง","ตรงกัน — ห้ามนำเข้าซ้ำ"),"ตรวจ Lead ID เดิม")))</x:f>
      </x:c>
    </x:row>
    <x:row r="17" ht="30" customHeight="1">
      <x:c r="A17" s="94"/>
      <x:c r="B17" s="94"/>
      <x:c r="C17" s="86"/>
      <x:c r="D17" s="32"/>
      <x:c r="E17" s="32"/>
      <x:c r="F17" s="32"/>
      <x:c r="G17" s="32"/>
      <x:c r="H17" s="94"/>
      <x:c r="I17" s="94"/>
      <x:c r="J17" s="94"/>
      <x:c r="K17" s="32"/>
      <x:c r="L17" s="32"/>
      <x:c r="M17" s="32"/>
      <x:c r="N17" s="32"/>
      <x:c r="O17" s="88"/>
      <x:c r="P17" s="32"/>
      <x:c r="Q17" s="32"/>
      <x:c r="R17" s="32"/>
      <x:c r="S17" s="32"/>
      <x:c r="T17" s="32"/>
      <x:c r="U17" s="32"/>
      <x:c r="V17" s="94"/>
      <x:c r="W17" s="32"/>
      <x:c r="X17" s="32"/>
      <x:c r="Y17" s="32"/>
      <x:c r="Z17" s="86"/>
      <x:c r="AA17" s="42" t="str">
        <x:f>IF(AND($A17="",$B17=""),"",IF(OR($A17="",$B17=""),"CHECK_INPUT",IF(OR($Y17="test",COUNTIF('Guide_Lists'!$AR$2:$AR$4,$B17)&gt;0),"TEST_DO_NOT_IMPORT",IF(OR(COUNTIF('Import_Staging'!$A$8:$A$107,$A17)&gt;1,COUNTIF('Import_Staging'!$B$8:$B$107,$B17)&gt;1),"DUPLICATE_IN_IMPORT",IF(COUNTIF('Leads'!$AE$8:$AE$107,$A17)&gt;0,"EXISTS",IF(COUNTIF('Leads'!$A$8:$A$107,$B17)&gt;0,"CHECK_INPUT",IF(AND($Y17="production",ISNUMBER($C17)),"NEW","CHECK_INPUT")))))))</x:f>
      </x:c>
      <x:c r="AB17" s="42" t="str">
        <x:f>IF($AA17="","",IF($AA17&lt;&gt;"EXISTS","",IFERROR(IF(OR(IF(INDEX('Leads'!$A$8:$A$107,MATCH($A17,'Leads'!$AE$8:$AE$107,0))="","",INDEX('Leads'!$A$8:$A$107,MATCH($A17,'Leads'!$AE$8:$AE$107,0)))&lt;&gt;$B17,IF(INDEX('Leads'!$AF$8:$AF$107,MATCH($A17,'Leads'!$AE$8:$AE$107,0))="","",INDEX('Leads'!$AF$8:$AF$107,MATCH($A17,'Leads'!$AE$8:$AE$107,0)))&lt;&gt;$C17,IF(INDEX('Leads'!$AG$8:$AG$107,MATCH($A17,'Leads'!$AE$8:$AE$107,0))="","",INDEX('Leads'!$AG$8:$AG$107,MATCH($A17,'Leads'!$AE$8:$AE$107,0)))&lt;&gt;$D17,IF(INDEX('Leads'!$B$8:$B$107,MATCH($A17,'Leads'!$AE$8:$AE$107,0))="","",INDEX('Leads'!$B$8:$B$107,MATCH($A17,'Leads'!$AE$8:$AE$107,0)))&lt;&gt;$E17,IF(INDEX('Leads'!$C$8:$C$107,MATCH($A17,'Leads'!$AE$8:$AE$107,0))="","",INDEX('Leads'!$C$8:$C$107,MATCH($A17,'Leads'!$AE$8:$AE$107,0)))&lt;&gt;$F17,IF(INDEX('Leads'!$K$8:$K$107,MATCH($A17,'Leads'!$AE$8:$AE$107,0))="","",INDEX('Leads'!$K$8:$K$107,MATCH($A17,'Leads'!$AE$8:$AE$107,0)))&lt;&gt;$G17,IF(INDEX('Leads'!$L$8:$L$107,MATCH($A17,'Leads'!$AE$8:$AE$107,0))="","",INDEX('Leads'!$L$8:$L$107,MATCH($A17,'Leads'!$AE$8:$AE$107,0)))&lt;&gt;$H17,IF(INDEX('Leads'!$M$8:$M$107,MATCH($A17,'Leads'!$AE$8:$AE$107,0))="","",INDEX('Leads'!$M$8:$M$107,MATCH($A17,'Leads'!$AE$8:$AE$107,0)))&lt;&gt;$I17,IF(INDEX('Leads'!$N$8:$N$107,MATCH($A17,'Leads'!$AE$8:$AE$107,0))="","",INDEX('Leads'!$N$8:$N$107,MATCH($A17,'Leads'!$AE$8:$AE$107,0)))&lt;&gt;$J17,IF(INDEX('Leads'!$AH$8:$AH$107,MATCH($A17,'Leads'!$AE$8:$AE$107,0))="","",INDEX('Leads'!$AH$8:$AH$107,MATCH($A17,'Leads'!$AE$8:$AE$107,0)))&lt;&gt;$K17,IF(INDEX('Leads'!$D$8:$D$107,MATCH($A17,'Leads'!$AE$8:$AE$107,0))="","",INDEX('Leads'!$D$8:$D$107,MATCH($A17,'Leads'!$AE$8:$AE$107,0)))&lt;&gt;$L17,IF(INDEX('Leads'!$E$8:$E$107,MATCH($A17,'Leads'!$AE$8:$AE$107,0))="","",INDEX('Leads'!$E$8:$E$107,MATCH($A17,'Leads'!$AE$8:$AE$107,0)))&lt;&gt;$M17,IF(INDEX('Leads'!$AI$8:$AI$107,MATCH($A17,'Leads'!$AE$8:$AE$107,0))="","",INDEX('Leads'!$AI$8:$AI$107,MATCH($A17,'Leads'!$AE$8:$AE$107,0)))&lt;&gt;$N17,IF(INDEX('Leads'!$AJ$8:$AJ$107,MATCH($A17,'Leads'!$AE$8:$AE$107,0))="","",INDEX('Leads'!$AJ$8:$AJ$107,MATCH($A17,'Leads'!$AE$8:$AE$107,0)))&lt;&gt;$O17,IF(INDEX('Leads'!$AK$8:$AK$107,MATCH($A17,'Leads'!$AE$8:$AE$107,0))="","",INDEX('Leads'!$AK$8:$AK$107,MATCH($A17,'Leads'!$AE$8:$AE$107,0)))&lt;&gt;$P17,IF(INDEX('Leads'!$AL$8:$AL$107,MATCH($A17,'Leads'!$AE$8:$AE$107,0))="","",INDEX('Leads'!$AL$8:$AL$107,MATCH($A17,'Leads'!$AE$8:$AE$107,0)))&lt;&gt;$Q17,IF(INDEX('Leads'!$AM$8:$AM$107,MATCH($A17,'Leads'!$AE$8:$AE$107,0))="","",INDEX('Leads'!$AM$8:$AM$107,MATCH($A17,'Leads'!$AE$8:$AE$107,0)))&lt;&gt;$R17,IF(INDEX('Leads'!$AN$8:$AN$107,MATCH($A17,'Leads'!$AE$8:$AE$107,0))="","",INDEX('Leads'!$AN$8:$AN$107,MATCH($A17,'Leads'!$AE$8:$AE$107,0)))&lt;&gt;$S17,IF(INDEX('Leads'!$AO$8:$AO$107,MATCH($A17,'Leads'!$AE$8:$AE$107,0))="","",INDEX('Leads'!$AO$8:$AO$107,MATCH($A17,'Leads'!$AE$8:$AE$107,0)))&lt;&gt;$T17,IF(INDEX('Leads'!$AP$8:$AP$107,MATCH($A17,'Leads'!$AE$8:$AE$107,0))="","",INDEX('Leads'!$AP$8:$AP$107,MATCH($A17,'Leads'!$AE$8:$AE$107,0)))&lt;&gt;$U17,IF(INDEX('Leads'!$AQ$8:$AQ$107,MATCH($A17,'Leads'!$AE$8:$AE$107,0))="","",INDEX('Leads'!$AQ$8:$AQ$107,MATCH($A17,'Leads'!$AE$8:$AE$107,0)))&lt;&gt;$V17,IF(INDEX('Leads'!$AR$8:$AR$107,MATCH($A17,'Leads'!$AE$8:$AE$107,0))="","",INDEX('Leads'!$AR$8:$AR$107,MATCH($A17,'Leads'!$AE$8:$AE$107,0)))&lt;&gt;$W17,IF(INDEX('Leads'!$AS$8:$AS$107,MATCH($A17,'Leads'!$AE$8:$AE$107,0))="","",INDEX('Leads'!$AS$8:$AS$107,MATCH($A17,'Leads'!$AE$8:$AE$107,0)))&lt;&gt;$X17,IF(INDEX('Leads'!$AT$8:$AT$107,MATCH($A17,'Leads'!$AE$8:$AE$107,0))="","",INDEX('Leads'!$AT$8:$AT$107,MATCH($A17,'Leads'!$AE$8:$AE$107,0)))&lt;&gt;$Y17),"ข้อมูลรับเข้าต่าง — ตรวจเอง","ตรงกัน — ห้ามนำเข้าซ้ำ"),"ตรวจ Lead ID เดิม")))</x:f>
      </x:c>
    </x:row>
    <x:row r="18" ht="30" customHeight="1">
      <x:c r="A18" s="94"/>
      <x:c r="B18" s="94"/>
      <x:c r="C18" s="86"/>
      <x:c r="D18" s="32"/>
      <x:c r="E18" s="32"/>
      <x:c r="F18" s="32"/>
      <x:c r="G18" s="32"/>
      <x:c r="H18" s="94"/>
      <x:c r="I18" s="94"/>
      <x:c r="J18" s="94"/>
      <x:c r="K18" s="32"/>
      <x:c r="L18" s="32"/>
      <x:c r="M18" s="32"/>
      <x:c r="N18" s="32"/>
      <x:c r="O18" s="88"/>
      <x:c r="P18" s="32"/>
      <x:c r="Q18" s="32"/>
      <x:c r="R18" s="32"/>
      <x:c r="S18" s="32"/>
      <x:c r="T18" s="32"/>
      <x:c r="U18" s="32"/>
      <x:c r="V18" s="94"/>
      <x:c r="W18" s="32"/>
      <x:c r="X18" s="32"/>
      <x:c r="Y18" s="32"/>
      <x:c r="Z18" s="86"/>
      <x:c r="AA18" s="42" t="str">
        <x:f>IF(AND($A18="",$B18=""),"",IF(OR($A18="",$B18=""),"CHECK_INPUT",IF(OR($Y18="test",COUNTIF('Guide_Lists'!$AR$2:$AR$4,$B18)&gt;0),"TEST_DO_NOT_IMPORT",IF(OR(COUNTIF('Import_Staging'!$A$8:$A$107,$A18)&gt;1,COUNTIF('Import_Staging'!$B$8:$B$107,$B18)&gt;1),"DUPLICATE_IN_IMPORT",IF(COUNTIF('Leads'!$AE$8:$AE$107,$A18)&gt;0,"EXISTS",IF(COUNTIF('Leads'!$A$8:$A$107,$B18)&gt;0,"CHECK_INPUT",IF(AND($Y18="production",ISNUMBER($C18)),"NEW","CHECK_INPUT")))))))</x:f>
      </x:c>
      <x:c r="AB18" s="42" t="str">
        <x:f>IF($AA18="","",IF($AA18&lt;&gt;"EXISTS","",IFERROR(IF(OR(IF(INDEX('Leads'!$A$8:$A$107,MATCH($A18,'Leads'!$AE$8:$AE$107,0))="","",INDEX('Leads'!$A$8:$A$107,MATCH($A18,'Leads'!$AE$8:$AE$107,0)))&lt;&gt;$B18,IF(INDEX('Leads'!$AF$8:$AF$107,MATCH($A18,'Leads'!$AE$8:$AE$107,0))="","",INDEX('Leads'!$AF$8:$AF$107,MATCH($A18,'Leads'!$AE$8:$AE$107,0)))&lt;&gt;$C18,IF(INDEX('Leads'!$AG$8:$AG$107,MATCH($A18,'Leads'!$AE$8:$AE$107,0))="","",INDEX('Leads'!$AG$8:$AG$107,MATCH($A18,'Leads'!$AE$8:$AE$107,0)))&lt;&gt;$D18,IF(INDEX('Leads'!$B$8:$B$107,MATCH($A18,'Leads'!$AE$8:$AE$107,0))="","",INDEX('Leads'!$B$8:$B$107,MATCH($A18,'Leads'!$AE$8:$AE$107,0)))&lt;&gt;$E18,IF(INDEX('Leads'!$C$8:$C$107,MATCH($A18,'Leads'!$AE$8:$AE$107,0))="","",INDEX('Leads'!$C$8:$C$107,MATCH($A18,'Leads'!$AE$8:$AE$107,0)))&lt;&gt;$F18,IF(INDEX('Leads'!$K$8:$K$107,MATCH($A18,'Leads'!$AE$8:$AE$107,0))="","",INDEX('Leads'!$K$8:$K$107,MATCH($A18,'Leads'!$AE$8:$AE$107,0)))&lt;&gt;$G18,IF(INDEX('Leads'!$L$8:$L$107,MATCH($A18,'Leads'!$AE$8:$AE$107,0))="","",INDEX('Leads'!$L$8:$L$107,MATCH($A18,'Leads'!$AE$8:$AE$107,0)))&lt;&gt;$H18,IF(INDEX('Leads'!$M$8:$M$107,MATCH($A18,'Leads'!$AE$8:$AE$107,0))="","",INDEX('Leads'!$M$8:$M$107,MATCH($A18,'Leads'!$AE$8:$AE$107,0)))&lt;&gt;$I18,IF(INDEX('Leads'!$N$8:$N$107,MATCH($A18,'Leads'!$AE$8:$AE$107,0))="","",INDEX('Leads'!$N$8:$N$107,MATCH($A18,'Leads'!$AE$8:$AE$107,0)))&lt;&gt;$J18,IF(INDEX('Leads'!$AH$8:$AH$107,MATCH($A18,'Leads'!$AE$8:$AE$107,0))="","",INDEX('Leads'!$AH$8:$AH$107,MATCH($A18,'Leads'!$AE$8:$AE$107,0)))&lt;&gt;$K18,IF(INDEX('Leads'!$D$8:$D$107,MATCH($A18,'Leads'!$AE$8:$AE$107,0))="","",INDEX('Leads'!$D$8:$D$107,MATCH($A18,'Leads'!$AE$8:$AE$107,0)))&lt;&gt;$L18,IF(INDEX('Leads'!$E$8:$E$107,MATCH($A18,'Leads'!$AE$8:$AE$107,0))="","",INDEX('Leads'!$E$8:$E$107,MATCH($A18,'Leads'!$AE$8:$AE$107,0)))&lt;&gt;$M18,IF(INDEX('Leads'!$AI$8:$AI$107,MATCH($A18,'Leads'!$AE$8:$AE$107,0))="","",INDEX('Leads'!$AI$8:$AI$107,MATCH($A18,'Leads'!$AE$8:$AE$107,0)))&lt;&gt;$N18,IF(INDEX('Leads'!$AJ$8:$AJ$107,MATCH($A18,'Leads'!$AE$8:$AE$107,0))="","",INDEX('Leads'!$AJ$8:$AJ$107,MATCH($A18,'Leads'!$AE$8:$AE$107,0)))&lt;&gt;$O18,IF(INDEX('Leads'!$AK$8:$AK$107,MATCH($A18,'Leads'!$AE$8:$AE$107,0))="","",INDEX('Leads'!$AK$8:$AK$107,MATCH($A18,'Leads'!$AE$8:$AE$107,0)))&lt;&gt;$P18,IF(INDEX('Leads'!$AL$8:$AL$107,MATCH($A18,'Leads'!$AE$8:$AE$107,0))="","",INDEX('Leads'!$AL$8:$AL$107,MATCH($A18,'Leads'!$AE$8:$AE$107,0)))&lt;&gt;$Q18,IF(INDEX('Leads'!$AM$8:$AM$107,MATCH($A18,'Leads'!$AE$8:$AE$107,0))="","",INDEX('Leads'!$AM$8:$AM$107,MATCH($A18,'Leads'!$AE$8:$AE$107,0)))&lt;&gt;$R18,IF(INDEX('Leads'!$AN$8:$AN$107,MATCH($A18,'Leads'!$AE$8:$AE$107,0))="","",INDEX('Leads'!$AN$8:$AN$107,MATCH($A18,'Leads'!$AE$8:$AE$107,0)))&lt;&gt;$S18,IF(INDEX('Leads'!$AO$8:$AO$107,MATCH($A18,'Leads'!$AE$8:$AE$107,0))="","",INDEX('Leads'!$AO$8:$AO$107,MATCH($A18,'Leads'!$AE$8:$AE$107,0)))&lt;&gt;$T18,IF(INDEX('Leads'!$AP$8:$AP$107,MATCH($A18,'Leads'!$AE$8:$AE$107,0))="","",INDEX('Leads'!$AP$8:$AP$107,MATCH($A18,'Leads'!$AE$8:$AE$107,0)))&lt;&gt;$U18,IF(INDEX('Leads'!$AQ$8:$AQ$107,MATCH($A18,'Leads'!$AE$8:$AE$107,0))="","",INDEX('Leads'!$AQ$8:$AQ$107,MATCH($A18,'Leads'!$AE$8:$AE$107,0)))&lt;&gt;$V18,IF(INDEX('Leads'!$AR$8:$AR$107,MATCH($A18,'Leads'!$AE$8:$AE$107,0))="","",INDEX('Leads'!$AR$8:$AR$107,MATCH($A18,'Leads'!$AE$8:$AE$107,0)))&lt;&gt;$W18,IF(INDEX('Leads'!$AS$8:$AS$107,MATCH($A18,'Leads'!$AE$8:$AE$107,0))="","",INDEX('Leads'!$AS$8:$AS$107,MATCH($A18,'Leads'!$AE$8:$AE$107,0)))&lt;&gt;$X18,IF(INDEX('Leads'!$AT$8:$AT$107,MATCH($A18,'Leads'!$AE$8:$AE$107,0))="","",INDEX('Leads'!$AT$8:$AT$107,MATCH($A18,'Leads'!$AE$8:$AE$107,0)))&lt;&gt;$Y18),"ข้อมูลรับเข้าต่าง — ตรวจเอง","ตรงกัน — ห้ามนำเข้าซ้ำ"),"ตรวจ Lead ID เดิม")))</x:f>
      </x:c>
    </x:row>
    <x:row r="19" ht="30" customHeight="1">
      <x:c r="A19" s="94"/>
      <x:c r="B19" s="94"/>
      <x:c r="C19" s="86"/>
      <x:c r="D19" s="32"/>
      <x:c r="E19" s="32"/>
      <x:c r="F19" s="32"/>
      <x:c r="G19" s="32"/>
      <x:c r="H19" s="94"/>
      <x:c r="I19" s="94"/>
      <x:c r="J19" s="94"/>
      <x:c r="K19" s="32"/>
      <x:c r="L19" s="32"/>
      <x:c r="M19" s="32"/>
      <x:c r="N19" s="32"/>
      <x:c r="O19" s="88"/>
      <x:c r="P19" s="32"/>
      <x:c r="Q19" s="32"/>
      <x:c r="R19" s="32"/>
      <x:c r="S19" s="32"/>
      <x:c r="T19" s="32"/>
      <x:c r="U19" s="32"/>
      <x:c r="V19" s="94"/>
      <x:c r="W19" s="32"/>
      <x:c r="X19" s="32"/>
      <x:c r="Y19" s="32"/>
      <x:c r="Z19" s="86"/>
      <x:c r="AA19" s="42" t="str">
        <x:f>IF(AND($A19="",$B19=""),"",IF(OR($A19="",$B19=""),"CHECK_INPUT",IF(OR($Y19="test",COUNTIF('Guide_Lists'!$AR$2:$AR$4,$B19)&gt;0),"TEST_DO_NOT_IMPORT",IF(OR(COUNTIF('Import_Staging'!$A$8:$A$107,$A19)&gt;1,COUNTIF('Import_Staging'!$B$8:$B$107,$B19)&gt;1),"DUPLICATE_IN_IMPORT",IF(COUNTIF('Leads'!$AE$8:$AE$107,$A19)&gt;0,"EXISTS",IF(COUNTIF('Leads'!$A$8:$A$107,$B19)&gt;0,"CHECK_INPUT",IF(AND($Y19="production",ISNUMBER($C19)),"NEW","CHECK_INPUT")))))))</x:f>
      </x:c>
      <x:c r="AB19" s="42" t="str">
        <x:f>IF($AA19="","",IF($AA19&lt;&gt;"EXISTS","",IFERROR(IF(OR(IF(INDEX('Leads'!$A$8:$A$107,MATCH($A19,'Leads'!$AE$8:$AE$107,0))="","",INDEX('Leads'!$A$8:$A$107,MATCH($A19,'Leads'!$AE$8:$AE$107,0)))&lt;&gt;$B19,IF(INDEX('Leads'!$AF$8:$AF$107,MATCH($A19,'Leads'!$AE$8:$AE$107,0))="","",INDEX('Leads'!$AF$8:$AF$107,MATCH($A19,'Leads'!$AE$8:$AE$107,0)))&lt;&gt;$C19,IF(INDEX('Leads'!$AG$8:$AG$107,MATCH($A19,'Leads'!$AE$8:$AE$107,0))="","",INDEX('Leads'!$AG$8:$AG$107,MATCH($A19,'Leads'!$AE$8:$AE$107,0)))&lt;&gt;$D19,IF(INDEX('Leads'!$B$8:$B$107,MATCH($A19,'Leads'!$AE$8:$AE$107,0))="","",INDEX('Leads'!$B$8:$B$107,MATCH($A19,'Leads'!$AE$8:$AE$107,0)))&lt;&gt;$E19,IF(INDEX('Leads'!$C$8:$C$107,MATCH($A19,'Leads'!$AE$8:$AE$107,0))="","",INDEX('Leads'!$C$8:$C$107,MATCH($A19,'Leads'!$AE$8:$AE$107,0)))&lt;&gt;$F19,IF(INDEX('Leads'!$K$8:$K$107,MATCH($A19,'Leads'!$AE$8:$AE$107,0))="","",INDEX('Leads'!$K$8:$K$107,MATCH($A19,'Leads'!$AE$8:$AE$107,0)))&lt;&gt;$G19,IF(INDEX('Leads'!$L$8:$L$107,MATCH($A19,'Leads'!$AE$8:$AE$107,0))="","",INDEX('Leads'!$L$8:$L$107,MATCH($A19,'Leads'!$AE$8:$AE$107,0)))&lt;&gt;$H19,IF(INDEX('Leads'!$M$8:$M$107,MATCH($A19,'Leads'!$AE$8:$AE$107,0))="","",INDEX('Leads'!$M$8:$M$107,MATCH($A19,'Leads'!$AE$8:$AE$107,0)))&lt;&gt;$I19,IF(INDEX('Leads'!$N$8:$N$107,MATCH($A19,'Leads'!$AE$8:$AE$107,0))="","",INDEX('Leads'!$N$8:$N$107,MATCH($A19,'Leads'!$AE$8:$AE$107,0)))&lt;&gt;$J19,IF(INDEX('Leads'!$AH$8:$AH$107,MATCH($A19,'Leads'!$AE$8:$AE$107,0))="","",INDEX('Leads'!$AH$8:$AH$107,MATCH($A19,'Leads'!$AE$8:$AE$107,0)))&lt;&gt;$K19,IF(INDEX('Leads'!$D$8:$D$107,MATCH($A19,'Leads'!$AE$8:$AE$107,0))="","",INDEX('Leads'!$D$8:$D$107,MATCH($A19,'Leads'!$AE$8:$AE$107,0)))&lt;&gt;$L19,IF(INDEX('Leads'!$E$8:$E$107,MATCH($A19,'Leads'!$AE$8:$AE$107,0))="","",INDEX('Leads'!$E$8:$E$107,MATCH($A19,'Leads'!$AE$8:$AE$107,0)))&lt;&gt;$M19,IF(INDEX('Leads'!$AI$8:$AI$107,MATCH($A19,'Leads'!$AE$8:$AE$107,0))="","",INDEX('Leads'!$AI$8:$AI$107,MATCH($A19,'Leads'!$AE$8:$AE$107,0)))&lt;&gt;$N19,IF(INDEX('Leads'!$AJ$8:$AJ$107,MATCH($A19,'Leads'!$AE$8:$AE$107,0))="","",INDEX('Leads'!$AJ$8:$AJ$107,MATCH($A19,'Leads'!$AE$8:$AE$107,0)))&lt;&gt;$O19,IF(INDEX('Leads'!$AK$8:$AK$107,MATCH($A19,'Leads'!$AE$8:$AE$107,0))="","",INDEX('Leads'!$AK$8:$AK$107,MATCH($A19,'Leads'!$AE$8:$AE$107,0)))&lt;&gt;$P19,IF(INDEX('Leads'!$AL$8:$AL$107,MATCH($A19,'Leads'!$AE$8:$AE$107,0))="","",INDEX('Leads'!$AL$8:$AL$107,MATCH($A19,'Leads'!$AE$8:$AE$107,0)))&lt;&gt;$Q19,IF(INDEX('Leads'!$AM$8:$AM$107,MATCH($A19,'Leads'!$AE$8:$AE$107,0))="","",INDEX('Leads'!$AM$8:$AM$107,MATCH($A19,'Leads'!$AE$8:$AE$107,0)))&lt;&gt;$R19,IF(INDEX('Leads'!$AN$8:$AN$107,MATCH($A19,'Leads'!$AE$8:$AE$107,0))="","",INDEX('Leads'!$AN$8:$AN$107,MATCH($A19,'Leads'!$AE$8:$AE$107,0)))&lt;&gt;$S19,IF(INDEX('Leads'!$AO$8:$AO$107,MATCH($A19,'Leads'!$AE$8:$AE$107,0))="","",INDEX('Leads'!$AO$8:$AO$107,MATCH($A19,'Leads'!$AE$8:$AE$107,0)))&lt;&gt;$T19,IF(INDEX('Leads'!$AP$8:$AP$107,MATCH($A19,'Leads'!$AE$8:$AE$107,0))="","",INDEX('Leads'!$AP$8:$AP$107,MATCH($A19,'Leads'!$AE$8:$AE$107,0)))&lt;&gt;$U19,IF(INDEX('Leads'!$AQ$8:$AQ$107,MATCH($A19,'Leads'!$AE$8:$AE$107,0))="","",INDEX('Leads'!$AQ$8:$AQ$107,MATCH($A19,'Leads'!$AE$8:$AE$107,0)))&lt;&gt;$V19,IF(INDEX('Leads'!$AR$8:$AR$107,MATCH($A19,'Leads'!$AE$8:$AE$107,0))="","",INDEX('Leads'!$AR$8:$AR$107,MATCH($A19,'Leads'!$AE$8:$AE$107,0)))&lt;&gt;$W19,IF(INDEX('Leads'!$AS$8:$AS$107,MATCH($A19,'Leads'!$AE$8:$AE$107,0))="","",INDEX('Leads'!$AS$8:$AS$107,MATCH($A19,'Leads'!$AE$8:$AE$107,0)))&lt;&gt;$X19,IF(INDEX('Leads'!$AT$8:$AT$107,MATCH($A19,'Leads'!$AE$8:$AE$107,0))="","",INDEX('Leads'!$AT$8:$AT$107,MATCH($A19,'Leads'!$AE$8:$AE$107,0)))&lt;&gt;$Y19),"ข้อมูลรับเข้าต่าง — ตรวจเอง","ตรงกัน — ห้ามนำเข้าซ้ำ"),"ตรวจ Lead ID เดิม")))</x:f>
      </x:c>
    </x:row>
    <x:row r="20" ht="30" customHeight="1">
      <x:c r="A20" s="94"/>
      <x:c r="B20" s="94"/>
      <x:c r="C20" s="86"/>
      <x:c r="D20" s="32"/>
      <x:c r="E20" s="32"/>
      <x:c r="F20" s="32"/>
      <x:c r="G20" s="32"/>
      <x:c r="H20" s="94"/>
      <x:c r="I20" s="94"/>
      <x:c r="J20" s="94"/>
      <x:c r="K20" s="32"/>
      <x:c r="L20" s="32"/>
      <x:c r="M20" s="32"/>
      <x:c r="N20" s="32"/>
      <x:c r="O20" s="88"/>
      <x:c r="P20" s="32"/>
      <x:c r="Q20" s="32"/>
      <x:c r="R20" s="32"/>
      <x:c r="S20" s="32"/>
      <x:c r="T20" s="32"/>
      <x:c r="U20" s="32"/>
      <x:c r="V20" s="94"/>
      <x:c r="W20" s="32"/>
      <x:c r="X20" s="32"/>
      <x:c r="Y20" s="32"/>
      <x:c r="Z20" s="86"/>
      <x:c r="AA20" s="42" t="str">
        <x:f>IF(AND($A20="",$B20=""),"",IF(OR($A20="",$B20=""),"CHECK_INPUT",IF(OR($Y20="test",COUNTIF('Guide_Lists'!$AR$2:$AR$4,$B20)&gt;0),"TEST_DO_NOT_IMPORT",IF(OR(COUNTIF('Import_Staging'!$A$8:$A$107,$A20)&gt;1,COUNTIF('Import_Staging'!$B$8:$B$107,$B20)&gt;1),"DUPLICATE_IN_IMPORT",IF(COUNTIF('Leads'!$AE$8:$AE$107,$A20)&gt;0,"EXISTS",IF(COUNTIF('Leads'!$A$8:$A$107,$B20)&gt;0,"CHECK_INPUT",IF(AND($Y20="production",ISNUMBER($C20)),"NEW","CHECK_INPUT")))))))</x:f>
      </x:c>
      <x:c r="AB20" s="42" t="str">
        <x:f>IF($AA20="","",IF($AA20&lt;&gt;"EXISTS","",IFERROR(IF(OR(IF(INDEX('Leads'!$A$8:$A$107,MATCH($A20,'Leads'!$AE$8:$AE$107,0))="","",INDEX('Leads'!$A$8:$A$107,MATCH($A20,'Leads'!$AE$8:$AE$107,0)))&lt;&gt;$B20,IF(INDEX('Leads'!$AF$8:$AF$107,MATCH($A20,'Leads'!$AE$8:$AE$107,0))="","",INDEX('Leads'!$AF$8:$AF$107,MATCH($A20,'Leads'!$AE$8:$AE$107,0)))&lt;&gt;$C20,IF(INDEX('Leads'!$AG$8:$AG$107,MATCH($A20,'Leads'!$AE$8:$AE$107,0))="","",INDEX('Leads'!$AG$8:$AG$107,MATCH($A20,'Leads'!$AE$8:$AE$107,0)))&lt;&gt;$D20,IF(INDEX('Leads'!$B$8:$B$107,MATCH($A20,'Leads'!$AE$8:$AE$107,0))="","",INDEX('Leads'!$B$8:$B$107,MATCH($A20,'Leads'!$AE$8:$AE$107,0)))&lt;&gt;$E20,IF(INDEX('Leads'!$C$8:$C$107,MATCH($A20,'Leads'!$AE$8:$AE$107,0))="","",INDEX('Leads'!$C$8:$C$107,MATCH($A20,'Leads'!$AE$8:$AE$107,0)))&lt;&gt;$F20,IF(INDEX('Leads'!$K$8:$K$107,MATCH($A20,'Leads'!$AE$8:$AE$107,0))="","",INDEX('Leads'!$K$8:$K$107,MATCH($A20,'Leads'!$AE$8:$AE$107,0)))&lt;&gt;$G20,IF(INDEX('Leads'!$L$8:$L$107,MATCH($A20,'Leads'!$AE$8:$AE$107,0))="","",INDEX('Leads'!$L$8:$L$107,MATCH($A20,'Leads'!$AE$8:$AE$107,0)))&lt;&gt;$H20,IF(INDEX('Leads'!$M$8:$M$107,MATCH($A20,'Leads'!$AE$8:$AE$107,0))="","",INDEX('Leads'!$M$8:$M$107,MATCH($A20,'Leads'!$AE$8:$AE$107,0)))&lt;&gt;$I20,IF(INDEX('Leads'!$N$8:$N$107,MATCH($A20,'Leads'!$AE$8:$AE$107,0))="","",INDEX('Leads'!$N$8:$N$107,MATCH($A20,'Leads'!$AE$8:$AE$107,0)))&lt;&gt;$J20,IF(INDEX('Leads'!$AH$8:$AH$107,MATCH($A20,'Leads'!$AE$8:$AE$107,0))="","",INDEX('Leads'!$AH$8:$AH$107,MATCH($A20,'Leads'!$AE$8:$AE$107,0)))&lt;&gt;$K20,IF(INDEX('Leads'!$D$8:$D$107,MATCH($A20,'Leads'!$AE$8:$AE$107,0))="","",INDEX('Leads'!$D$8:$D$107,MATCH($A20,'Leads'!$AE$8:$AE$107,0)))&lt;&gt;$L20,IF(INDEX('Leads'!$E$8:$E$107,MATCH($A20,'Leads'!$AE$8:$AE$107,0))="","",INDEX('Leads'!$E$8:$E$107,MATCH($A20,'Leads'!$AE$8:$AE$107,0)))&lt;&gt;$M20,IF(INDEX('Leads'!$AI$8:$AI$107,MATCH($A20,'Leads'!$AE$8:$AE$107,0))="","",INDEX('Leads'!$AI$8:$AI$107,MATCH($A20,'Leads'!$AE$8:$AE$107,0)))&lt;&gt;$N20,IF(INDEX('Leads'!$AJ$8:$AJ$107,MATCH($A20,'Leads'!$AE$8:$AE$107,0))="","",INDEX('Leads'!$AJ$8:$AJ$107,MATCH($A20,'Leads'!$AE$8:$AE$107,0)))&lt;&gt;$O20,IF(INDEX('Leads'!$AK$8:$AK$107,MATCH($A20,'Leads'!$AE$8:$AE$107,0))="","",INDEX('Leads'!$AK$8:$AK$107,MATCH($A20,'Leads'!$AE$8:$AE$107,0)))&lt;&gt;$P20,IF(INDEX('Leads'!$AL$8:$AL$107,MATCH($A20,'Leads'!$AE$8:$AE$107,0))="","",INDEX('Leads'!$AL$8:$AL$107,MATCH($A20,'Leads'!$AE$8:$AE$107,0)))&lt;&gt;$Q20,IF(INDEX('Leads'!$AM$8:$AM$107,MATCH($A20,'Leads'!$AE$8:$AE$107,0))="","",INDEX('Leads'!$AM$8:$AM$107,MATCH($A20,'Leads'!$AE$8:$AE$107,0)))&lt;&gt;$R20,IF(INDEX('Leads'!$AN$8:$AN$107,MATCH($A20,'Leads'!$AE$8:$AE$107,0))="","",INDEX('Leads'!$AN$8:$AN$107,MATCH($A20,'Leads'!$AE$8:$AE$107,0)))&lt;&gt;$S20,IF(INDEX('Leads'!$AO$8:$AO$107,MATCH($A20,'Leads'!$AE$8:$AE$107,0))="","",INDEX('Leads'!$AO$8:$AO$107,MATCH($A20,'Leads'!$AE$8:$AE$107,0)))&lt;&gt;$T20,IF(INDEX('Leads'!$AP$8:$AP$107,MATCH($A20,'Leads'!$AE$8:$AE$107,0))="","",INDEX('Leads'!$AP$8:$AP$107,MATCH($A20,'Leads'!$AE$8:$AE$107,0)))&lt;&gt;$U20,IF(INDEX('Leads'!$AQ$8:$AQ$107,MATCH($A20,'Leads'!$AE$8:$AE$107,0))="","",INDEX('Leads'!$AQ$8:$AQ$107,MATCH($A20,'Leads'!$AE$8:$AE$107,0)))&lt;&gt;$V20,IF(INDEX('Leads'!$AR$8:$AR$107,MATCH($A20,'Leads'!$AE$8:$AE$107,0))="","",INDEX('Leads'!$AR$8:$AR$107,MATCH($A20,'Leads'!$AE$8:$AE$107,0)))&lt;&gt;$W20,IF(INDEX('Leads'!$AS$8:$AS$107,MATCH($A20,'Leads'!$AE$8:$AE$107,0))="","",INDEX('Leads'!$AS$8:$AS$107,MATCH($A20,'Leads'!$AE$8:$AE$107,0)))&lt;&gt;$X20,IF(INDEX('Leads'!$AT$8:$AT$107,MATCH($A20,'Leads'!$AE$8:$AE$107,0))="","",INDEX('Leads'!$AT$8:$AT$107,MATCH($A20,'Leads'!$AE$8:$AE$107,0)))&lt;&gt;$Y20),"ข้อมูลรับเข้าต่าง — ตรวจเอง","ตรงกัน — ห้ามนำเข้าซ้ำ"),"ตรวจ Lead ID เดิม")))</x:f>
      </x:c>
    </x:row>
    <x:row r="21" ht="30" customHeight="1">
      <x:c r="A21" s="94"/>
      <x:c r="B21" s="94"/>
      <x:c r="C21" s="86"/>
      <x:c r="D21" s="32"/>
      <x:c r="E21" s="32"/>
      <x:c r="F21" s="32"/>
      <x:c r="G21" s="32"/>
      <x:c r="H21" s="94"/>
      <x:c r="I21" s="94"/>
      <x:c r="J21" s="94"/>
      <x:c r="K21" s="32"/>
      <x:c r="L21" s="32"/>
      <x:c r="M21" s="32"/>
      <x:c r="N21" s="32"/>
      <x:c r="O21" s="88"/>
      <x:c r="P21" s="32"/>
      <x:c r="Q21" s="32"/>
      <x:c r="R21" s="32"/>
      <x:c r="S21" s="32"/>
      <x:c r="T21" s="32"/>
      <x:c r="U21" s="32"/>
      <x:c r="V21" s="94"/>
      <x:c r="W21" s="32"/>
      <x:c r="X21" s="32"/>
      <x:c r="Y21" s="32"/>
      <x:c r="Z21" s="86"/>
      <x:c r="AA21" s="42" t="str">
        <x:f>IF(AND($A21="",$B21=""),"",IF(OR($A21="",$B21=""),"CHECK_INPUT",IF(OR($Y21="test",COUNTIF('Guide_Lists'!$AR$2:$AR$4,$B21)&gt;0),"TEST_DO_NOT_IMPORT",IF(OR(COUNTIF('Import_Staging'!$A$8:$A$107,$A21)&gt;1,COUNTIF('Import_Staging'!$B$8:$B$107,$B21)&gt;1),"DUPLICATE_IN_IMPORT",IF(COUNTIF('Leads'!$AE$8:$AE$107,$A21)&gt;0,"EXISTS",IF(COUNTIF('Leads'!$A$8:$A$107,$B21)&gt;0,"CHECK_INPUT",IF(AND($Y21="production",ISNUMBER($C21)),"NEW","CHECK_INPUT")))))))</x:f>
      </x:c>
      <x:c r="AB21" s="42" t="str">
        <x:f>IF($AA21="","",IF($AA21&lt;&gt;"EXISTS","",IFERROR(IF(OR(IF(INDEX('Leads'!$A$8:$A$107,MATCH($A21,'Leads'!$AE$8:$AE$107,0))="","",INDEX('Leads'!$A$8:$A$107,MATCH($A21,'Leads'!$AE$8:$AE$107,0)))&lt;&gt;$B21,IF(INDEX('Leads'!$AF$8:$AF$107,MATCH($A21,'Leads'!$AE$8:$AE$107,0))="","",INDEX('Leads'!$AF$8:$AF$107,MATCH($A21,'Leads'!$AE$8:$AE$107,0)))&lt;&gt;$C21,IF(INDEX('Leads'!$AG$8:$AG$107,MATCH($A21,'Leads'!$AE$8:$AE$107,0))="","",INDEX('Leads'!$AG$8:$AG$107,MATCH($A21,'Leads'!$AE$8:$AE$107,0)))&lt;&gt;$D21,IF(INDEX('Leads'!$B$8:$B$107,MATCH($A21,'Leads'!$AE$8:$AE$107,0))="","",INDEX('Leads'!$B$8:$B$107,MATCH($A21,'Leads'!$AE$8:$AE$107,0)))&lt;&gt;$E21,IF(INDEX('Leads'!$C$8:$C$107,MATCH($A21,'Leads'!$AE$8:$AE$107,0))="","",INDEX('Leads'!$C$8:$C$107,MATCH($A21,'Leads'!$AE$8:$AE$107,0)))&lt;&gt;$F21,IF(INDEX('Leads'!$K$8:$K$107,MATCH($A21,'Leads'!$AE$8:$AE$107,0))="","",INDEX('Leads'!$K$8:$K$107,MATCH($A21,'Leads'!$AE$8:$AE$107,0)))&lt;&gt;$G21,IF(INDEX('Leads'!$L$8:$L$107,MATCH($A21,'Leads'!$AE$8:$AE$107,0))="","",INDEX('Leads'!$L$8:$L$107,MATCH($A21,'Leads'!$AE$8:$AE$107,0)))&lt;&gt;$H21,IF(INDEX('Leads'!$M$8:$M$107,MATCH($A21,'Leads'!$AE$8:$AE$107,0))="","",INDEX('Leads'!$M$8:$M$107,MATCH($A21,'Leads'!$AE$8:$AE$107,0)))&lt;&gt;$I21,IF(INDEX('Leads'!$N$8:$N$107,MATCH($A21,'Leads'!$AE$8:$AE$107,0))="","",INDEX('Leads'!$N$8:$N$107,MATCH($A21,'Leads'!$AE$8:$AE$107,0)))&lt;&gt;$J21,IF(INDEX('Leads'!$AH$8:$AH$107,MATCH($A21,'Leads'!$AE$8:$AE$107,0))="","",INDEX('Leads'!$AH$8:$AH$107,MATCH($A21,'Leads'!$AE$8:$AE$107,0)))&lt;&gt;$K21,IF(INDEX('Leads'!$D$8:$D$107,MATCH($A21,'Leads'!$AE$8:$AE$107,0))="","",INDEX('Leads'!$D$8:$D$107,MATCH($A21,'Leads'!$AE$8:$AE$107,0)))&lt;&gt;$L21,IF(INDEX('Leads'!$E$8:$E$107,MATCH($A21,'Leads'!$AE$8:$AE$107,0))="","",INDEX('Leads'!$E$8:$E$107,MATCH($A21,'Leads'!$AE$8:$AE$107,0)))&lt;&gt;$M21,IF(INDEX('Leads'!$AI$8:$AI$107,MATCH($A21,'Leads'!$AE$8:$AE$107,0))="","",INDEX('Leads'!$AI$8:$AI$107,MATCH($A21,'Leads'!$AE$8:$AE$107,0)))&lt;&gt;$N21,IF(INDEX('Leads'!$AJ$8:$AJ$107,MATCH($A21,'Leads'!$AE$8:$AE$107,0))="","",INDEX('Leads'!$AJ$8:$AJ$107,MATCH($A21,'Leads'!$AE$8:$AE$107,0)))&lt;&gt;$O21,IF(INDEX('Leads'!$AK$8:$AK$107,MATCH($A21,'Leads'!$AE$8:$AE$107,0))="","",INDEX('Leads'!$AK$8:$AK$107,MATCH($A21,'Leads'!$AE$8:$AE$107,0)))&lt;&gt;$P21,IF(INDEX('Leads'!$AL$8:$AL$107,MATCH($A21,'Leads'!$AE$8:$AE$107,0))="","",INDEX('Leads'!$AL$8:$AL$107,MATCH($A21,'Leads'!$AE$8:$AE$107,0)))&lt;&gt;$Q21,IF(INDEX('Leads'!$AM$8:$AM$107,MATCH($A21,'Leads'!$AE$8:$AE$107,0))="","",INDEX('Leads'!$AM$8:$AM$107,MATCH($A21,'Leads'!$AE$8:$AE$107,0)))&lt;&gt;$R21,IF(INDEX('Leads'!$AN$8:$AN$107,MATCH($A21,'Leads'!$AE$8:$AE$107,0))="","",INDEX('Leads'!$AN$8:$AN$107,MATCH($A21,'Leads'!$AE$8:$AE$107,0)))&lt;&gt;$S21,IF(INDEX('Leads'!$AO$8:$AO$107,MATCH($A21,'Leads'!$AE$8:$AE$107,0))="","",INDEX('Leads'!$AO$8:$AO$107,MATCH($A21,'Leads'!$AE$8:$AE$107,0)))&lt;&gt;$T21,IF(INDEX('Leads'!$AP$8:$AP$107,MATCH($A21,'Leads'!$AE$8:$AE$107,0))="","",INDEX('Leads'!$AP$8:$AP$107,MATCH($A21,'Leads'!$AE$8:$AE$107,0)))&lt;&gt;$U21,IF(INDEX('Leads'!$AQ$8:$AQ$107,MATCH($A21,'Leads'!$AE$8:$AE$107,0))="","",INDEX('Leads'!$AQ$8:$AQ$107,MATCH($A21,'Leads'!$AE$8:$AE$107,0)))&lt;&gt;$V21,IF(INDEX('Leads'!$AR$8:$AR$107,MATCH($A21,'Leads'!$AE$8:$AE$107,0))="","",INDEX('Leads'!$AR$8:$AR$107,MATCH($A21,'Leads'!$AE$8:$AE$107,0)))&lt;&gt;$W21,IF(INDEX('Leads'!$AS$8:$AS$107,MATCH($A21,'Leads'!$AE$8:$AE$107,0))="","",INDEX('Leads'!$AS$8:$AS$107,MATCH($A21,'Leads'!$AE$8:$AE$107,0)))&lt;&gt;$X21,IF(INDEX('Leads'!$AT$8:$AT$107,MATCH($A21,'Leads'!$AE$8:$AE$107,0))="","",INDEX('Leads'!$AT$8:$AT$107,MATCH($A21,'Leads'!$AE$8:$AE$107,0)))&lt;&gt;$Y21),"ข้อมูลรับเข้าต่าง — ตรวจเอง","ตรงกัน — ห้ามนำเข้าซ้ำ"),"ตรวจ Lead ID เดิม")))</x:f>
      </x:c>
    </x:row>
    <x:row r="22" ht="30" customHeight="1">
      <x:c r="A22" s="94"/>
      <x:c r="B22" s="94"/>
      <x:c r="C22" s="86"/>
      <x:c r="D22" s="32"/>
      <x:c r="E22" s="32"/>
      <x:c r="F22" s="32"/>
      <x:c r="G22" s="32"/>
      <x:c r="H22" s="94"/>
      <x:c r="I22" s="94"/>
      <x:c r="J22" s="94"/>
      <x:c r="K22" s="32"/>
      <x:c r="L22" s="32"/>
      <x:c r="M22" s="32"/>
      <x:c r="N22" s="32"/>
      <x:c r="O22" s="88"/>
      <x:c r="P22" s="32"/>
      <x:c r="Q22" s="32"/>
      <x:c r="R22" s="32"/>
      <x:c r="S22" s="32"/>
      <x:c r="T22" s="32"/>
      <x:c r="U22" s="32"/>
      <x:c r="V22" s="94"/>
      <x:c r="W22" s="32"/>
      <x:c r="X22" s="32"/>
      <x:c r="Y22" s="32"/>
      <x:c r="Z22" s="86"/>
      <x:c r="AA22" s="42" t="str">
        <x:f>IF(AND($A22="",$B22=""),"",IF(OR($A22="",$B22=""),"CHECK_INPUT",IF(OR($Y22="test",COUNTIF('Guide_Lists'!$AR$2:$AR$4,$B22)&gt;0),"TEST_DO_NOT_IMPORT",IF(OR(COUNTIF('Import_Staging'!$A$8:$A$107,$A22)&gt;1,COUNTIF('Import_Staging'!$B$8:$B$107,$B22)&gt;1),"DUPLICATE_IN_IMPORT",IF(COUNTIF('Leads'!$AE$8:$AE$107,$A22)&gt;0,"EXISTS",IF(COUNTIF('Leads'!$A$8:$A$107,$B22)&gt;0,"CHECK_INPUT",IF(AND($Y22="production",ISNUMBER($C22)),"NEW","CHECK_INPUT")))))))</x:f>
      </x:c>
      <x:c r="AB22" s="42" t="str">
        <x:f>IF($AA22="","",IF($AA22&lt;&gt;"EXISTS","",IFERROR(IF(OR(IF(INDEX('Leads'!$A$8:$A$107,MATCH($A22,'Leads'!$AE$8:$AE$107,0))="","",INDEX('Leads'!$A$8:$A$107,MATCH($A22,'Leads'!$AE$8:$AE$107,0)))&lt;&gt;$B22,IF(INDEX('Leads'!$AF$8:$AF$107,MATCH($A22,'Leads'!$AE$8:$AE$107,0))="","",INDEX('Leads'!$AF$8:$AF$107,MATCH($A22,'Leads'!$AE$8:$AE$107,0)))&lt;&gt;$C22,IF(INDEX('Leads'!$AG$8:$AG$107,MATCH($A22,'Leads'!$AE$8:$AE$107,0))="","",INDEX('Leads'!$AG$8:$AG$107,MATCH($A22,'Leads'!$AE$8:$AE$107,0)))&lt;&gt;$D22,IF(INDEX('Leads'!$B$8:$B$107,MATCH($A22,'Leads'!$AE$8:$AE$107,0))="","",INDEX('Leads'!$B$8:$B$107,MATCH($A22,'Leads'!$AE$8:$AE$107,0)))&lt;&gt;$E22,IF(INDEX('Leads'!$C$8:$C$107,MATCH($A22,'Leads'!$AE$8:$AE$107,0))="","",INDEX('Leads'!$C$8:$C$107,MATCH($A22,'Leads'!$AE$8:$AE$107,0)))&lt;&gt;$F22,IF(INDEX('Leads'!$K$8:$K$107,MATCH($A22,'Leads'!$AE$8:$AE$107,0))="","",INDEX('Leads'!$K$8:$K$107,MATCH($A22,'Leads'!$AE$8:$AE$107,0)))&lt;&gt;$G22,IF(INDEX('Leads'!$L$8:$L$107,MATCH($A22,'Leads'!$AE$8:$AE$107,0))="","",INDEX('Leads'!$L$8:$L$107,MATCH($A22,'Leads'!$AE$8:$AE$107,0)))&lt;&gt;$H22,IF(INDEX('Leads'!$M$8:$M$107,MATCH($A22,'Leads'!$AE$8:$AE$107,0))="","",INDEX('Leads'!$M$8:$M$107,MATCH($A22,'Leads'!$AE$8:$AE$107,0)))&lt;&gt;$I22,IF(INDEX('Leads'!$N$8:$N$107,MATCH($A22,'Leads'!$AE$8:$AE$107,0))="","",INDEX('Leads'!$N$8:$N$107,MATCH($A22,'Leads'!$AE$8:$AE$107,0)))&lt;&gt;$J22,IF(INDEX('Leads'!$AH$8:$AH$107,MATCH($A22,'Leads'!$AE$8:$AE$107,0))="","",INDEX('Leads'!$AH$8:$AH$107,MATCH($A22,'Leads'!$AE$8:$AE$107,0)))&lt;&gt;$K22,IF(INDEX('Leads'!$D$8:$D$107,MATCH($A22,'Leads'!$AE$8:$AE$107,0))="","",INDEX('Leads'!$D$8:$D$107,MATCH($A22,'Leads'!$AE$8:$AE$107,0)))&lt;&gt;$L22,IF(INDEX('Leads'!$E$8:$E$107,MATCH($A22,'Leads'!$AE$8:$AE$107,0))="","",INDEX('Leads'!$E$8:$E$107,MATCH($A22,'Leads'!$AE$8:$AE$107,0)))&lt;&gt;$M22,IF(INDEX('Leads'!$AI$8:$AI$107,MATCH($A22,'Leads'!$AE$8:$AE$107,0))="","",INDEX('Leads'!$AI$8:$AI$107,MATCH($A22,'Leads'!$AE$8:$AE$107,0)))&lt;&gt;$N22,IF(INDEX('Leads'!$AJ$8:$AJ$107,MATCH($A22,'Leads'!$AE$8:$AE$107,0))="","",INDEX('Leads'!$AJ$8:$AJ$107,MATCH($A22,'Leads'!$AE$8:$AE$107,0)))&lt;&gt;$O22,IF(INDEX('Leads'!$AK$8:$AK$107,MATCH($A22,'Leads'!$AE$8:$AE$107,0))="","",INDEX('Leads'!$AK$8:$AK$107,MATCH($A22,'Leads'!$AE$8:$AE$107,0)))&lt;&gt;$P22,IF(INDEX('Leads'!$AL$8:$AL$107,MATCH($A22,'Leads'!$AE$8:$AE$107,0))="","",INDEX('Leads'!$AL$8:$AL$107,MATCH($A22,'Leads'!$AE$8:$AE$107,0)))&lt;&gt;$Q22,IF(INDEX('Leads'!$AM$8:$AM$107,MATCH($A22,'Leads'!$AE$8:$AE$107,0))="","",INDEX('Leads'!$AM$8:$AM$107,MATCH($A22,'Leads'!$AE$8:$AE$107,0)))&lt;&gt;$R22,IF(INDEX('Leads'!$AN$8:$AN$107,MATCH($A22,'Leads'!$AE$8:$AE$107,0))="","",INDEX('Leads'!$AN$8:$AN$107,MATCH($A22,'Leads'!$AE$8:$AE$107,0)))&lt;&gt;$S22,IF(INDEX('Leads'!$AO$8:$AO$107,MATCH($A22,'Leads'!$AE$8:$AE$107,0))="","",INDEX('Leads'!$AO$8:$AO$107,MATCH($A22,'Leads'!$AE$8:$AE$107,0)))&lt;&gt;$T22,IF(INDEX('Leads'!$AP$8:$AP$107,MATCH($A22,'Leads'!$AE$8:$AE$107,0))="","",INDEX('Leads'!$AP$8:$AP$107,MATCH($A22,'Leads'!$AE$8:$AE$107,0)))&lt;&gt;$U22,IF(INDEX('Leads'!$AQ$8:$AQ$107,MATCH($A22,'Leads'!$AE$8:$AE$107,0))="","",INDEX('Leads'!$AQ$8:$AQ$107,MATCH($A22,'Leads'!$AE$8:$AE$107,0)))&lt;&gt;$V22,IF(INDEX('Leads'!$AR$8:$AR$107,MATCH($A22,'Leads'!$AE$8:$AE$107,0))="","",INDEX('Leads'!$AR$8:$AR$107,MATCH($A22,'Leads'!$AE$8:$AE$107,0)))&lt;&gt;$W22,IF(INDEX('Leads'!$AS$8:$AS$107,MATCH($A22,'Leads'!$AE$8:$AE$107,0))="","",INDEX('Leads'!$AS$8:$AS$107,MATCH($A22,'Leads'!$AE$8:$AE$107,0)))&lt;&gt;$X22,IF(INDEX('Leads'!$AT$8:$AT$107,MATCH($A22,'Leads'!$AE$8:$AE$107,0))="","",INDEX('Leads'!$AT$8:$AT$107,MATCH($A22,'Leads'!$AE$8:$AE$107,0)))&lt;&gt;$Y22),"ข้อมูลรับเข้าต่าง — ตรวจเอง","ตรงกัน — ห้ามนำเข้าซ้ำ"),"ตรวจ Lead ID เดิม")))</x:f>
      </x:c>
    </x:row>
    <x:row r="23" ht="30" customHeight="1">
      <x:c r="A23" s="94"/>
      <x:c r="B23" s="94"/>
      <x:c r="C23" s="86"/>
      <x:c r="D23" s="32"/>
      <x:c r="E23" s="32"/>
      <x:c r="F23" s="32"/>
      <x:c r="G23" s="32"/>
      <x:c r="H23" s="94"/>
      <x:c r="I23" s="94"/>
      <x:c r="J23" s="94"/>
      <x:c r="K23" s="32"/>
      <x:c r="L23" s="32"/>
      <x:c r="M23" s="32"/>
      <x:c r="N23" s="32"/>
      <x:c r="O23" s="88"/>
      <x:c r="P23" s="32"/>
      <x:c r="Q23" s="32"/>
      <x:c r="R23" s="32"/>
      <x:c r="S23" s="32"/>
      <x:c r="T23" s="32"/>
      <x:c r="U23" s="32"/>
      <x:c r="V23" s="94"/>
      <x:c r="W23" s="32"/>
      <x:c r="X23" s="32"/>
      <x:c r="Y23" s="32"/>
      <x:c r="Z23" s="86"/>
      <x:c r="AA23" s="42" t="str">
        <x:f>IF(AND($A23="",$B23=""),"",IF(OR($A23="",$B23=""),"CHECK_INPUT",IF(OR($Y23="test",COUNTIF('Guide_Lists'!$AR$2:$AR$4,$B23)&gt;0),"TEST_DO_NOT_IMPORT",IF(OR(COUNTIF('Import_Staging'!$A$8:$A$107,$A23)&gt;1,COUNTIF('Import_Staging'!$B$8:$B$107,$B23)&gt;1),"DUPLICATE_IN_IMPORT",IF(COUNTIF('Leads'!$AE$8:$AE$107,$A23)&gt;0,"EXISTS",IF(COUNTIF('Leads'!$A$8:$A$107,$B23)&gt;0,"CHECK_INPUT",IF(AND($Y23="production",ISNUMBER($C23)),"NEW","CHECK_INPUT")))))))</x:f>
      </x:c>
      <x:c r="AB23" s="42" t="str">
        <x:f>IF($AA23="","",IF($AA23&lt;&gt;"EXISTS","",IFERROR(IF(OR(IF(INDEX('Leads'!$A$8:$A$107,MATCH($A23,'Leads'!$AE$8:$AE$107,0))="","",INDEX('Leads'!$A$8:$A$107,MATCH($A23,'Leads'!$AE$8:$AE$107,0)))&lt;&gt;$B23,IF(INDEX('Leads'!$AF$8:$AF$107,MATCH($A23,'Leads'!$AE$8:$AE$107,0))="","",INDEX('Leads'!$AF$8:$AF$107,MATCH($A23,'Leads'!$AE$8:$AE$107,0)))&lt;&gt;$C23,IF(INDEX('Leads'!$AG$8:$AG$107,MATCH($A23,'Leads'!$AE$8:$AE$107,0))="","",INDEX('Leads'!$AG$8:$AG$107,MATCH($A23,'Leads'!$AE$8:$AE$107,0)))&lt;&gt;$D23,IF(INDEX('Leads'!$B$8:$B$107,MATCH($A23,'Leads'!$AE$8:$AE$107,0))="","",INDEX('Leads'!$B$8:$B$107,MATCH($A23,'Leads'!$AE$8:$AE$107,0)))&lt;&gt;$E23,IF(INDEX('Leads'!$C$8:$C$107,MATCH($A23,'Leads'!$AE$8:$AE$107,0))="","",INDEX('Leads'!$C$8:$C$107,MATCH($A23,'Leads'!$AE$8:$AE$107,0)))&lt;&gt;$F23,IF(INDEX('Leads'!$K$8:$K$107,MATCH($A23,'Leads'!$AE$8:$AE$107,0))="","",INDEX('Leads'!$K$8:$K$107,MATCH($A23,'Leads'!$AE$8:$AE$107,0)))&lt;&gt;$G23,IF(INDEX('Leads'!$L$8:$L$107,MATCH($A23,'Leads'!$AE$8:$AE$107,0))="","",INDEX('Leads'!$L$8:$L$107,MATCH($A23,'Leads'!$AE$8:$AE$107,0)))&lt;&gt;$H23,IF(INDEX('Leads'!$M$8:$M$107,MATCH($A23,'Leads'!$AE$8:$AE$107,0))="","",INDEX('Leads'!$M$8:$M$107,MATCH($A23,'Leads'!$AE$8:$AE$107,0)))&lt;&gt;$I23,IF(INDEX('Leads'!$N$8:$N$107,MATCH($A23,'Leads'!$AE$8:$AE$107,0))="","",INDEX('Leads'!$N$8:$N$107,MATCH($A23,'Leads'!$AE$8:$AE$107,0)))&lt;&gt;$J23,IF(INDEX('Leads'!$AH$8:$AH$107,MATCH($A23,'Leads'!$AE$8:$AE$107,0))="","",INDEX('Leads'!$AH$8:$AH$107,MATCH($A23,'Leads'!$AE$8:$AE$107,0)))&lt;&gt;$K23,IF(INDEX('Leads'!$D$8:$D$107,MATCH($A23,'Leads'!$AE$8:$AE$107,0))="","",INDEX('Leads'!$D$8:$D$107,MATCH($A23,'Leads'!$AE$8:$AE$107,0)))&lt;&gt;$L23,IF(INDEX('Leads'!$E$8:$E$107,MATCH($A23,'Leads'!$AE$8:$AE$107,0))="","",INDEX('Leads'!$E$8:$E$107,MATCH($A23,'Leads'!$AE$8:$AE$107,0)))&lt;&gt;$M23,IF(INDEX('Leads'!$AI$8:$AI$107,MATCH($A23,'Leads'!$AE$8:$AE$107,0))="","",INDEX('Leads'!$AI$8:$AI$107,MATCH($A23,'Leads'!$AE$8:$AE$107,0)))&lt;&gt;$N23,IF(INDEX('Leads'!$AJ$8:$AJ$107,MATCH($A23,'Leads'!$AE$8:$AE$107,0))="","",INDEX('Leads'!$AJ$8:$AJ$107,MATCH($A23,'Leads'!$AE$8:$AE$107,0)))&lt;&gt;$O23,IF(INDEX('Leads'!$AK$8:$AK$107,MATCH($A23,'Leads'!$AE$8:$AE$107,0))="","",INDEX('Leads'!$AK$8:$AK$107,MATCH($A23,'Leads'!$AE$8:$AE$107,0)))&lt;&gt;$P23,IF(INDEX('Leads'!$AL$8:$AL$107,MATCH($A23,'Leads'!$AE$8:$AE$107,0))="","",INDEX('Leads'!$AL$8:$AL$107,MATCH($A23,'Leads'!$AE$8:$AE$107,0)))&lt;&gt;$Q23,IF(INDEX('Leads'!$AM$8:$AM$107,MATCH($A23,'Leads'!$AE$8:$AE$107,0))="","",INDEX('Leads'!$AM$8:$AM$107,MATCH($A23,'Leads'!$AE$8:$AE$107,0)))&lt;&gt;$R23,IF(INDEX('Leads'!$AN$8:$AN$107,MATCH($A23,'Leads'!$AE$8:$AE$107,0))="","",INDEX('Leads'!$AN$8:$AN$107,MATCH($A23,'Leads'!$AE$8:$AE$107,0)))&lt;&gt;$S23,IF(INDEX('Leads'!$AO$8:$AO$107,MATCH($A23,'Leads'!$AE$8:$AE$107,0))="","",INDEX('Leads'!$AO$8:$AO$107,MATCH($A23,'Leads'!$AE$8:$AE$107,0)))&lt;&gt;$T23,IF(INDEX('Leads'!$AP$8:$AP$107,MATCH($A23,'Leads'!$AE$8:$AE$107,0))="","",INDEX('Leads'!$AP$8:$AP$107,MATCH($A23,'Leads'!$AE$8:$AE$107,0)))&lt;&gt;$U23,IF(INDEX('Leads'!$AQ$8:$AQ$107,MATCH($A23,'Leads'!$AE$8:$AE$107,0))="","",INDEX('Leads'!$AQ$8:$AQ$107,MATCH($A23,'Leads'!$AE$8:$AE$107,0)))&lt;&gt;$V23,IF(INDEX('Leads'!$AR$8:$AR$107,MATCH($A23,'Leads'!$AE$8:$AE$107,0))="","",INDEX('Leads'!$AR$8:$AR$107,MATCH($A23,'Leads'!$AE$8:$AE$107,0)))&lt;&gt;$W23,IF(INDEX('Leads'!$AS$8:$AS$107,MATCH($A23,'Leads'!$AE$8:$AE$107,0))="","",INDEX('Leads'!$AS$8:$AS$107,MATCH($A23,'Leads'!$AE$8:$AE$107,0)))&lt;&gt;$X23,IF(INDEX('Leads'!$AT$8:$AT$107,MATCH($A23,'Leads'!$AE$8:$AE$107,0))="","",INDEX('Leads'!$AT$8:$AT$107,MATCH($A23,'Leads'!$AE$8:$AE$107,0)))&lt;&gt;$Y23),"ข้อมูลรับเข้าต่าง — ตรวจเอง","ตรงกัน — ห้ามนำเข้าซ้ำ"),"ตรวจ Lead ID เดิม")))</x:f>
      </x:c>
    </x:row>
    <x:row r="24" ht="30" customHeight="1">
      <x:c r="A24" s="94"/>
      <x:c r="B24" s="94"/>
      <x:c r="C24" s="86"/>
      <x:c r="D24" s="32"/>
      <x:c r="E24" s="32"/>
      <x:c r="F24" s="32"/>
      <x:c r="G24" s="32"/>
      <x:c r="H24" s="94"/>
      <x:c r="I24" s="94"/>
      <x:c r="J24" s="94"/>
      <x:c r="K24" s="32"/>
      <x:c r="L24" s="32"/>
      <x:c r="M24" s="32"/>
      <x:c r="N24" s="32"/>
      <x:c r="O24" s="88"/>
      <x:c r="P24" s="32"/>
      <x:c r="Q24" s="32"/>
      <x:c r="R24" s="32"/>
      <x:c r="S24" s="32"/>
      <x:c r="T24" s="32"/>
      <x:c r="U24" s="32"/>
      <x:c r="V24" s="94"/>
      <x:c r="W24" s="32"/>
      <x:c r="X24" s="32"/>
      <x:c r="Y24" s="32"/>
      <x:c r="Z24" s="86"/>
      <x:c r="AA24" s="42" t="str">
        <x:f>IF(AND($A24="",$B24=""),"",IF(OR($A24="",$B24=""),"CHECK_INPUT",IF(OR($Y24="test",COUNTIF('Guide_Lists'!$AR$2:$AR$4,$B24)&gt;0),"TEST_DO_NOT_IMPORT",IF(OR(COUNTIF('Import_Staging'!$A$8:$A$107,$A24)&gt;1,COUNTIF('Import_Staging'!$B$8:$B$107,$B24)&gt;1),"DUPLICATE_IN_IMPORT",IF(COUNTIF('Leads'!$AE$8:$AE$107,$A24)&gt;0,"EXISTS",IF(COUNTIF('Leads'!$A$8:$A$107,$B24)&gt;0,"CHECK_INPUT",IF(AND($Y24="production",ISNUMBER($C24)),"NEW","CHECK_INPUT")))))))</x:f>
      </x:c>
      <x:c r="AB24" s="42" t="str">
        <x:f>IF($AA24="","",IF($AA24&lt;&gt;"EXISTS","",IFERROR(IF(OR(IF(INDEX('Leads'!$A$8:$A$107,MATCH($A24,'Leads'!$AE$8:$AE$107,0))="","",INDEX('Leads'!$A$8:$A$107,MATCH($A24,'Leads'!$AE$8:$AE$107,0)))&lt;&gt;$B24,IF(INDEX('Leads'!$AF$8:$AF$107,MATCH($A24,'Leads'!$AE$8:$AE$107,0))="","",INDEX('Leads'!$AF$8:$AF$107,MATCH($A24,'Leads'!$AE$8:$AE$107,0)))&lt;&gt;$C24,IF(INDEX('Leads'!$AG$8:$AG$107,MATCH($A24,'Leads'!$AE$8:$AE$107,0))="","",INDEX('Leads'!$AG$8:$AG$107,MATCH($A24,'Leads'!$AE$8:$AE$107,0)))&lt;&gt;$D24,IF(INDEX('Leads'!$B$8:$B$107,MATCH($A24,'Leads'!$AE$8:$AE$107,0))="","",INDEX('Leads'!$B$8:$B$107,MATCH($A24,'Leads'!$AE$8:$AE$107,0)))&lt;&gt;$E24,IF(INDEX('Leads'!$C$8:$C$107,MATCH($A24,'Leads'!$AE$8:$AE$107,0))="","",INDEX('Leads'!$C$8:$C$107,MATCH($A24,'Leads'!$AE$8:$AE$107,0)))&lt;&gt;$F24,IF(INDEX('Leads'!$K$8:$K$107,MATCH($A24,'Leads'!$AE$8:$AE$107,0))="","",INDEX('Leads'!$K$8:$K$107,MATCH($A24,'Leads'!$AE$8:$AE$107,0)))&lt;&gt;$G24,IF(INDEX('Leads'!$L$8:$L$107,MATCH($A24,'Leads'!$AE$8:$AE$107,0))="","",INDEX('Leads'!$L$8:$L$107,MATCH($A24,'Leads'!$AE$8:$AE$107,0)))&lt;&gt;$H24,IF(INDEX('Leads'!$M$8:$M$107,MATCH($A24,'Leads'!$AE$8:$AE$107,0))="","",INDEX('Leads'!$M$8:$M$107,MATCH($A24,'Leads'!$AE$8:$AE$107,0)))&lt;&gt;$I24,IF(INDEX('Leads'!$N$8:$N$107,MATCH($A24,'Leads'!$AE$8:$AE$107,0))="","",INDEX('Leads'!$N$8:$N$107,MATCH($A24,'Leads'!$AE$8:$AE$107,0)))&lt;&gt;$J24,IF(INDEX('Leads'!$AH$8:$AH$107,MATCH($A24,'Leads'!$AE$8:$AE$107,0))="","",INDEX('Leads'!$AH$8:$AH$107,MATCH($A24,'Leads'!$AE$8:$AE$107,0)))&lt;&gt;$K24,IF(INDEX('Leads'!$D$8:$D$107,MATCH($A24,'Leads'!$AE$8:$AE$107,0))="","",INDEX('Leads'!$D$8:$D$107,MATCH($A24,'Leads'!$AE$8:$AE$107,0)))&lt;&gt;$L24,IF(INDEX('Leads'!$E$8:$E$107,MATCH($A24,'Leads'!$AE$8:$AE$107,0))="","",INDEX('Leads'!$E$8:$E$107,MATCH($A24,'Leads'!$AE$8:$AE$107,0)))&lt;&gt;$M24,IF(INDEX('Leads'!$AI$8:$AI$107,MATCH($A24,'Leads'!$AE$8:$AE$107,0))="","",INDEX('Leads'!$AI$8:$AI$107,MATCH($A24,'Leads'!$AE$8:$AE$107,0)))&lt;&gt;$N24,IF(INDEX('Leads'!$AJ$8:$AJ$107,MATCH($A24,'Leads'!$AE$8:$AE$107,0))="","",INDEX('Leads'!$AJ$8:$AJ$107,MATCH($A24,'Leads'!$AE$8:$AE$107,0)))&lt;&gt;$O24,IF(INDEX('Leads'!$AK$8:$AK$107,MATCH($A24,'Leads'!$AE$8:$AE$107,0))="","",INDEX('Leads'!$AK$8:$AK$107,MATCH($A24,'Leads'!$AE$8:$AE$107,0)))&lt;&gt;$P24,IF(INDEX('Leads'!$AL$8:$AL$107,MATCH($A24,'Leads'!$AE$8:$AE$107,0))="","",INDEX('Leads'!$AL$8:$AL$107,MATCH($A24,'Leads'!$AE$8:$AE$107,0)))&lt;&gt;$Q24,IF(INDEX('Leads'!$AM$8:$AM$107,MATCH($A24,'Leads'!$AE$8:$AE$107,0))="","",INDEX('Leads'!$AM$8:$AM$107,MATCH($A24,'Leads'!$AE$8:$AE$107,0)))&lt;&gt;$R24,IF(INDEX('Leads'!$AN$8:$AN$107,MATCH($A24,'Leads'!$AE$8:$AE$107,0))="","",INDEX('Leads'!$AN$8:$AN$107,MATCH($A24,'Leads'!$AE$8:$AE$107,0)))&lt;&gt;$S24,IF(INDEX('Leads'!$AO$8:$AO$107,MATCH($A24,'Leads'!$AE$8:$AE$107,0))="","",INDEX('Leads'!$AO$8:$AO$107,MATCH($A24,'Leads'!$AE$8:$AE$107,0)))&lt;&gt;$T24,IF(INDEX('Leads'!$AP$8:$AP$107,MATCH($A24,'Leads'!$AE$8:$AE$107,0))="","",INDEX('Leads'!$AP$8:$AP$107,MATCH($A24,'Leads'!$AE$8:$AE$107,0)))&lt;&gt;$U24,IF(INDEX('Leads'!$AQ$8:$AQ$107,MATCH($A24,'Leads'!$AE$8:$AE$107,0))="","",INDEX('Leads'!$AQ$8:$AQ$107,MATCH($A24,'Leads'!$AE$8:$AE$107,0)))&lt;&gt;$V24,IF(INDEX('Leads'!$AR$8:$AR$107,MATCH($A24,'Leads'!$AE$8:$AE$107,0))="","",INDEX('Leads'!$AR$8:$AR$107,MATCH($A24,'Leads'!$AE$8:$AE$107,0)))&lt;&gt;$W24,IF(INDEX('Leads'!$AS$8:$AS$107,MATCH($A24,'Leads'!$AE$8:$AE$107,0))="","",INDEX('Leads'!$AS$8:$AS$107,MATCH($A24,'Leads'!$AE$8:$AE$107,0)))&lt;&gt;$X24,IF(INDEX('Leads'!$AT$8:$AT$107,MATCH($A24,'Leads'!$AE$8:$AE$107,0))="","",INDEX('Leads'!$AT$8:$AT$107,MATCH($A24,'Leads'!$AE$8:$AE$107,0)))&lt;&gt;$Y24),"ข้อมูลรับเข้าต่าง — ตรวจเอง","ตรงกัน — ห้ามนำเข้าซ้ำ"),"ตรวจ Lead ID เดิม")))</x:f>
      </x:c>
    </x:row>
    <x:row r="25" ht="30" customHeight="1">
      <x:c r="A25" s="94"/>
      <x:c r="B25" s="94"/>
      <x:c r="C25" s="86"/>
      <x:c r="D25" s="32"/>
      <x:c r="E25" s="32"/>
      <x:c r="F25" s="32"/>
      <x:c r="G25" s="32"/>
      <x:c r="H25" s="94"/>
      <x:c r="I25" s="94"/>
      <x:c r="J25" s="94"/>
      <x:c r="K25" s="32"/>
      <x:c r="L25" s="32"/>
      <x:c r="M25" s="32"/>
      <x:c r="N25" s="32"/>
      <x:c r="O25" s="88"/>
      <x:c r="P25" s="32"/>
      <x:c r="Q25" s="32"/>
      <x:c r="R25" s="32"/>
      <x:c r="S25" s="32"/>
      <x:c r="T25" s="32"/>
      <x:c r="U25" s="32"/>
      <x:c r="V25" s="94"/>
      <x:c r="W25" s="32"/>
      <x:c r="X25" s="32"/>
      <x:c r="Y25" s="32"/>
      <x:c r="Z25" s="86"/>
      <x:c r="AA25" s="42" t="str">
        <x:f>IF(AND($A25="",$B25=""),"",IF(OR($A25="",$B25=""),"CHECK_INPUT",IF(OR($Y25="test",COUNTIF('Guide_Lists'!$AR$2:$AR$4,$B25)&gt;0),"TEST_DO_NOT_IMPORT",IF(OR(COUNTIF('Import_Staging'!$A$8:$A$107,$A25)&gt;1,COUNTIF('Import_Staging'!$B$8:$B$107,$B25)&gt;1),"DUPLICATE_IN_IMPORT",IF(COUNTIF('Leads'!$AE$8:$AE$107,$A25)&gt;0,"EXISTS",IF(COUNTIF('Leads'!$A$8:$A$107,$B25)&gt;0,"CHECK_INPUT",IF(AND($Y25="production",ISNUMBER($C25)),"NEW","CHECK_INPUT")))))))</x:f>
      </x:c>
      <x:c r="AB25" s="42" t="str">
        <x:f>IF($AA25="","",IF($AA25&lt;&gt;"EXISTS","",IFERROR(IF(OR(IF(INDEX('Leads'!$A$8:$A$107,MATCH($A25,'Leads'!$AE$8:$AE$107,0))="","",INDEX('Leads'!$A$8:$A$107,MATCH($A25,'Leads'!$AE$8:$AE$107,0)))&lt;&gt;$B25,IF(INDEX('Leads'!$AF$8:$AF$107,MATCH($A25,'Leads'!$AE$8:$AE$107,0))="","",INDEX('Leads'!$AF$8:$AF$107,MATCH($A25,'Leads'!$AE$8:$AE$107,0)))&lt;&gt;$C25,IF(INDEX('Leads'!$AG$8:$AG$107,MATCH($A25,'Leads'!$AE$8:$AE$107,0))="","",INDEX('Leads'!$AG$8:$AG$107,MATCH($A25,'Leads'!$AE$8:$AE$107,0)))&lt;&gt;$D25,IF(INDEX('Leads'!$B$8:$B$107,MATCH($A25,'Leads'!$AE$8:$AE$107,0))="","",INDEX('Leads'!$B$8:$B$107,MATCH($A25,'Leads'!$AE$8:$AE$107,0)))&lt;&gt;$E25,IF(INDEX('Leads'!$C$8:$C$107,MATCH($A25,'Leads'!$AE$8:$AE$107,0))="","",INDEX('Leads'!$C$8:$C$107,MATCH($A25,'Leads'!$AE$8:$AE$107,0)))&lt;&gt;$F25,IF(INDEX('Leads'!$K$8:$K$107,MATCH($A25,'Leads'!$AE$8:$AE$107,0))="","",INDEX('Leads'!$K$8:$K$107,MATCH($A25,'Leads'!$AE$8:$AE$107,0)))&lt;&gt;$G25,IF(INDEX('Leads'!$L$8:$L$107,MATCH($A25,'Leads'!$AE$8:$AE$107,0))="","",INDEX('Leads'!$L$8:$L$107,MATCH($A25,'Leads'!$AE$8:$AE$107,0)))&lt;&gt;$H25,IF(INDEX('Leads'!$M$8:$M$107,MATCH($A25,'Leads'!$AE$8:$AE$107,0))="","",INDEX('Leads'!$M$8:$M$107,MATCH($A25,'Leads'!$AE$8:$AE$107,0)))&lt;&gt;$I25,IF(INDEX('Leads'!$N$8:$N$107,MATCH($A25,'Leads'!$AE$8:$AE$107,0))="","",INDEX('Leads'!$N$8:$N$107,MATCH($A25,'Leads'!$AE$8:$AE$107,0)))&lt;&gt;$J25,IF(INDEX('Leads'!$AH$8:$AH$107,MATCH($A25,'Leads'!$AE$8:$AE$107,0))="","",INDEX('Leads'!$AH$8:$AH$107,MATCH($A25,'Leads'!$AE$8:$AE$107,0)))&lt;&gt;$K25,IF(INDEX('Leads'!$D$8:$D$107,MATCH($A25,'Leads'!$AE$8:$AE$107,0))="","",INDEX('Leads'!$D$8:$D$107,MATCH($A25,'Leads'!$AE$8:$AE$107,0)))&lt;&gt;$L25,IF(INDEX('Leads'!$E$8:$E$107,MATCH($A25,'Leads'!$AE$8:$AE$107,0))="","",INDEX('Leads'!$E$8:$E$107,MATCH($A25,'Leads'!$AE$8:$AE$107,0)))&lt;&gt;$M25,IF(INDEX('Leads'!$AI$8:$AI$107,MATCH($A25,'Leads'!$AE$8:$AE$107,0))="","",INDEX('Leads'!$AI$8:$AI$107,MATCH($A25,'Leads'!$AE$8:$AE$107,0)))&lt;&gt;$N25,IF(INDEX('Leads'!$AJ$8:$AJ$107,MATCH($A25,'Leads'!$AE$8:$AE$107,0))="","",INDEX('Leads'!$AJ$8:$AJ$107,MATCH($A25,'Leads'!$AE$8:$AE$107,0)))&lt;&gt;$O25,IF(INDEX('Leads'!$AK$8:$AK$107,MATCH($A25,'Leads'!$AE$8:$AE$107,0))="","",INDEX('Leads'!$AK$8:$AK$107,MATCH($A25,'Leads'!$AE$8:$AE$107,0)))&lt;&gt;$P25,IF(INDEX('Leads'!$AL$8:$AL$107,MATCH($A25,'Leads'!$AE$8:$AE$107,0))="","",INDEX('Leads'!$AL$8:$AL$107,MATCH($A25,'Leads'!$AE$8:$AE$107,0)))&lt;&gt;$Q25,IF(INDEX('Leads'!$AM$8:$AM$107,MATCH($A25,'Leads'!$AE$8:$AE$107,0))="","",INDEX('Leads'!$AM$8:$AM$107,MATCH($A25,'Leads'!$AE$8:$AE$107,0)))&lt;&gt;$R25,IF(INDEX('Leads'!$AN$8:$AN$107,MATCH($A25,'Leads'!$AE$8:$AE$107,0))="","",INDEX('Leads'!$AN$8:$AN$107,MATCH($A25,'Leads'!$AE$8:$AE$107,0)))&lt;&gt;$S25,IF(INDEX('Leads'!$AO$8:$AO$107,MATCH($A25,'Leads'!$AE$8:$AE$107,0))="","",INDEX('Leads'!$AO$8:$AO$107,MATCH($A25,'Leads'!$AE$8:$AE$107,0)))&lt;&gt;$T25,IF(INDEX('Leads'!$AP$8:$AP$107,MATCH($A25,'Leads'!$AE$8:$AE$107,0))="","",INDEX('Leads'!$AP$8:$AP$107,MATCH($A25,'Leads'!$AE$8:$AE$107,0)))&lt;&gt;$U25,IF(INDEX('Leads'!$AQ$8:$AQ$107,MATCH($A25,'Leads'!$AE$8:$AE$107,0))="","",INDEX('Leads'!$AQ$8:$AQ$107,MATCH($A25,'Leads'!$AE$8:$AE$107,0)))&lt;&gt;$V25,IF(INDEX('Leads'!$AR$8:$AR$107,MATCH($A25,'Leads'!$AE$8:$AE$107,0))="","",INDEX('Leads'!$AR$8:$AR$107,MATCH($A25,'Leads'!$AE$8:$AE$107,0)))&lt;&gt;$W25,IF(INDEX('Leads'!$AS$8:$AS$107,MATCH($A25,'Leads'!$AE$8:$AE$107,0))="","",INDEX('Leads'!$AS$8:$AS$107,MATCH($A25,'Leads'!$AE$8:$AE$107,0)))&lt;&gt;$X25,IF(INDEX('Leads'!$AT$8:$AT$107,MATCH($A25,'Leads'!$AE$8:$AE$107,0))="","",INDEX('Leads'!$AT$8:$AT$107,MATCH($A25,'Leads'!$AE$8:$AE$107,0)))&lt;&gt;$Y25),"ข้อมูลรับเข้าต่าง — ตรวจเอง","ตรงกัน — ห้ามนำเข้าซ้ำ"),"ตรวจ Lead ID เดิม")))</x:f>
      </x:c>
    </x:row>
    <x:row r="26" ht="30" customHeight="1">
      <x:c r="A26" s="94"/>
      <x:c r="B26" s="94"/>
      <x:c r="C26" s="86"/>
      <x:c r="D26" s="32"/>
      <x:c r="E26" s="32"/>
      <x:c r="F26" s="32"/>
      <x:c r="G26" s="32"/>
      <x:c r="H26" s="94"/>
      <x:c r="I26" s="94"/>
      <x:c r="J26" s="94"/>
      <x:c r="K26" s="32"/>
      <x:c r="L26" s="32"/>
      <x:c r="M26" s="32"/>
      <x:c r="N26" s="32"/>
      <x:c r="O26" s="88"/>
      <x:c r="P26" s="32"/>
      <x:c r="Q26" s="32"/>
      <x:c r="R26" s="32"/>
      <x:c r="S26" s="32"/>
      <x:c r="T26" s="32"/>
      <x:c r="U26" s="32"/>
      <x:c r="V26" s="94"/>
      <x:c r="W26" s="32"/>
      <x:c r="X26" s="32"/>
      <x:c r="Y26" s="32"/>
      <x:c r="Z26" s="86"/>
      <x:c r="AA26" s="42" t="str">
        <x:f>IF(AND($A26="",$B26=""),"",IF(OR($A26="",$B26=""),"CHECK_INPUT",IF(OR($Y26="test",COUNTIF('Guide_Lists'!$AR$2:$AR$4,$B26)&gt;0),"TEST_DO_NOT_IMPORT",IF(OR(COUNTIF('Import_Staging'!$A$8:$A$107,$A26)&gt;1,COUNTIF('Import_Staging'!$B$8:$B$107,$B26)&gt;1),"DUPLICATE_IN_IMPORT",IF(COUNTIF('Leads'!$AE$8:$AE$107,$A26)&gt;0,"EXISTS",IF(COUNTIF('Leads'!$A$8:$A$107,$B26)&gt;0,"CHECK_INPUT",IF(AND($Y26="production",ISNUMBER($C26)),"NEW","CHECK_INPUT")))))))</x:f>
      </x:c>
      <x:c r="AB26" s="42" t="str">
        <x:f>IF($AA26="","",IF($AA26&lt;&gt;"EXISTS","",IFERROR(IF(OR(IF(INDEX('Leads'!$A$8:$A$107,MATCH($A26,'Leads'!$AE$8:$AE$107,0))="","",INDEX('Leads'!$A$8:$A$107,MATCH($A26,'Leads'!$AE$8:$AE$107,0)))&lt;&gt;$B26,IF(INDEX('Leads'!$AF$8:$AF$107,MATCH($A26,'Leads'!$AE$8:$AE$107,0))="","",INDEX('Leads'!$AF$8:$AF$107,MATCH($A26,'Leads'!$AE$8:$AE$107,0)))&lt;&gt;$C26,IF(INDEX('Leads'!$AG$8:$AG$107,MATCH($A26,'Leads'!$AE$8:$AE$107,0))="","",INDEX('Leads'!$AG$8:$AG$107,MATCH($A26,'Leads'!$AE$8:$AE$107,0)))&lt;&gt;$D26,IF(INDEX('Leads'!$B$8:$B$107,MATCH($A26,'Leads'!$AE$8:$AE$107,0))="","",INDEX('Leads'!$B$8:$B$107,MATCH($A26,'Leads'!$AE$8:$AE$107,0)))&lt;&gt;$E26,IF(INDEX('Leads'!$C$8:$C$107,MATCH($A26,'Leads'!$AE$8:$AE$107,0))="","",INDEX('Leads'!$C$8:$C$107,MATCH($A26,'Leads'!$AE$8:$AE$107,0)))&lt;&gt;$F26,IF(INDEX('Leads'!$K$8:$K$107,MATCH($A26,'Leads'!$AE$8:$AE$107,0))="","",INDEX('Leads'!$K$8:$K$107,MATCH($A26,'Leads'!$AE$8:$AE$107,0)))&lt;&gt;$G26,IF(INDEX('Leads'!$L$8:$L$107,MATCH($A26,'Leads'!$AE$8:$AE$107,0))="","",INDEX('Leads'!$L$8:$L$107,MATCH($A26,'Leads'!$AE$8:$AE$107,0)))&lt;&gt;$H26,IF(INDEX('Leads'!$M$8:$M$107,MATCH($A26,'Leads'!$AE$8:$AE$107,0))="","",INDEX('Leads'!$M$8:$M$107,MATCH($A26,'Leads'!$AE$8:$AE$107,0)))&lt;&gt;$I26,IF(INDEX('Leads'!$N$8:$N$107,MATCH($A26,'Leads'!$AE$8:$AE$107,0))="","",INDEX('Leads'!$N$8:$N$107,MATCH($A26,'Leads'!$AE$8:$AE$107,0)))&lt;&gt;$J26,IF(INDEX('Leads'!$AH$8:$AH$107,MATCH($A26,'Leads'!$AE$8:$AE$107,0))="","",INDEX('Leads'!$AH$8:$AH$107,MATCH($A26,'Leads'!$AE$8:$AE$107,0)))&lt;&gt;$K26,IF(INDEX('Leads'!$D$8:$D$107,MATCH($A26,'Leads'!$AE$8:$AE$107,0))="","",INDEX('Leads'!$D$8:$D$107,MATCH($A26,'Leads'!$AE$8:$AE$107,0)))&lt;&gt;$L26,IF(INDEX('Leads'!$E$8:$E$107,MATCH($A26,'Leads'!$AE$8:$AE$107,0))="","",INDEX('Leads'!$E$8:$E$107,MATCH($A26,'Leads'!$AE$8:$AE$107,0)))&lt;&gt;$M26,IF(INDEX('Leads'!$AI$8:$AI$107,MATCH($A26,'Leads'!$AE$8:$AE$107,0))="","",INDEX('Leads'!$AI$8:$AI$107,MATCH($A26,'Leads'!$AE$8:$AE$107,0)))&lt;&gt;$N26,IF(INDEX('Leads'!$AJ$8:$AJ$107,MATCH($A26,'Leads'!$AE$8:$AE$107,0))="","",INDEX('Leads'!$AJ$8:$AJ$107,MATCH($A26,'Leads'!$AE$8:$AE$107,0)))&lt;&gt;$O26,IF(INDEX('Leads'!$AK$8:$AK$107,MATCH($A26,'Leads'!$AE$8:$AE$107,0))="","",INDEX('Leads'!$AK$8:$AK$107,MATCH($A26,'Leads'!$AE$8:$AE$107,0)))&lt;&gt;$P26,IF(INDEX('Leads'!$AL$8:$AL$107,MATCH($A26,'Leads'!$AE$8:$AE$107,0))="","",INDEX('Leads'!$AL$8:$AL$107,MATCH($A26,'Leads'!$AE$8:$AE$107,0)))&lt;&gt;$Q26,IF(INDEX('Leads'!$AM$8:$AM$107,MATCH($A26,'Leads'!$AE$8:$AE$107,0))="","",INDEX('Leads'!$AM$8:$AM$107,MATCH($A26,'Leads'!$AE$8:$AE$107,0)))&lt;&gt;$R26,IF(INDEX('Leads'!$AN$8:$AN$107,MATCH($A26,'Leads'!$AE$8:$AE$107,0))="","",INDEX('Leads'!$AN$8:$AN$107,MATCH($A26,'Leads'!$AE$8:$AE$107,0)))&lt;&gt;$S26,IF(INDEX('Leads'!$AO$8:$AO$107,MATCH($A26,'Leads'!$AE$8:$AE$107,0))="","",INDEX('Leads'!$AO$8:$AO$107,MATCH($A26,'Leads'!$AE$8:$AE$107,0)))&lt;&gt;$T26,IF(INDEX('Leads'!$AP$8:$AP$107,MATCH($A26,'Leads'!$AE$8:$AE$107,0))="","",INDEX('Leads'!$AP$8:$AP$107,MATCH($A26,'Leads'!$AE$8:$AE$107,0)))&lt;&gt;$U26,IF(INDEX('Leads'!$AQ$8:$AQ$107,MATCH($A26,'Leads'!$AE$8:$AE$107,0))="","",INDEX('Leads'!$AQ$8:$AQ$107,MATCH($A26,'Leads'!$AE$8:$AE$107,0)))&lt;&gt;$V26,IF(INDEX('Leads'!$AR$8:$AR$107,MATCH($A26,'Leads'!$AE$8:$AE$107,0))="","",INDEX('Leads'!$AR$8:$AR$107,MATCH($A26,'Leads'!$AE$8:$AE$107,0)))&lt;&gt;$W26,IF(INDEX('Leads'!$AS$8:$AS$107,MATCH($A26,'Leads'!$AE$8:$AE$107,0))="","",INDEX('Leads'!$AS$8:$AS$107,MATCH($A26,'Leads'!$AE$8:$AE$107,0)))&lt;&gt;$X26,IF(INDEX('Leads'!$AT$8:$AT$107,MATCH($A26,'Leads'!$AE$8:$AE$107,0))="","",INDEX('Leads'!$AT$8:$AT$107,MATCH($A26,'Leads'!$AE$8:$AE$107,0)))&lt;&gt;$Y26),"ข้อมูลรับเข้าต่าง — ตรวจเอง","ตรงกัน — ห้ามนำเข้าซ้ำ"),"ตรวจ Lead ID เดิม")))</x:f>
      </x:c>
    </x:row>
    <x:row r="27" ht="30" customHeight="1">
      <x:c r="A27" s="94"/>
      <x:c r="B27" s="94"/>
      <x:c r="C27" s="86"/>
      <x:c r="D27" s="32"/>
      <x:c r="E27" s="32"/>
      <x:c r="F27" s="32"/>
      <x:c r="G27" s="32"/>
      <x:c r="H27" s="94"/>
      <x:c r="I27" s="94"/>
      <x:c r="J27" s="94"/>
      <x:c r="K27" s="32"/>
      <x:c r="L27" s="32"/>
      <x:c r="M27" s="32"/>
      <x:c r="N27" s="32"/>
      <x:c r="O27" s="88"/>
      <x:c r="P27" s="32"/>
      <x:c r="Q27" s="32"/>
      <x:c r="R27" s="32"/>
      <x:c r="S27" s="32"/>
      <x:c r="T27" s="32"/>
      <x:c r="U27" s="32"/>
      <x:c r="V27" s="94"/>
      <x:c r="W27" s="32"/>
      <x:c r="X27" s="32"/>
      <x:c r="Y27" s="32"/>
      <x:c r="Z27" s="86"/>
      <x:c r="AA27" s="42" t="str">
        <x:f>IF(AND($A27="",$B27=""),"",IF(OR($A27="",$B27=""),"CHECK_INPUT",IF(OR($Y27="test",COUNTIF('Guide_Lists'!$AR$2:$AR$4,$B27)&gt;0),"TEST_DO_NOT_IMPORT",IF(OR(COUNTIF('Import_Staging'!$A$8:$A$107,$A27)&gt;1,COUNTIF('Import_Staging'!$B$8:$B$107,$B27)&gt;1),"DUPLICATE_IN_IMPORT",IF(COUNTIF('Leads'!$AE$8:$AE$107,$A27)&gt;0,"EXISTS",IF(COUNTIF('Leads'!$A$8:$A$107,$B27)&gt;0,"CHECK_INPUT",IF(AND($Y27="production",ISNUMBER($C27)),"NEW","CHECK_INPUT")))))))</x:f>
      </x:c>
      <x:c r="AB27" s="42" t="str">
        <x:f>IF($AA27="","",IF($AA27&lt;&gt;"EXISTS","",IFERROR(IF(OR(IF(INDEX('Leads'!$A$8:$A$107,MATCH($A27,'Leads'!$AE$8:$AE$107,0))="","",INDEX('Leads'!$A$8:$A$107,MATCH($A27,'Leads'!$AE$8:$AE$107,0)))&lt;&gt;$B27,IF(INDEX('Leads'!$AF$8:$AF$107,MATCH($A27,'Leads'!$AE$8:$AE$107,0))="","",INDEX('Leads'!$AF$8:$AF$107,MATCH($A27,'Leads'!$AE$8:$AE$107,0)))&lt;&gt;$C27,IF(INDEX('Leads'!$AG$8:$AG$107,MATCH($A27,'Leads'!$AE$8:$AE$107,0))="","",INDEX('Leads'!$AG$8:$AG$107,MATCH($A27,'Leads'!$AE$8:$AE$107,0)))&lt;&gt;$D27,IF(INDEX('Leads'!$B$8:$B$107,MATCH($A27,'Leads'!$AE$8:$AE$107,0))="","",INDEX('Leads'!$B$8:$B$107,MATCH($A27,'Leads'!$AE$8:$AE$107,0)))&lt;&gt;$E27,IF(INDEX('Leads'!$C$8:$C$107,MATCH($A27,'Leads'!$AE$8:$AE$107,0))="","",INDEX('Leads'!$C$8:$C$107,MATCH($A27,'Leads'!$AE$8:$AE$107,0)))&lt;&gt;$F27,IF(INDEX('Leads'!$K$8:$K$107,MATCH($A27,'Leads'!$AE$8:$AE$107,0))="","",INDEX('Leads'!$K$8:$K$107,MATCH($A27,'Leads'!$AE$8:$AE$107,0)))&lt;&gt;$G27,IF(INDEX('Leads'!$L$8:$L$107,MATCH($A27,'Leads'!$AE$8:$AE$107,0))="","",INDEX('Leads'!$L$8:$L$107,MATCH($A27,'Leads'!$AE$8:$AE$107,0)))&lt;&gt;$H27,IF(INDEX('Leads'!$M$8:$M$107,MATCH($A27,'Leads'!$AE$8:$AE$107,0))="","",INDEX('Leads'!$M$8:$M$107,MATCH($A27,'Leads'!$AE$8:$AE$107,0)))&lt;&gt;$I27,IF(INDEX('Leads'!$N$8:$N$107,MATCH($A27,'Leads'!$AE$8:$AE$107,0))="","",INDEX('Leads'!$N$8:$N$107,MATCH($A27,'Leads'!$AE$8:$AE$107,0)))&lt;&gt;$J27,IF(INDEX('Leads'!$AH$8:$AH$107,MATCH($A27,'Leads'!$AE$8:$AE$107,0))="","",INDEX('Leads'!$AH$8:$AH$107,MATCH($A27,'Leads'!$AE$8:$AE$107,0)))&lt;&gt;$K27,IF(INDEX('Leads'!$D$8:$D$107,MATCH($A27,'Leads'!$AE$8:$AE$107,0))="","",INDEX('Leads'!$D$8:$D$107,MATCH($A27,'Leads'!$AE$8:$AE$107,0)))&lt;&gt;$L27,IF(INDEX('Leads'!$E$8:$E$107,MATCH($A27,'Leads'!$AE$8:$AE$107,0))="","",INDEX('Leads'!$E$8:$E$107,MATCH($A27,'Leads'!$AE$8:$AE$107,0)))&lt;&gt;$M27,IF(INDEX('Leads'!$AI$8:$AI$107,MATCH($A27,'Leads'!$AE$8:$AE$107,0))="","",INDEX('Leads'!$AI$8:$AI$107,MATCH($A27,'Leads'!$AE$8:$AE$107,0)))&lt;&gt;$N27,IF(INDEX('Leads'!$AJ$8:$AJ$107,MATCH($A27,'Leads'!$AE$8:$AE$107,0))="","",INDEX('Leads'!$AJ$8:$AJ$107,MATCH($A27,'Leads'!$AE$8:$AE$107,0)))&lt;&gt;$O27,IF(INDEX('Leads'!$AK$8:$AK$107,MATCH($A27,'Leads'!$AE$8:$AE$107,0))="","",INDEX('Leads'!$AK$8:$AK$107,MATCH($A27,'Leads'!$AE$8:$AE$107,0)))&lt;&gt;$P27,IF(INDEX('Leads'!$AL$8:$AL$107,MATCH($A27,'Leads'!$AE$8:$AE$107,0))="","",INDEX('Leads'!$AL$8:$AL$107,MATCH($A27,'Leads'!$AE$8:$AE$107,0)))&lt;&gt;$Q27,IF(INDEX('Leads'!$AM$8:$AM$107,MATCH($A27,'Leads'!$AE$8:$AE$107,0))="","",INDEX('Leads'!$AM$8:$AM$107,MATCH($A27,'Leads'!$AE$8:$AE$107,0)))&lt;&gt;$R27,IF(INDEX('Leads'!$AN$8:$AN$107,MATCH($A27,'Leads'!$AE$8:$AE$107,0))="","",INDEX('Leads'!$AN$8:$AN$107,MATCH($A27,'Leads'!$AE$8:$AE$107,0)))&lt;&gt;$S27,IF(INDEX('Leads'!$AO$8:$AO$107,MATCH($A27,'Leads'!$AE$8:$AE$107,0))="","",INDEX('Leads'!$AO$8:$AO$107,MATCH($A27,'Leads'!$AE$8:$AE$107,0)))&lt;&gt;$T27,IF(INDEX('Leads'!$AP$8:$AP$107,MATCH($A27,'Leads'!$AE$8:$AE$107,0))="","",INDEX('Leads'!$AP$8:$AP$107,MATCH($A27,'Leads'!$AE$8:$AE$107,0)))&lt;&gt;$U27,IF(INDEX('Leads'!$AQ$8:$AQ$107,MATCH($A27,'Leads'!$AE$8:$AE$107,0))="","",INDEX('Leads'!$AQ$8:$AQ$107,MATCH($A27,'Leads'!$AE$8:$AE$107,0)))&lt;&gt;$V27,IF(INDEX('Leads'!$AR$8:$AR$107,MATCH($A27,'Leads'!$AE$8:$AE$107,0))="","",INDEX('Leads'!$AR$8:$AR$107,MATCH($A27,'Leads'!$AE$8:$AE$107,0)))&lt;&gt;$W27,IF(INDEX('Leads'!$AS$8:$AS$107,MATCH($A27,'Leads'!$AE$8:$AE$107,0))="","",INDEX('Leads'!$AS$8:$AS$107,MATCH($A27,'Leads'!$AE$8:$AE$107,0)))&lt;&gt;$X27,IF(INDEX('Leads'!$AT$8:$AT$107,MATCH($A27,'Leads'!$AE$8:$AE$107,0))="","",INDEX('Leads'!$AT$8:$AT$107,MATCH($A27,'Leads'!$AE$8:$AE$107,0)))&lt;&gt;$Y27),"ข้อมูลรับเข้าต่าง — ตรวจเอง","ตรงกัน — ห้ามนำเข้าซ้ำ"),"ตรวจ Lead ID เดิม")))</x:f>
      </x:c>
    </x:row>
    <x:row r="28" ht="30" customHeight="1">
      <x:c r="A28" s="94"/>
      <x:c r="B28" s="94"/>
      <x:c r="C28" s="86"/>
      <x:c r="D28" s="32"/>
      <x:c r="E28" s="32"/>
      <x:c r="F28" s="32"/>
      <x:c r="G28" s="32"/>
      <x:c r="H28" s="94"/>
      <x:c r="I28" s="94"/>
      <x:c r="J28" s="94"/>
      <x:c r="K28" s="32"/>
      <x:c r="L28" s="32"/>
      <x:c r="M28" s="32"/>
      <x:c r="N28" s="32"/>
      <x:c r="O28" s="88"/>
      <x:c r="P28" s="32"/>
      <x:c r="Q28" s="32"/>
      <x:c r="R28" s="32"/>
      <x:c r="S28" s="32"/>
      <x:c r="T28" s="32"/>
      <x:c r="U28" s="32"/>
      <x:c r="V28" s="94"/>
      <x:c r="W28" s="32"/>
      <x:c r="X28" s="32"/>
      <x:c r="Y28" s="32"/>
      <x:c r="Z28" s="86"/>
      <x:c r="AA28" s="42" t="str">
        <x:f>IF(AND($A28="",$B28=""),"",IF(OR($A28="",$B28=""),"CHECK_INPUT",IF(OR($Y28="test",COUNTIF('Guide_Lists'!$AR$2:$AR$4,$B28)&gt;0),"TEST_DO_NOT_IMPORT",IF(OR(COUNTIF('Import_Staging'!$A$8:$A$107,$A28)&gt;1,COUNTIF('Import_Staging'!$B$8:$B$107,$B28)&gt;1),"DUPLICATE_IN_IMPORT",IF(COUNTIF('Leads'!$AE$8:$AE$107,$A28)&gt;0,"EXISTS",IF(COUNTIF('Leads'!$A$8:$A$107,$B28)&gt;0,"CHECK_INPUT",IF(AND($Y28="production",ISNUMBER($C28)),"NEW","CHECK_INPUT")))))))</x:f>
      </x:c>
      <x:c r="AB28" s="42" t="str">
        <x:f>IF($AA28="","",IF($AA28&lt;&gt;"EXISTS","",IFERROR(IF(OR(IF(INDEX('Leads'!$A$8:$A$107,MATCH($A28,'Leads'!$AE$8:$AE$107,0))="","",INDEX('Leads'!$A$8:$A$107,MATCH($A28,'Leads'!$AE$8:$AE$107,0)))&lt;&gt;$B28,IF(INDEX('Leads'!$AF$8:$AF$107,MATCH($A28,'Leads'!$AE$8:$AE$107,0))="","",INDEX('Leads'!$AF$8:$AF$107,MATCH($A28,'Leads'!$AE$8:$AE$107,0)))&lt;&gt;$C28,IF(INDEX('Leads'!$AG$8:$AG$107,MATCH($A28,'Leads'!$AE$8:$AE$107,0))="","",INDEX('Leads'!$AG$8:$AG$107,MATCH($A28,'Leads'!$AE$8:$AE$107,0)))&lt;&gt;$D28,IF(INDEX('Leads'!$B$8:$B$107,MATCH($A28,'Leads'!$AE$8:$AE$107,0))="","",INDEX('Leads'!$B$8:$B$107,MATCH($A28,'Leads'!$AE$8:$AE$107,0)))&lt;&gt;$E28,IF(INDEX('Leads'!$C$8:$C$107,MATCH($A28,'Leads'!$AE$8:$AE$107,0))="","",INDEX('Leads'!$C$8:$C$107,MATCH($A28,'Leads'!$AE$8:$AE$107,0)))&lt;&gt;$F28,IF(INDEX('Leads'!$K$8:$K$107,MATCH($A28,'Leads'!$AE$8:$AE$107,0))="","",INDEX('Leads'!$K$8:$K$107,MATCH($A28,'Leads'!$AE$8:$AE$107,0)))&lt;&gt;$G28,IF(INDEX('Leads'!$L$8:$L$107,MATCH($A28,'Leads'!$AE$8:$AE$107,0))="","",INDEX('Leads'!$L$8:$L$107,MATCH($A28,'Leads'!$AE$8:$AE$107,0)))&lt;&gt;$H28,IF(INDEX('Leads'!$M$8:$M$107,MATCH($A28,'Leads'!$AE$8:$AE$107,0))="","",INDEX('Leads'!$M$8:$M$107,MATCH($A28,'Leads'!$AE$8:$AE$107,0)))&lt;&gt;$I28,IF(INDEX('Leads'!$N$8:$N$107,MATCH($A28,'Leads'!$AE$8:$AE$107,0))="","",INDEX('Leads'!$N$8:$N$107,MATCH($A28,'Leads'!$AE$8:$AE$107,0)))&lt;&gt;$J28,IF(INDEX('Leads'!$AH$8:$AH$107,MATCH($A28,'Leads'!$AE$8:$AE$107,0))="","",INDEX('Leads'!$AH$8:$AH$107,MATCH($A28,'Leads'!$AE$8:$AE$107,0)))&lt;&gt;$K28,IF(INDEX('Leads'!$D$8:$D$107,MATCH($A28,'Leads'!$AE$8:$AE$107,0))="","",INDEX('Leads'!$D$8:$D$107,MATCH($A28,'Leads'!$AE$8:$AE$107,0)))&lt;&gt;$L28,IF(INDEX('Leads'!$E$8:$E$107,MATCH($A28,'Leads'!$AE$8:$AE$107,0))="","",INDEX('Leads'!$E$8:$E$107,MATCH($A28,'Leads'!$AE$8:$AE$107,0)))&lt;&gt;$M28,IF(INDEX('Leads'!$AI$8:$AI$107,MATCH($A28,'Leads'!$AE$8:$AE$107,0))="","",INDEX('Leads'!$AI$8:$AI$107,MATCH($A28,'Leads'!$AE$8:$AE$107,0)))&lt;&gt;$N28,IF(INDEX('Leads'!$AJ$8:$AJ$107,MATCH($A28,'Leads'!$AE$8:$AE$107,0))="","",INDEX('Leads'!$AJ$8:$AJ$107,MATCH($A28,'Leads'!$AE$8:$AE$107,0)))&lt;&gt;$O28,IF(INDEX('Leads'!$AK$8:$AK$107,MATCH($A28,'Leads'!$AE$8:$AE$107,0))="","",INDEX('Leads'!$AK$8:$AK$107,MATCH($A28,'Leads'!$AE$8:$AE$107,0)))&lt;&gt;$P28,IF(INDEX('Leads'!$AL$8:$AL$107,MATCH($A28,'Leads'!$AE$8:$AE$107,0))="","",INDEX('Leads'!$AL$8:$AL$107,MATCH($A28,'Leads'!$AE$8:$AE$107,0)))&lt;&gt;$Q28,IF(INDEX('Leads'!$AM$8:$AM$107,MATCH($A28,'Leads'!$AE$8:$AE$107,0))="","",INDEX('Leads'!$AM$8:$AM$107,MATCH($A28,'Leads'!$AE$8:$AE$107,0)))&lt;&gt;$R28,IF(INDEX('Leads'!$AN$8:$AN$107,MATCH($A28,'Leads'!$AE$8:$AE$107,0))="","",INDEX('Leads'!$AN$8:$AN$107,MATCH($A28,'Leads'!$AE$8:$AE$107,0)))&lt;&gt;$S28,IF(INDEX('Leads'!$AO$8:$AO$107,MATCH($A28,'Leads'!$AE$8:$AE$107,0))="","",INDEX('Leads'!$AO$8:$AO$107,MATCH($A28,'Leads'!$AE$8:$AE$107,0)))&lt;&gt;$T28,IF(INDEX('Leads'!$AP$8:$AP$107,MATCH($A28,'Leads'!$AE$8:$AE$107,0))="","",INDEX('Leads'!$AP$8:$AP$107,MATCH($A28,'Leads'!$AE$8:$AE$107,0)))&lt;&gt;$U28,IF(INDEX('Leads'!$AQ$8:$AQ$107,MATCH($A28,'Leads'!$AE$8:$AE$107,0))="","",INDEX('Leads'!$AQ$8:$AQ$107,MATCH($A28,'Leads'!$AE$8:$AE$107,0)))&lt;&gt;$V28,IF(INDEX('Leads'!$AR$8:$AR$107,MATCH($A28,'Leads'!$AE$8:$AE$107,0))="","",INDEX('Leads'!$AR$8:$AR$107,MATCH($A28,'Leads'!$AE$8:$AE$107,0)))&lt;&gt;$W28,IF(INDEX('Leads'!$AS$8:$AS$107,MATCH($A28,'Leads'!$AE$8:$AE$107,0))="","",INDEX('Leads'!$AS$8:$AS$107,MATCH($A28,'Leads'!$AE$8:$AE$107,0)))&lt;&gt;$X28,IF(INDEX('Leads'!$AT$8:$AT$107,MATCH($A28,'Leads'!$AE$8:$AE$107,0))="","",INDEX('Leads'!$AT$8:$AT$107,MATCH($A28,'Leads'!$AE$8:$AE$107,0)))&lt;&gt;$Y28),"ข้อมูลรับเข้าต่าง — ตรวจเอง","ตรงกัน — ห้ามนำเข้าซ้ำ"),"ตรวจ Lead ID เดิม")))</x:f>
      </x:c>
    </x:row>
    <x:row r="29" ht="30" customHeight="1">
      <x:c r="A29" s="94"/>
      <x:c r="B29" s="94"/>
      <x:c r="C29" s="86"/>
      <x:c r="D29" s="32"/>
      <x:c r="E29" s="32"/>
      <x:c r="F29" s="32"/>
      <x:c r="G29" s="32"/>
      <x:c r="H29" s="94"/>
      <x:c r="I29" s="94"/>
      <x:c r="J29" s="94"/>
      <x:c r="K29" s="32"/>
      <x:c r="L29" s="32"/>
      <x:c r="M29" s="32"/>
      <x:c r="N29" s="32"/>
      <x:c r="O29" s="88"/>
      <x:c r="P29" s="32"/>
      <x:c r="Q29" s="32"/>
      <x:c r="R29" s="32"/>
      <x:c r="S29" s="32"/>
      <x:c r="T29" s="32"/>
      <x:c r="U29" s="32"/>
      <x:c r="V29" s="94"/>
      <x:c r="W29" s="32"/>
      <x:c r="X29" s="32"/>
      <x:c r="Y29" s="32"/>
      <x:c r="Z29" s="86"/>
      <x:c r="AA29" s="42" t="str">
        <x:f>IF(AND($A29="",$B29=""),"",IF(OR($A29="",$B29=""),"CHECK_INPUT",IF(OR($Y29="test",COUNTIF('Guide_Lists'!$AR$2:$AR$4,$B29)&gt;0),"TEST_DO_NOT_IMPORT",IF(OR(COUNTIF('Import_Staging'!$A$8:$A$107,$A29)&gt;1,COUNTIF('Import_Staging'!$B$8:$B$107,$B29)&gt;1),"DUPLICATE_IN_IMPORT",IF(COUNTIF('Leads'!$AE$8:$AE$107,$A29)&gt;0,"EXISTS",IF(COUNTIF('Leads'!$A$8:$A$107,$B29)&gt;0,"CHECK_INPUT",IF(AND($Y29="production",ISNUMBER($C29)),"NEW","CHECK_INPUT")))))))</x:f>
      </x:c>
      <x:c r="AB29" s="42" t="str">
        <x:f>IF($AA29="","",IF($AA29&lt;&gt;"EXISTS","",IFERROR(IF(OR(IF(INDEX('Leads'!$A$8:$A$107,MATCH($A29,'Leads'!$AE$8:$AE$107,0))="","",INDEX('Leads'!$A$8:$A$107,MATCH($A29,'Leads'!$AE$8:$AE$107,0)))&lt;&gt;$B29,IF(INDEX('Leads'!$AF$8:$AF$107,MATCH($A29,'Leads'!$AE$8:$AE$107,0))="","",INDEX('Leads'!$AF$8:$AF$107,MATCH($A29,'Leads'!$AE$8:$AE$107,0)))&lt;&gt;$C29,IF(INDEX('Leads'!$AG$8:$AG$107,MATCH($A29,'Leads'!$AE$8:$AE$107,0))="","",INDEX('Leads'!$AG$8:$AG$107,MATCH($A29,'Leads'!$AE$8:$AE$107,0)))&lt;&gt;$D29,IF(INDEX('Leads'!$B$8:$B$107,MATCH($A29,'Leads'!$AE$8:$AE$107,0))="","",INDEX('Leads'!$B$8:$B$107,MATCH($A29,'Leads'!$AE$8:$AE$107,0)))&lt;&gt;$E29,IF(INDEX('Leads'!$C$8:$C$107,MATCH($A29,'Leads'!$AE$8:$AE$107,0))="","",INDEX('Leads'!$C$8:$C$107,MATCH($A29,'Leads'!$AE$8:$AE$107,0)))&lt;&gt;$F29,IF(INDEX('Leads'!$K$8:$K$107,MATCH($A29,'Leads'!$AE$8:$AE$107,0))="","",INDEX('Leads'!$K$8:$K$107,MATCH($A29,'Leads'!$AE$8:$AE$107,0)))&lt;&gt;$G29,IF(INDEX('Leads'!$L$8:$L$107,MATCH($A29,'Leads'!$AE$8:$AE$107,0))="","",INDEX('Leads'!$L$8:$L$107,MATCH($A29,'Leads'!$AE$8:$AE$107,0)))&lt;&gt;$H29,IF(INDEX('Leads'!$M$8:$M$107,MATCH($A29,'Leads'!$AE$8:$AE$107,0))="","",INDEX('Leads'!$M$8:$M$107,MATCH($A29,'Leads'!$AE$8:$AE$107,0)))&lt;&gt;$I29,IF(INDEX('Leads'!$N$8:$N$107,MATCH($A29,'Leads'!$AE$8:$AE$107,0))="","",INDEX('Leads'!$N$8:$N$107,MATCH($A29,'Leads'!$AE$8:$AE$107,0)))&lt;&gt;$J29,IF(INDEX('Leads'!$AH$8:$AH$107,MATCH($A29,'Leads'!$AE$8:$AE$107,0))="","",INDEX('Leads'!$AH$8:$AH$107,MATCH($A29,'Leads'!$AE$8:$AE$107,0)))&lt;&gt;$K29,IF(INDEX('Leads'!$D$8:$D$107,MATCH($A29,'Leads'!$AE$8:$AE$107,0))="","",INDEX('Leads'!$D$8:$D$107,MATCH($A29,'Leads'!$AE$8:$AE$107,0)))&lt;&gt;$L29,IF(INDEX('Leads'!$E$8:$E$107,MATCH($A29,'Leads'!$AE$8:$AE$107,0))="","",INDEX('Leads'!$E$8:$E$107,MATCH($A29,'Leads'!$AE$8:$AE$107,0)))&lt;&gt;$M29,IF(INDEX('Leads'!$AI$8:$AI$107,MATCH($A29,'Leads'!$AE$8:$AE$107,0))="","",INDEX('Leads'!$AI$8:$AI$107,MATCH($A29,'Leads'!$AE$8:$AE$107,0)))&lt;&gt;$N29,IF(INDEX('Leads'!$AJ$8:$AJ$107,MATCH($A29,'Leads'!$AE$8:$AE$107,0))="","",INDEX('Leads'!$AJ$8:$AJ$107,MATCH($A29,'Leads'!$AE$8:$AE$107,0)))&lt;&gt;$O29,IF(INDEX('Leads'!$AK$8:$AK$107,MATCH($A29,'Leads'!$AE$8:$AE$107,0))="","",INDEX('Leads'!$AK$8:$AK$107,MATCH($A29,'Leads'!$AE$8:$AE$107,0)))&lt;&gt;$P29,IF(INDEX('Leads'!$AL$8:$AL$107,MATCH($A29,'Leads'!$AE$8:$AE$107,0))="","",INDEX('Leads'!$AL$8:$AL$107,MATCH($A29,'Leads'!$AE$8:$AE$107,0)))&lt;&gt;$Q29,IF(INDEX('Leads'!$AM$8:$AM$107,MATCH($A29,'Leads'!$AE$8:$AE$107,0))="","",INDEX('Leads'!$AM$8:$AM$107,MATCH($A29,'Leads'!$AE$8:$AE$107,0)))&lt;&gt;$R29,IF(INDEX('Leads'!$AN$8:$AN$107,MATCH($A29,'Leads'!$AE$8:$AE$107,0))="","",INDEX('Leads'!$AN$8:$AN$107,MATCH($A29,'Leads'!$AE$8:$AE$107,0)))&lt;&gt;$S29,IF(INDEX('Leads'!$AO$8:$AO$107,MATCH($A29,'Leads'!$AE$8:$AE$107,0))="","",INDEX('Leads'!$AO$8:$AO$107,MATCH($A29,'Leads'!$AE$8:$AE$107,0)))&lt;&gt;$T29,IF(INDEX('Leads'!$AP$8:$AP$107,MATCH($A29,'Leads'!$AE$8:$AE$107,0))="","",INDEX('Leads'!$AP$8:$AP$107,MATCH($A29,'Leads'!$AE$8:$AE$107,0)))&lt;&gt;$U29,IF(INDEX('Leads'!$AQ$8:$AQ$107,MATCH($A29,'Leads'!$AE$8:$AE$107,0))="","",INDEX('Leads'!$AQ$8:$AQ$107,MATCH($A29,'Leads'!$AE$8:$AE$107,0)))&lt;&gt;$V29,IF(INDEX('Leads'!$AR$8:$AR$107,MATCH($A29,'Leads'!$AE$8:$AE$107,0))="","",INDEX('Leads'!$AR$8:$AR$107,MATCH($A29,'Leads'!$AE$8:$AE$107,0)))&lt;&gt;$W29,IF(INDEX('Leads'!$AS$8:$AS$107,MATCH($A29,'Leads'!$AE$8:$AE$107,0))="","",INDEX('Leads'!$AS$8:$AS$107,MATCH($A29,'Leads'!$AE$8:$AE$107,0)))&lt;&gt;$X29,IF(INDEX('Leads'!$AT$8:$AT$107,MATCH($A29,'Leads'!$AE$8:$AE$107,0))="","",INDEX('Leads'!$AT$8:$AT$107,MATCH($A29,'Leads'!$AE$8:$AE$107,0)))&lt;&gt;$Y29),"ข้อมูลรับเข้าต่าง — ตรวจเอง","ตรงกัน — ห้ามนำเข้าซ้ำ"),"ตรวจ Lead ID เดิม")))</x:f>
      </x:c>
    </x:row>
    <x:row r="30" ht="30" customHeight="1">
      <x:c r="A30" s="94"/>
      <x:c r="B30" s="94"/>
      <x:c r="C30" s="86"/>
      <x:c r="D30" s="32"/>
      <x:c r="E30" s="32"/>
      <x:c r="F30" s="32"/>
      <x:c r="G30" s="32"/>
      <x:c r="H30" s="94"/>
      <x:c r="I30" s="94"/>
      <x:c r="J30" s="94"/>
      <x:c r="K30" s="32"/>
      <x:c r="L30" s="32"/>
      <x:c r="M30" s="32"/>
      <x:c r="N30" s="32"/>
      <x:c r="O30" s="88"/>
      <x:c r="P30" s="32"/>
      <x:c r="Q30" s="32"/>
      <x:c r="R30" s="32"/>
      <x:c r="S30" s="32"/>
      <x:c r="T30" s="32"/>
      <x:c r="U30" s="32"/>
      <x:c r="V30" s="94"/>
      <x:c r="W30" s="32"/>
      <x:c r="X30" s="32"/>
      <x:c r="Y30" s="32"/>
      <x:c r="Z30" s="86"/>
      <x:c r="AA30" s="42" t="str">
        <x:f>IF(AND($A30="",$B30=""),"",IF(OR($A30="",$B30=""),"CHECK_INPUT",IF(OR($Y30="test",COUNTIF('Guide_Lists'!$AR$2:$AR$4,$B30)&gt;0),"TEST_DO_NOT_IMPORT",IF(OR(COUNTIF('Import_Staging'!$A$8:$A$107,$A30)&gt;1,COUNTIF('Import_Staging'!$B$8:$B$107,$B30)&gt;1),"DUPLICATE_IN_IMPORT",IF(COUNTIF('Leads'!$AE$8:$AE$107,$A30)&gt;0,"EXISTS",IF(COUNTIF('Leads'!$A$8:$A$107,$B30)&gt;0,"CHECK_INPUT",IF(AND($Y30="production",ISNUMBER($C30)),"NEW","CHECK_INPUT")))))))</x:f>
      </x:c>
      <x:c r="AB30" s="42" t="str">
        <x:f>IF($AA30="","",IF($AA30&lt;&gt;"EXISTS","",IFERROR(IF(OR(IF(INDEX('Leads'!$A$8:$A$107,MATCH($A30,'Leads'!$AE$8:$AE$107,0))="","",INDEX('Leads'!$A$8:$A$107,MATCH($A30,'Leads'!$AE$8:$AE$107,0)))&lt;&gt;$B30,IF(INDEX('Leads'!$AF$8:$AF$107,MATCH($A30,'Leads'!$AE$8:$AE$107,0))="","",INDEX('Leads'!$AF$8:$AF$107,MATCH($A30,'Leads'!$AE$8:$AE$107,0)))&lt;&gt;$C30,IF(INDEX('Leads'!$AG$8:$AG$107,MATCH($A30,'Leads'!$AE$8:$AE$107,0))="","",INDEX('Leads'!$AG$8:$AG$107,MATCH($A30,'Leads'!$AE$8:$AE$107,0)))&lt;&gt;$D30,IF(INDEX('Leads'!$B$8:$B$107,MATCH($A30,'Leads'!$AE$8:$AE$107,0))="","",INDEX('Leads'!$B$8:$B$107,MATCH($A30,'Leads'!$AE$8:$AE$107,0)))&lt;&gt;$E30,IF(INDEX('Leads'!$C$8:$C$107,MATCH($A30,'Leads'!$AE$8:$AE$107,0))="","",INDEX('Leads'!$C$8:$C$107,MATCH($A30,'Leads'!$AE$8:$AE$107,0)))&lt;&gt;$F30,IF(INDEX('Leads'!$K$8:$K$107,MATCH($A30,'Leads'!$AE$8:$AE$107,0))="","",INDEX('Leads'!$K$8:$K$107,MATCH($A30,'Leads'!$AE$8:$AE$107,0)))&lt;&gt;$G30,IF(INDEX('Leads'!$L$8:$L$107,MATCH($A30,'Leads'!$AE$8:$AE$107,0))="","",INDEX('Leads'!$L$8:$L$107,MATCH($A30,'Leads'!$AE$8:$AE$107,0)))&lt;&gt;$H30,IF(INDEX('Leads'!$M$8:$M$107,MATCH($A30,'Leads'!$AE$8:$AE$107,0))="","",INDEX('Leads'!$M$8:$M$107,MATCH($A30,'Leads'!$AE$8:$AE$107,0)))&lt;&gt;$I30,IF(INDEX('Leads'!$N$8:$N$107,MATCH($A30,'Leads'!$AE$8:$AE$107,0))="","",INDEX('Leads'!$N$8:$N$107,MATCH($A30,'Leads'!$AE$8:$AE$107,0)))&lt;&gt;$J30,IF(INDEX('Leads'!$AH$8:$AH$107,MATCH($A30,'Leads'!$AE$8:$AE$107,0))="","",INDEX('Leads'!$AH$8:$AH$107,MATCH($A30,'Leads'!$AE$8:$AE$107,0)))&lt;&gt;$K30,IF(INDEX('Leads'!$D$8:$D$107,MATCH($A30,'Leads'!$AE$8:$AE$107,0))="","",INDEX('Leads'!$D$8:$D$107,MATCH($A30,'Leads'!$AE$8:$AE$107,0)))&lt;&gt;$L30,IF(INDEX('Leads'!$E$8:$E$107,MATCH($A30,'Leads'!$AE$8:$AE$107,0))="","",INDEX('Leads'!$E$8:$E$107,MATCH($A30,'Leads'!$AE$8:$AE$107,0)))&lt;&gt;$M30,IF(INDEX('Leads'!$AI$8:$AI$107,MATCH($A30,'Leads'!$AE$8:$AE$107,0))="","",INDEX('Leads'!$AI$8:$AI$107,MATCH($A30,'Leads'!$AE$8:$AE$107,0)))&lt;&gt;$N30,IF(INDEX('Leads'!$AJ$8:$AJ$107,MATCH($A30,'Leads'!$AE$8:$AE$107,0))="","",INDEX('Leads'!$AJ$8:$AJ$107,MATCH($A30,'Leads'!$AE$8:$AE$107,0)))&lt;&gt;$O30,IF(INDEX('Leads'!$AK$8:$AK$107,MATCH($A30,'Leads'!$AE$8:$AE$107,0))="","",INDEX('Leads'!$AK$8:$AK$107,MATCH($A30,'Leads'!$AE$8:$AE$107,0)))&lt;&gt;$P30,IF(INDEX('Leads'!$AL$8:$AL$107,MATCH($A30,'Leads'!$AE$8:$AE$107,0))="","",INDEX('Leads'!$AL$8:$AL$107,MATCH($A30,'Leads'!$AE$8:$AE$107,0)))&lt;&gt;$Q30,IF(INDEX('Leads'!$AM$8:$AM$107,MATCH($A30,'Leads'!$AE$8:$AE$107,0))="","",INDEX('Leads'!$AM$8:$AM$107,MATCH($A30,'Leads'!$AE$8:$AE$107,0)))&lt;&gt;$R30,IF(INDEX('Leads'!$AN$8:$AN$107,MATCH($A30,'Leads'!$AE$8:$AE$107,0))="","",INDEX('Leads'!$AN$8:$AN$107,MATCH($A30,'Leads'!$AE$8:$AE$107,0)))&lt;&gt;$S30,IF(INDEX('Leads'!$AO$8:$AO$107,MATCH($A30,'Leads'!$AE$8:$AE$107,0))="","",INDEX('Leads'!$AO$8:$AO$107,MATCH($A30,'Leads'!$AE$8:$AE$107,0)))&lt;&gt;$T30,IF(INDEX('Leads'!$AP$8:$AP$107,MATCH($A30,'Leads'!$AE$8:$AE$107,0))="","",INDEX('Leads'!$AP$8:$AP$107,MATCH($A30,'Leads'!$AE$8:$AE$107,0)))&lt;&gt;$U30,IF(INDEX('Leads'!$AQ$8:$AQ$107,MATCH($A30,'Leads'!$AE$8:$AE$107,0))="","",INDEX('Leads'!$AQ$8:$AQ$107,MATCH($A30,'Leads'!$AE$8:$AE$107,0)))&lt;&gt;$V30,IF(INDEX('Leads'!$AR$8:$AR$107,MATCH($A30,'Leads'!$AE$8:$AE$107,0))="","",INDEX('Leads'!$AR$8:$AR$107,MATCH($A30,'Leads'!$AE$8:$AE$107,0)))&lt;&gt;$W30,IF(INDEX('Leads'!$AS$8:$AS$107,MATCH($A30,'Leads'!$AE$8:$AE$107,0))="","",INDEX('Leads'!$AS$8:$AS$107,MATCH($A30,'Leads'!$AE$8:$AE$107,0)))&lt;&gt;$X30,IF(INDEX('Leads'!$AT$8:$AT$107,MATCH($A30,'Leads'!$AE$8:$AE$107,0))="","",INDEX('Leads'!$AT$8:$AT$107,MATCH($A30,'Leads'!$AE$8:$AE$107,0)))&lt;&gt;$Y30),"ข้อมูลรับเข้าต่าง — ตรวจเอง","ตรงกัน — ห้ามนำเข้าซ้ำ"),"ตรวจ Lead ID เดิม")))</x:f>
      </x:c>
    </x:row>
    <x:row r="31" ht="30" customHeight="1">
      <x:c r="A31" s="94"/>
      <x:c r="B31" s="94"/>
      <x:c r="C31" s="86"/>
      <x:c r="D31" s="32"/>
      <x:c r="E31" s="32"/>
      <x:c r="F31" s="32"/>
      <x:c r="G31" s="32"/>
      <x:c r="H31" s="94"/>
      <x:c r="I31" s="94"/>
      <x:c r="J31" s="94"/>
      <x:c r="K31" s="32"/>
      <x:c r="L31" s="32"/>
      <x:c r="M31" s="32"/>
      <x:c r="N31" s="32"/>
      <x:c r="O31" s="88"/>
      <x:c r="P31" s="32"/>
      <x:c r="Q31" s="32"/>
      <x:c r="R31" s="32"/>
      <x:c r="S31" s="32"/>
      <x:c r="T31" s="32"/>
      <x:c r="U31" s="32"/>
      <x:c r="V31" s="94"/>
      <x:c r="W31" s="32"/>
      <x:c r="X31" s="32"/>
      <x:c r="Y31" s="32"/>
      <x:c r="Z31" s="86"/>
      <x:c r="AA31" s="42" t="str">
        <x:f>IF(AND($A31="",$B31=""),"",IF(OR($A31="",$B31=""),"CHECK_INPUT",IF(OR($Y31="test",COUNTIF('Guide_Lists'!$AR$2:$AR$4,$B31)&gt;0),"TEST_DO_NOT_IMPORT",IF(OR(COUNTIF('Import_Staging'!$A$8:$A$107,$A31)&gt;1,COUNTIF('Import_Staging'!$B$8:$B$107,$B31)&gt;1),"DUPLICATE_IN_IMPORT",IF(COUNTIF('Leads'!$AE$8:$AE$107,$A31)&gt;0,"EXISTS",IF(COUNTIF('Leads'!$A$8:$A$107,$B31)&gt;0,"CHECK_INPUT",IF(AND($Y31="production",ISNUMBER($C31)),"NEW","CHECK_INPUT")))))))</x:f>
      </x:c>
      <x:c r="AB31" s="42" t="str">
        <x:f>IF($AA31="","",IF($AA31&lt;&gt;"EXISTS","",IFERROR(IF(OR(IF(INDEX('Leads'!$A$8:$A$107,MATCH($A31,'Leads'!$AE$8:$AE$107,0))="","",INDEX('Leads'!$A$8:$A$107,MATCH($A31,'Leads'!$AE$8:$AE$107,0)))&lt;&gt;$B31,IF(INDEX('Leads'!$AF$8:$AF$107,MATCH($A31,'Leads'!$AE$8:$AE$107,0))="","",INDEX('Leads'!$AF$8:$AF$107,MATCH($A31,'Leads'!$AE$8:$AE$107,0)))&lt;&gt;$C31,IF(INDEX('Leads'!$AG$8:$AG$107,MATCH($A31,'Leads'!$AE$8:$AE$107,0))="","",INDEX('Leads'!$AG$8:$AG$107,MATCH($A31,'Leads'!$AE$8:$AE$107,0)))&lt;&gt;$D31,IF(INDEX('Leads'!$B$8:$B$107,MATCH($A31,'Leads'!$AE$8:$AE$107,0))="","",INDEX('Leads'!$B$8:$B$107,MATCH($A31,'Leads'!$AE$8:$AE$107,0)))&lt;&gt;$E31,IF(INDEX('Leads'!$C$8:$C$107,MATCH($A31,'Leads'!$AE$8:$AE$107,0))="","",INDEX('Leads'!$C$8:$C$107,MATCH($A31,'Leads'!$AE$8:$AE$107,0)))&lt;&gt;$F31,IF(INDEX('Leads'!$K$8:$K$107,MATCH($A31,'Leads'!$AE$8:$AE$107,0))="","",INDEX('Leads'!$K$8:$K$107,MATCH($A31,'Leads'!$AE$8:$AE$107,0)))&lt;&gt;$G31,IF(INDEX('Leads'!$L$8:$L$107,MATCH($A31,'Leads'!$AE$8:$AE$107,0))="","",INDEX('Leads'!$L$8:$L$107,MATCH($A31,'Leads'!$AE$8:$AE$107,0)))&lt;&gt;$H31,IF(INDEX('Leads'!$M$8:$M$107,MATCH($A31,'Leads'!$AE$8:$AE$107,0))="","",INDEX('Leads'!$M$8:$M$107,MATCH($A31,'Leads'!$AE$8:$AE$107,0)))&lt;&gt;$I31,IF(INDEX('Leads'!$N$8:$N$107,MATCH($A31,'Leads'!$AE$8:$AE$107,0))="","",INDEX('Leads'!$N$8:$N$107,MATCH($A31,'Leads'!$AE$8:$AE$107,0)))&lt;&gt;$J31,IF(INDEX('Leads'!$AH$8:$AH$107,MATCH($A31,'Leads'!$AE$8:$AE$107,0))="","",INDEX('Leads'!$AH$8:$AH$107,MATCH($A31,'Leads'!$AE$8:$AE$107,0)))&lt;&gt;$K31,IF(INDEX('Leads'!$D$8:$D$107,MATCH($A31,'Leads'!$AE$8:$AE$107,0))="","",INDEX('Leads'!$D$8:$D$107,MATCH($A31,'Leads'!$AE$8:$AE$107,0)))&lt;&gt;$L31,IF(INDEX('Leads'!$E$8:$E$107,MATCH($A31,'Leads'!$AE$8:$AE$107,0))="","",INDEX('Leads'!$E$8:$E$107,MATCH($A31,'Leads'!$AE$8:$AE$107,0)))&lt;&gt;$M31,IF(INDEX('Leads'!$AI$8:$AI$107,MATCH($A31,'Leads'!$AE$8:$AE$107,0))="","",INDEX('Leads'!$AI$8:$AI$107,MATCH($A31,'Leads'!$AE$8:$AE$107,0)))&lt;&gt;$N31,IF(INDEX('Leads'!$AJ$8:$AJ$107,MATCH($A31,'Leads'!$AE$8:$AE$107,0))="","",INDEX('Leads'!$AJ$8:$AJ$107,MATCH($A31,'Leads'!$AE$8:$AE$107,0)))&lt;&gt;$O31,IF(INDEX('Leads'!$AK$8:$AK$107,MATCH($A31,'Leads'!$AE$8:$AE$107,0))="","",INDEX('Leads'!$AK$8:$AK$107,MATCH($A31,'Leads'!$AE$8:$AE$107,0)))&lt;&gt;$P31,IF(INDEX('Leads'!$AL$8:$AL$107,MATCH($A31,'Leads'!$AE$8:$AE$107,0))="","",INDEX('Leads'!$AL$8:$AL$107,MATCH($A31,'Leads'!$AE$8:$AE$107,0)))&lt;&gt;$Q31,IF(INDEX('Leads'!$AM$8:$AM$107,MATCH($A31,'Leads'!$AE$8:$AE$107,0))="","",INDEX('Leads'!$AM$8:$AM$107,MATCH($A31,'Leads'!$AE$8:$AE$107,0)))&lt;&gt;$R31,IF(INDEX('Leads'!$AN$8:$AN$107,MATCH($A31,'Leads'!$AE$8:$AE$107,0))="","",INDEX('Leads'!$AN$8:$AN$107,MATCH($A31,'Leads'!$AE$8:$AE$107,0)))&lt;&gt;$S31,IF(INDEX('Leads'!$AO$8:$AO$107,MATCH($A31,'Leads'!$AE$8:$AE$107,0))="","",INDEX('Leads'!$AO$8:$AO$107,MATCH($A31,'Leads'!$AE$8:$AE$107,0)))&lt;&gt;$T31,IF(INDEX('Leads'!$AP$8:$AP$107,MATCH($A31,'Leads'!$AE$8:$AE$107,0))="","",INDEX('Leads'!$AP$8:$AP$107,MATCH($A31,'Leads'!$AE$8:$AE$107,0)))&lt;&gt;$U31,IF(INDEX('Leads'!$AQ$8:$AQ$107,MATCH($A31,'Leads'!$AE$8:$AE$107,0))="","",INDEX('Leads'!$AQ$8:$AQ$107,MATCH($A31,'Leads'!$AE$8:$AE$107,0)))&lt;&gt;$V31,IF(INDEX('Leads'!$AR$8:$AR$107,MATCH($A31,'Leads'!$AE$8:$AE$107,0))="","",INDEX('Leads'!$AR$8:$AR$107,MATCH($A31,'Leads'!$AE$8:$AE$107,0)))&lt;&gt;$W31,IF(INDEX('Leads'!$AS$8:$AS$107,MATCH($A31,'Leads'!$AE$8:$AE$107,0))="","",INDEX('Leads'!$AS$8:$AS$107,MATCH($A31,'Leads'!$AE$8:$AE$107,0)))&lt;&gt;$X31,IF(INDEX('Leads'!$AT$8:$AT$107,MATCH($A31,'Leads'!$AE$8:$AE$107,0))="","",INDEX('Leads'!$AT$8:$AT$107,MATCH($A31,'Leads'!$AE$8:$AE$107,0)))&lt;&gt;$Y31),"ข้อมูลรับเข้าต่าง — ตรวจเอง","ตรงกัน — ห้ามนำเข้าซ้ำ"),"ตรวจ Lead ID เดิม")))</x:f>
      </x:c>
    </x:row>
    <x:row r="32" ht="30" customHeight="1">
      <x:c r="A32" s="94"/>
      <x:c r="B32" s="94"/>
      <x:c r="C32" s="86"/>
      <x:c r="D32" s="32"/>
      <x:c r="E32" s="32"/>
      <x:c r="F32" s="32"/>
      <x:c r="G32" s="32"/>
      <x:c r="H32" s="94"/>
      <x:c r="I32" s="94"/>
      <x:c r="J32" s="94"/>
      <x:c r="K32" s="32"/>
      <x:c r="L32" s="32"/>
      <x:c r="M32" s="32"/>
      <x:c r="N32" s="32"/>
      <x:c r="O32" s="88"/>
      <x:c r="P32" s="32"/>
      <x:c r="Q32" s="32"/>
      <x:c r="R32" s="32"/>
      <x:c r="S32" s="32"/>
      <x:c r="T32" s="32"/>
      <x:c r="U32" s="32"/>
      <x:c r="V32" s="94"/>
      <x:c r="W32" s="32"/>
      <x:c r="X32" s="32"/>
      <x:c r="Y32" s="32"/>
      <x:c r="Z32" s="86"/>
      <x:c r="AA32" s="42" t="str">
        <x:f>IF(AND($A32="",$B32=""),"",IF(OR($A32="",$B32=""),"CHECK_INPUT",IF(OR($Y32="test",COUNTIF('Guide_Lists'!$AR$2:$AR$4,$B32)&gt;0),"TEST_DO_NOT_IMPORT",IF(OR(COUNTIF('Import_Staging'!$A$8:$A$107,$A32)&gt;1,COUNTIF('Import_Staging'!$B$8:$B$107,$B32)&gt;1),"DUPLICATE_IN_IMPORT",IF(COUNTIF('Leads'!$AE$8:$AE$107,$A32)&gt;0,"EXISTS",IF(COUNTIF('Leads'!$A$8:$A$107,$B32)&gt;0,"CHECK_INPUT",IF(AND($Y32="production",ISNUMBER($C32)),"NEW","CHECK_INPUT")))))))</x:f>
      </x:c>
      <x:c r="AB32" s="42" t="str">
        <x:f>IF($AA32="","",IF($AA32&lt;&gt;"EXISTS","",IFERROR(IF(OR(IF(INDEX('Leads'!$A$8:$A$107,MATCH($A32,'Leads'!$AE$8:$AE$107,0))="","",INDEX('Leads'!$A$8:$A$107,MATCH($A32,'Leads'!$AE$8:$AE$107,0)))&lt;&gt;$B32,IF(INDEX('Leads'!$AF$8:$AF$107,MATCH($A32,'Leads'!$AE$8:$AE$107,0))="","",INDEX('Leads'!$AF$8:$AF$107,MATCH($A32,'Leads'!$AE$8:$AE$107,0)))&lt;&gt;$C32,IF(INDEX('Leads'!$AG$8:$AG$107,MATCH($A32,'Leads'!$AE$8:$AE$107,0))="","",INDEX('Leads'!$AG$8:$AG$107,MATCH($A32,'Leads'!$AE$8:$AE$107,0)))&lt;&gt;$D32,IF(INDEX('Leads'!$B$8:$B$107,MATCH($A32,'Leads'!$AE$8:$AE$107,0))="","",INDEX('Leads'!$B$8:$B$107,MATCH($A32,'Leads'!$AE$8:$AE$107,0)))&lt;&gt;$E32,IF(INDEX('Leads'!$C$8:$C$107,MATCH($A32,'Leads'!$AE$8:$AE$107,0))="","",INDEX('Leads'!$C$8:$C$107,MATCH($A32,'Leads'!$AE$8:$AE$107,0)))&lt;&gt;$F32,IF(INDEX('Leads'!$K$8:$K$107,MATCH($A32,'Leads'!$AE$8:$AE$107,0))="","",INDEX('Leads'!$K$8:$K$107,MATCH($A32,'Leads'!$AE$8:$AE$107,0)))&lt;&gt;$G32,IF(INDEX('Leads'!$L$8:$L$107,MATCH($A32,'Leads'!$AE$8:$AE$107,0))="","",INDEX('Leads'!$L$8:$L$107,MATCH($A32,'Leads'!$AE$8:$AE$107,0)))&lt;&gt;$H32,IF(INDEX('Leads'!$M$8:$M$107,MATCH($A32,'Leads'!$AE$8:$AE$107,0))="","",INDEX('Leads'!$M$8:$M$107,MATCH($A32,'Leads'!$AE$8:$AE$107,0)))&lt;&gt;$I32,IF(INDEX('Leads'!$N$8:$N$107,MATCH($A32,'Leads'!$AE$8:$AE$107,0))="","",INDEX('Leads'!$N$8:$N$107,MATCH($A32,'Leads'!$AE$8:$AE$107,0)))&lt;&gt;$J32,IF(INDEX('Leads'!$AH$8:$AH$107,MATCH($A32,'Leads'!$AE$8:$AE$107,0))="","",INDEX('Leads'!$AH$8:$AH$107,MATCH($A32,'Leads'!$AE$8:$AE$107,0)))&lt;&gt;$K32,IF(INDEX('Leads'!$D$8:$D$107,MATCH($A32,'Leads'!$AE$8:$AE$107,0))="","",INDEX('Leads'!$D$8:$D$107,MATCH($A32,'Leads'!$AE$8:$AE$107,0)))&lt;&gt;$L32,IF(INDEX('Leads'!$E$8:$E$107,MATCH($A32,'Leads'!$AE$8:$AE$107,0))="","",INDEX('Leads'!$E$8:$E$107,MATCH($A32,'Leads'!$AE$8:$AE$107,0)))&lt;&gt;$M32,IF(INDEX('Leads'!$AI$8:$AI$107,MATCH($A32,'Leads'!$AE$8:$AE$107,0))="","",INDEX('Leads'!$AI$8:$AI$107,MATCH($A32,'Leads'!$AE$8:$AE$107,0)))&lt;&gt;$N32,IF(INDEX('Leads'!$AJ$8:$AJ$107,MATCH($A32,'Leads'!$AE$8:$AE$107,0))="","",INDEX('Leads'!$AJ$8:$AJ$107,MATCH($A32,'Leads'!$AE$8:$AE$107,0)))&lt;&gt;$O32,IF(INDEX('Leads'!$AK$8:$AK$107,MATCH($A32,'Leads'!$AE$8:$AE$107,0))="","",INDEX('Leads'!$AK$8:$AK$107,MATCH($A32,'Leads'!$AE$8:$AE$107,0)))&lt;&gt;$P32,IF(INDEX('Leads'!$AL$8:$AL$107,MATCH($A32,'Leads'!$AE$8:$AE$107,0))="","",INDEX('Leads'!$AL$8:$AL$107,MATCH($A32,'Leads'!$AE$8:$AE$107,0)))&lt;&gt;$Q32,IF(INDEX('Leads'!$AM$8:$AM$107,MATCH($A32,'Leads'!$AE$8:$AE$107,0))="","",INDEX('Leads'!$AM$8:$AM$107,MATCH($A32,'Leads'!$AE$8:$AE$107,0)))&lt;&gt;$R32,IF(INDEX('Leads'!$AN$8:$AN$107,MATCH($A32,'Leads'!$AE$8:$AE$107,0))="","",INDEX('Leads'!$AN$8:$AN$107,MATCH($A32,'Leads'!$AE$8:$AE$107,0)))&lt;&gt;$S32,IF(INDEX('Leads'!$AO$8:$AO$107,MATCH($A32,'Leads'!$AE$8:$AE$107,0))="","",INDEX('Leads'!$AO$8:$AO$107,MATCH($A32,'Leads'!$AE$8:$AE$107,0)))&lt;&gt;$T32,IF(INDEX('Leads'!$AP$8:$AP$107,MATCH($A32,'Leads'!$AE$8:$AE$107,0))="","",INDEX('Leads'!$AP$8:$AP$107,MATCH($A32,'Leads'!$AE$8:$AE$107,0)))&lt;&gt;$U32,IF(INDEX('Leads'!$AQ$8:$AQ$107,MATCH($A32,'Leads'!$AE$8:$AE$107,0))="","",INDEX('Leads'!$AQ$8:$AQ$107,MATCH($A32,'Leads'!$AE$8:$AE$107,0)))&lt;&gt;$V32,IF(INDEX('Leads'!$AR$8:$AR$107,MATCH($A32,'Leads'!$AE$8:$AE$107,0))="","",INDEX('Leads'!$AR$8:$AR$107,MATCH($A32,'Leads'!$AE$8:$AE$107,0)))&lt;&gt;$W32,IF(INDEX('Leads'!$AS$8:$AS$107,MATCH($A32,'Leads'!$AE$8:$AE$107,0))="","",INDEX('Leads'!$AS$8:$AS$107,MATCH($A32,'Leads'!$AE$8:$AE$107,0)))&lt;&gt;$X32,IF(INDEX('Leads'!$AT$8:$AT$107,MATCH($A32,'Leads'!$AE$8:$AE$107,0))="","",INDEX('Leads'!$AT$8:$AT$107,MATCH($A32,'Leads'!$AE$8:$AE$107,0)))&lt;&gt;$Y32),"ข้อมูลรับเข้าต่าง — ตรวจเอง","ตรงกัน — ห้ามนำเข้าซ้ำ"),"ตรวจ Lead ID เดิม")))</x:f>
      </x:c>
    </x:row>
    <x:row r="33" ht="30" customHeight="1">
      <x:c r="A33" s="94"/>
      <x:c r="B33" s="94"/>
      <x:c r="C33" s="86"/>
      <x:c r="D33" s="32"/>
      <x:c r="E33" s="32"/>
      <x:c r="F33" s="32"/>
      <x:c r="G33" s="32"/>
      <x:c r="H33" s="94"/>
      <x:c r="I33" s="94"/>
      <x:c r="J33" s="94"/>
      <x:c r="K33" s="32"/>
      <x:c r="L33" s="32"/>
      <x:c r="M33" s="32"/>
      <x:c r="N33" s="32"/>
      <x:c r="O33" s="88"/>
      <x:c r="P33" s="32"/>
      <x:c r="Q33" s="32"/>
      <x:c r="R33" s="32"/>
      <x:c r="S33" s="32"/>
      <x:c r="T33" s="32"/>
      <x:c r="U33" s="32"/>
      <x:c r="V33" s="94"/>
      <x:c r="W33" s="32"/>
      <x:c r="X33" s="32"/>
      <x:c r="Y33" s="32"/>
      <x:c r="Z33" s="86"/>
      <x:c r="AA33" s="42" t="str">
        <x:f>IF(AND($A33="",$B33=""),"",IF(OR($A33="",$B33=""),"CHECK_INPUT",IF(OR($Y33="test",COUNTIF('Guide_Lists'!$AR$2:$AR$4,$B33)&gt;0),"TEST_DO_NOT_IMPORT",IF(OR(COUNTIF('Import_Staging'!$A$8:$A$107,$A33)&gt;1,COUNTIF('Import_Staging'!$B$8:$B$107,$B33)&gt;1),"DUPLICATE_IN_IMPORT",IF(COUNTIF('Leads'!$AE$8:$AE$107,$A33)&gt;0,"EXISTS",IF(COUNTIF('Leads'!$A$8:$A$107,$B33)&gt;0,"CHECK_INPUT",IF(AND($Y33="production",ISNUMBER($C33)),"NEW","CHECK_INPUT")))))))</x:f>
      </x:c>
      <x:c r="AB33" s="42" t="str">
        <x:f>IF($AA33="","",IF($AA33&lt;&gt;"EXISTS","",IFERROR(IF(OR(IF(INDEX('Leads'!$A$8:$A$107,MATCH($A33,'Leads'!$AE$8:$AE$107,0))="","",INDEX('Leads'!$A$8:$A$107,MATCH($A33,'Leads'!$AE$8:$AE$107,0)))&lt;&gt;$B33,IF(INDEX('Leads'!$AF$8:$AF$107,MATCH($A33,'Leads'!$AE$8:$AE$107,0))="","",INDEX('Leads'!$AF$8:$AF$107,MATCH($A33,'Leads'!$AE$8:$AE$107,0)))&lt;&gt;$C33,IF(INDEX('Leads'!$AG$8:$AG$107,MATCH($A33,'Leads'!$AE$8:$AE$107,0))="","",INDEX('Leads'!$AG$8:$AG$107,MATCH($A33,'Leads'!$AE$8:$AE$107,0)))&lt;&gt;$D33,IF(INDEX('Leads'!$B$8:$B$107,MATCH($A33,'Leads'!$AE$8:$AE$107,0))="","",INDEX('Leads'!$B$8:$B$107,MATCH($A33,'Leads'!$AE$8:$AE$107,0)))&lt;&gt;$E33,IF(INDEX('Leads'!$C$8:$C$107,MATCH($A33,'Leads'!$AE$8:$AE$107,0))="","",INDEX('Leads'!$C$8:$C$107,MATCH($A33,'Leads'!$AE$8:$AE$107,0)))&lt;&gt;$F33,IF(INDEX('Leads'!$K$8:$K$107,MATCH($A33,'Leads'!$AE$8:$AE$107,0))="","",INDEX('Leads'!$K$8:$K$107,MATCH($A33,'Leads'!$AE$8:$AE$107,0)))&lt;&gt;$G33,IF(INDEX('Leads'!$L$8:$L$107,MATCH($A33,'Leads'!$AE$8:$AE$107,0))="","",INDEX('Leads'!$L$8:$L$107,MATCH($A33,'Leads'!$AE$8:$AE$107,0)))&lt;&gt;$H33,IF(INDEX('Leads'!$M$8:$M$107,MATCH($A33,'Leads'!$AE$8:$AE$107,0))="","",INDEX('Leads'!$M$8:$M$107,MATCH($A33,'Leads'!$AE$8:$AE$107,0)))&lt;&gt;$I33,IF(INDEX('Leads'!$N$8:$N$107,MATCH($A33,'Leads'!$AE$8:$AE$107,0))="","",INDEX('Leads'!$N$8:$N$107,MATCH($A33,'Leads'!$AE$8:$AE$107,0)))&lt;&gt;$J33,IF(INDEX('Leads'!$AH$8:$AH$107,MATCH($A33,'Leads'!$AE$8:$AE$107,0))="","",INDEX('Leads'!$AH$8:$AH$107,MATCH($A33,'Leads'!$AE$8:$AE$107,0)))&lt;&gt;$K33,IF(INDEX('Leads'!$D$8:$D$107,MATCH($A33,'Leads'!$AE$8:$AE$107,0))="","",INDEX('Leads'!$D$8:$D$107,MATCH($A33,'Leads'!$AE$8:$AE$107,0)))&lt;&gt;$L33,IF(INDEX('Leads'!$E$8:$E$107,MATCH($A33,'Leads'!$AE$8:$AE$107,0))="","",INDEX('Leads'!$E$8:$E$107,MATCH($A33,'Leads'!$AE$8:$AE$107,0)))&lt;&gt;$M33,IF(INDEX('Leads'!$AI$8:$AI$107,MATCH($A33,'Leads'!$AE$8:$AE$107,0))="","",INDEX('Leads'!$AI$8:$AI$107,MATCH($A33,'Leads'!$AE$8:$AE$107,0)))&lt;&gt;$N33,IF(INDEX('Leads'!$AJ$8:$AJ$107,MATCH($A33,'Leads'!$AE$8:$AE$107,0))="","",INDEX('Leads'!$AJ$8:$AJ$107,MATCH($A33,'Leads'!$AE$8:$AE$107,0)))&lt;&gt;$O33,IF(INDEX('Leads'!$AK$8:$AK$107,MATCH($A33,'Leads'!$AE$8:$AE$107,0))="","",INDEX('Leads'!$AK$8:$AK$107,MATCH($A33,'Leads'!$AE$8:$AE$107,0)))&lt;&gt;$P33,IF(INDEX('Leads'!$AL$8:$AL$107,MATCH($A33,'Leads'!$AE$8:$AE$107,0))="","",INDEX('Leads'!$AL$8:$AL$107,MATCH($A33,'Leads'!$AE$8:$AE$107,0)))&lt;&gt;$Q33,IF(INDEX('Leads'!$AM$8:$AM$107,MATCH($A33,'Leads'!$AE$8:$AE$107,0))="","",INDEX('Leads'!$AM$8:$AM$107,MATCH($A33,'Leads'!$AE$8:$AE$107,0)))&lt;&gt;$R33,IF(INDEX('Leads'!$AN$8:$AN$107,MATCH($A33,'Leads'!$AE$8:$AE$107,0))="","",INDEX('Leads'!$AN$8:$AN$107,MATCH($A33,'Leads'!$AE$8:$AE$107,0)))&lt;&gt;$S33,IF(INDEX('Leads'!$AO$8:$AO$107,MATCH($A33,'Leads'!$AE$8:$AE$107,0))="","",INDEX('Leads'!$AO$8:$AO$107,MATCH($A33,'Leads'!$AE$8:$AE$107,0)))&lt;&gt;$T33,IF(INDEX('Leads'!$AP$8:$AP$107,MATCH($A33,'Leads'!$AE$8:$AE$107,0))="","",INDEX('Leads'!$AP$8:$AP$107,MATCH($A33,'Leads'!$AE$8:$AE$107,0)))&lt;&gt;$U33,IF(INDEX('Leads'!$AQ$8:$AQ$107,MATCH($A33,'Leads'!$AE$8:$AE$107,0))="","",INDEX('Leads'!$AQ$8:$AQ$107,MATCH($A33,'Leads'!$AE$8:$AE$107,0)))&lt;&gt;$V33,IF(INDEX('Leads'!$AR$8:$AR$107,MATCH($A33,'Leads'!$AE$8:$AE$107,0))="","",INDEX('Leads'!$AR$8:$AR$107,MATCH($A33,'Leads'!$AE$8:$AE$107,0)))&lt;&gt;$W33,IF(INDEX('Leads'!$AS$8:$AS$107,MATCH($A33,'Leads'!$AE$8:$AE$107,0))="","",INDEX('Leads'!$AS$8:$AS$107,MATCH($A33,'Leads'!$AE$8:$AE$107,0)))&lt;&gt;$X33,IF(INDEX('Leads'!$AT$8:$AT$107,MATCH($A33,'Leads'!$AE$8:$AE$107,0))="","",INDEX('Leads'!$AT$8:$AT$107,MATCH($A33,'Leads'!$AE$8:$AE$107,0)))&lt;&gt;$Y33),"ข้อมูลรับเข้าต่าง — ตรวจเอง","ตรงกัน — ห้ามนำเข้าซ้ำ"),"ตรวจ Lead ID เดิม")))</x:f>
      </x:c>
    </x:row>
    <x:row r="34" ht="30" customHeight="1">
      <x:c r="A34" s="94"/>
      <x:c r="B34" s="94"/>
      <x:c r="C34" s="86"/>
      <x:c r="D34" s="32"/>
      <x:c r="E34" s="32"/>
      <x:c r="F34" s="32"/>
      <x:c r="G34" s="32"/>
      <x:c r="H34" s="94"/>
      <x:c r="I34" s="94"/>
      <x:c r="J34" s="94"/>
      <x:c r="K34" s="32"/>
      <x:c r="L34" s="32"/>
      <x:c r="M34" s="32"/>
      <x:c r="N34" s="32"/>
      <x:c r="O34" s="88"/>
      <x:c r="P34" s="32"/>
      <x:c r="Q34" s="32"/>
      <x:c r="R34" s="32"/>
      <x:c r="S34" s="32"/>
      <x:c r="T34" s="32"/>
      <x:c r="U34" s="32"/>
      <x:c r="V34" s="94"/>
      <x:c r="W34" s="32"/>
      <x:c r="X34" s="32"/>
      <x:c r="Y34" s="32"/>
      <x:c r="Z34" s="86"/>
      <x:c r="AA34" s="42" t="str">
        <x:f>IF(AND($A34="",$B34=""),"",IF(OR($A34="",$B34=""),"CHECK_INPUT",IF(OR($Y34="test",COUNTIF('Guide_Lists'!$AR$2:$AR$4,$B34)&gt;0),"TEST_DO_NOT_IMPORT",IF(OR(COUNTIF('Import_Staging'!$A$8:$A$107,$A34)&gt;1,COUNTIF('Import_Staging'!$B$8:$B$107,$B34)&gt;1),"DUPLICATE_IN_IMPORT",IF(COUNTIF('Leads'!$AE$8:$AE$107,$A34)&gt;0,"EXISTS",IF(COUNTIF('Leads'!$A$8:$A$107,$B34)&gt;0,"CHECK_INPUT",IF(AND($Y34="production",ISNUMBER($C34)),"NEW","CHECK_INPUT")))))))</x:f>
      </x:c>
      <x:c r="AB34" s="42" t="str">
        <x:f>IF($AA34="","",IF($AA34&lt;&gt;"EXISTS","",IFERROR(IF(OR(IF(INDEX('Leads'!$A$8:$A$107,MATCH($A34,'Leads'!$AE$8:$AE$107,0))="","",INDEX('Leads'!$A$8:$A$107,MATCH($A34,'Leads'!$AE$8:$AE$107,0)))&lt;&gt;$B34,IF(INDEX('Leads'!$AF$8:$AF$107,MATCH($A34,'Leads'!$AE$8:$AE$107,0))="","",INDEX('Leads'!$AF$8:$AF$107,MATCH($A34,'Leads'!$AE$8:$AE$107,0)))&lt;&gt;$C34,IF(INDEX('Leads'!$AG$8:$AG$107,MATCH($A34,'Leads'!$AE$8:$AE$107,0))="","",INDEX('Leads'!$AG$8:$AG$107,MATCH($A34,'Leads'!$AE$8:$AE$107,0)))&lt;&gt;$D34,IF(INDEX('Leads'!$B$8:$B$107,MATCH($A34,'Leads'!$AE$8:$AE$107,0))="","",INDEX('Leads'!$B$8:$B$107,MATCH($A34,'Leads'!$AE$8:$AE$107,0)))&lt;&gt;$E34,IF(INDEX('Leads'!$C$8:$C$107,MATCH($A34,'Leads'!$AE$8:$AE$107,0))="","",INDEX('Leads'!$C$8:$C$107,MATCH($A34,'Leads'!$AE$8:$AE$107,0)))&lt;&gt;$F34,IF(INDEX('Leads'!$K$8:$K$107,MATCH($A34,'Leads'!$AE$8:$AE$107,0))="","",INDEX('Leads'!$K$8:$K$107,MATCH($A34,'Leads'!$AE$8:$AE$107,0)))&lt;&gt;$G34,IF(INDEX('Leads'!$L$8:$L$107,MATCH($A34,'Leads'!$AE$8:$AE$107,0))="","",INDEX('Leads'!$L$8:$L$107,MATCH($A34,'Leads'!$AE$8:$AE$107,0)))&lt;&gt;$H34,IF(INDEX('Leads'!$M$8:$M$107,MATCH($A34,'Leads'!$AE$8:$AE$107,0))="","",INDEX('Leads'!$M$8:$M$107,MATCH($A34,'Leads'!$AE$8:$AE$107,0)))&lt;&gt;$I34,IF(INDEX('Leads'!$N$8:$N$107,MATCH($A34,'Leads'!$AE$8:$AE$107,0))="","",INDEX('Leads'!$N$8:$N$107,MATCH($A34,'Leads'!$AE$8:$AE$107,0)))&lt;&gt;$J34,IF(INDEX('Leads'!$AH$8:$AH$107,MATCH($A34,'Leads'!$AE$8:$AE$107,0))="","",INDEX('Leads'!$AH$8:$AH$107,MATCH($A34,'Leads'!$AE$8:$AE$107,0)))&lt;&gt;$K34,IF(INDEX('Leads'!$D$8:$D$107,MATCH($A34,'Leads'!$AE$8:$AE$107,0))="","",INDEX('Leads'!$D$8:$D$107,MATCH($A34,'Leads'!$AE$8:$AE$107,0)))&lt;&gt;$L34,IF(INDEX('Leads'!$E$8:$E$107,MATCH($A34,'Leads'!$AE$8:$AE$107,0))="","",INDEX('Leads'!$E$8:$E$107,MATCH($A34,'Leads'!$AE$8:$AE$107,0)))&lt;&gt;$M34,IF(INDEX('Leads'!$AI$8:$AI$107,MATCH($A34,'Leads'!$AE$8:$AE$107,0))="","",INDEX('Leads'!$AI$8:$AI$107,MATCH($A34,'Leads'!$AE$8:$AE$107,0)))&lt;&gt;$N34,IF(INDEX('Leads'!$AJ$8:$AJ$107,MATCH($A34,'Leads'!$AE$8:$AE$107,0))="","",INDEX('Leads'!$AJ$8:$AJ$107,MATCH($A34,'Leads'!$AE$8:$AE$107,0)))&lt;&gt;$O34,IF(INDEX('Leads'!$AK$8:$AK$107,MATCH($A34,'Leads'!$AE$8:$AE$107,0))="","",INDEX('Leads'!$AK$8:$AK$107,MATCH($A34,'Leads'!$AE$8:$AE$107,0)))&lt;&gt;$P34,IF(INDEX('Leads'!$AL$8:$AL$107,MATCH($A34,'Leads'!$AE$8:$AE$107,0))="","",INDEX('Leads'!$AL$8:$AL$107,MATCH($A34,'Leads'!$AE$8:$AE$107,0)))&lt;&gt;$Q34,IF(INDEX('Leads'!$AM$8:$AM$107,MATCH($A34,'Leads'!$AE$8:$AE$107,0))="","",INDEX('Leads'!$AM$8:$AM$107,MATCH($A34,'Leads'!$AE$8:$AE$107,0)))&lt;&gt;$R34,IF(INDEX('Leads'!$AN$8:$AN$107,MATCH($A34,'Leads'!$AE$8:$AE$107,0))="","",INDEX('Leads'!$AN$8:$AN$107,MATCH($A34,'Leads'!$AE$8:$AE$107,0)))&lt;&gt;$S34,IF(INDEX('Leads'!$AO$8:$AO$107,MATCH($A34,'Leads'!$AE$8:$AE$107,0))="","",INDEX('Leads'!$AO$8:$AO$107,MATCH($A34,'Leads'!$AE$8:$AE$107,0)))&lt;&gt;$T34,IF(INDEX('Leads'!$AP$8:$AP$107,MATCH($A34,'Leads'!$AE$8:$AE$107,0))="","",INDEX('Leads'!$AP$8:$AP$107,MATCH($A34,'Leads'!$AE$8:$AE$107,0)))&lt;&gt;$U34,IF(INDEX('Leads'!$AQ$8:$AQ$107,MATCH($A34,'Leads'!$AE$8:$AE$107,0))="","",INDEX('Leads'!$AQ$8:$AQ$107,MATCH($A34,'Leads'!$AE$8:$AE$107,0)))&lt;&gt;$V34,IF(INDEX('Leads'!$AR$8:$AR$107,MATCH($A34,'Leads'!$AE$8:$AE$107,0))="","",INDEX('Leads'!$AR$8:$AR$107,MATCH($A34,'Leads'!$AE$8:$AE$107,0)))&lt;&gt;$W34,IF(INDEX('Leads'!$AS$8:$AS$107,MATCH($A34,'Leads'!$AE$8:$AE$107,0))="","",INDEX('Leads'!$AS$8:$AS$107,MATCH($A34,'Leads'!$AE$8:$AE$107,0)))&lt;&gt;$X34,IF(INDEX('Leads'!$AT$8:$AT$107,MATCH($A34,'Leads'!$AE$8:$AE$107,0))="","",INDEX('Leads'!$AT$8:$AT$107,MATCH($A34,'Leads'!$AE$8:$AE$107,0)))&lt;&gt;$Y34),"ข้อมูลรับเข้าต่าง — ตรวจเอง","ตรงกัน — ห้ามนำเข้าซ้ำ"),"ตรวจ Lead ID เดิม")))</x:f>
      </x:c>
    </x:row>
    <x:row r="35" ht="30" customHeight="1">
      <x:c r="A35" s="94"/>
      <x:c r="B35" s="94"/>
      <x:c r="C35" s="86"/>
      <x:c r="D35" s="32"/>
      <x:c r="E35" s="32"/>
      <x:c r="F35" s="32"/>
      <x:c r="G35" s="32"/>
      <x:c r="H35" s="94"/>
      <x:c r="I35" s="94"/>
      <x:c r="J35" s="94"/>
      <x:c r="K35" s="32"/>
      <x:c r="L35" s="32"/>
      <x:c r="M35" s="32"/>
      <x:c r="N35" s="32"/>
      <x:c r="O35" s="88"/>
      <x:c r="P35" s="32"/>
      <x:c r="Q35" s="32"/>
      <x:c r="R35" s="32"/>
      <x:c r="S35" s="32"/>
      <x:c r="T35" s="32"/>
      <x:c r="U35" s="32"/>
      <x:c r="V35" s="94"/>
      <x:c r="W35" s="32"/>
      <x:c r="X35" s="32"/>
      <x:c r="Y35" s="32"/>
      <x:c r="Z35" s="86"/>
      <x:c r="AA35" s="42" t="str">
        <x:f>IF(AND($A35="",$B35=""),"",IF(OR($A35="",$B35=""),"CHECK_INPUT",IF(OR($Y35="test",COUNTIF('Guide_Lists'!$AR$2:$AR$4,$B35)&gt;0),"TEST_DO_NOT_IMPORT",IF(OR(COUNTIF('Import_Staging'!$A$8:$A$107,$A35)&gt;1,COUNTIF('Import_Staging'!$B$8:$B$107,$B35)&gt;1),"DUPLICATE_IN_IMPORT",IF(COUNTIF('Leads'!$AE$8:$AE$107,$A35)&gt;0,"EXISTS",IF(COUNTIF('Leads'!$A$8:$A$107,$B35)&gt;0,"CHECK_INPUT",IF(AND($Y35="production",ISNUMBER($C35)),"NEW","CHECK_INPUT")))))))</x:f>
      </x:c>
      <x:c r="AB35" s="42" t="str">
        <x:f>IF($AA35="","",IF($AA35&lt;&gt;"EXISTS","",IFERROR(IF(OR(IF(INDEX('Leads'!$A$8:$A$107,MATCH($A35,'Leads'!$AE$8:$AE$107,0))="","",INDEX('Leads'!$A$8:$A$107,MATCH($A35,'Leads'!$AE$8:$AE$107,0)))&lt;&gt;$B35,IF(INDEX('Leads'!$AF$8:$AF$107,MATCH($A35,'Leads'!$AE$8:$AE$107,0))="","",INDEX('Leads'!$AF$8:$AF$107,MATCH($A35,'Leads'!$AE$8:$AE$107,0)))&lt;&gt;$C35,IF(INDEX('Leads'!$AG$8:$AG$107,MATCH($A35,'Leads'!$AE$8:$AE$107,0))="","",INDEX('Leads'!$AG$8:$AG$107,MATCH($A35,'Leads'!$AE$8:$AE$107,0)))&lt;&gt;$D35,IF(INDEX('Leads'!$B$8:$B$107,MATCH($A35,'Leads'!$AE$8:$AE$107,0))="","",INDEX('Leads'!$B$8:$B$107,MATCH($A35,'Leads'!$AE$8:$AE$107,0)))&lt;&gt;$E35,IF(INDEX('Leads'!$C$8:$C$107,MATCH($A35,'Leads'!$AE$8:$AE$107,0))="","",INDEX('Leads'!$C$8:$C$107,MATCH($A35,'Leads'!$AE$8:$AE$107,0)))&lt;&gt;$F35,IF(INDEX('Leads'!$K$8:$K$107,MATCH($A35,'Leads'!$AE$8:$AE$107,0))="","",INDEX('Leads'!$K$8:$K$107,MATCH($A35,'Leads'!$AE$8:$AE$107,0)))&lt;&gt;$G35,IF(INDEX('Leads'!$L$8:$L$107,MATCH($A35,'Leads'!$AE$8:$AE$107,0))="","",INDEX('Leads'!$L$8:$L$107,MATCH($A35,'Leads'!$AE$8:$AE$107,0)))&lt;&gt;$H35,IF(INDEX('Leads'!$M$8:$M$107,MATCH($A35,'Leads'!$AE$8:$AE$107,0))="","",INDEX('Leads'!$M$8:$M$107,MATCH($A35,'Leads'!$AE$8:$AE$107,0)))&lt;&gt;$I35,IF(INDEX('Leads'!$N$8:$N$107,MATCH($A35,'Leads'!$AE$8:$AE$107,0))="","",INDEX('Leads'!$N$8:$N$107,MATCH($A35,'Leads'!$AE$8:$AE$107,0)))&lt;&gt;$J35,IF(INDEX('Leads'!$AH$8:$AH$107,MATCH($A35,'Leads'!$AE$8:$AE$107,0))="","",INDEX('Leads'!$AH$8:$AH$107,MATCH($A35,'Leads'!$AE$8:$AE$107,0)))&lt;&gt;$K35,IF(INDEX('Leads'!$D$8:$D$107,MATCH($A35,'Leads'!$AE$8:$AE$107,0))="","",INDEX('Leads'!$D$8:$D$107,MATCH($A35,'Leads'!$AE$8:$AE$107,0)))&lt;&gt;$L35,IF(INDEX('Leads'!$E$8:$E$107,MATCH($A35,'Leads'!$AE$8:$AE$107,0))="","",INDEX('Leads'!$E$8:$E$107,MATCH($A35,'Leads'!$AE$8:$AE$107,0)))&lt;&gt;$M35,IF(INDEX('Leads'!$AI$8:$AI$107,MATCH($A35,'Leads'!$AE$8:$AE$107,0))="","",INDEX('Leads'!$AI$8:$AI$107,MATCH($A35,'Leads'!$AE$8:$AE$107,0)))&lt;&gt;$N35,IF(INDEX('Leads'!$AJ$8:$AJ$107,MATCH($A35,'Leads'!$AE$8:$AE$107,0))="","",INDEX('Leads'!$AJ$8:$AJ$107,MATCH($A35,'Leads'!$AE$8:$AE$107,0)))&lt;&gt;$O35,IF(INDEX('Leads'!$AK$8:$AK$107,MATCH($A35,'Leads'!$AE$8:$AE$107,0))="","",INDEX('Leads'!$AK$8:$AK$107,MATCH($A35,'Leads'!$AE$8:$AE$107,0)))&lt;&gt;$P35,IF(INDEX('Leads'!$AL$8:$AL$107,MATCH($A35,'Leads'!$AE$8:$AE$107,0))="","",INDEX('Leads'!$AL$8:$AL$107,MATCH($A35,'Leads'!$AE$8:$AE$107,0)))&lt;&gt;$Q35,IF(INDEX('Leads'!$AM$8:$AM$107,MATCH($A35,'Leads'!$AE$8:$AE$107,0))="","",INDEX('Leads'!$AM$8:$AM$107,MATCH($A35,'Leads'!$AE$8:$AE$107,0)))&lt;&gt;$R35,IF(INDEX('Leads'!$AN$8:$AN$107,MATCH($A35,'Leads'!$AE$8:$AE$107,0))="","",INDEX('Leads'!$AN$8:$AN$107,MATCH($A35,'Leads'!$AE$8:$AE$107,0)))&lt;&gt;$S35,IF(INDEX('Leads'!$AO$8:$AO$107,MATCH($A35,'Leads'!$AE$8:$AE$107,0))="","",INDEX('Leads'!$AO$8:$AO$107,MATCH($A35,'Leads'!$AE$8:$AE$107,0)))&lt;&gt;$T35,IF(INDEX('Leads'!$AP$8:$AP$107,MATCH($A35,'Leads'!$AE$8:$AE$107,0))="","",INDEX('Leads'!$AP$8:$AP$107,MATCH($A35,'Leads'!$AE$8:$AE$107,0)))&lt;&gt;$U35,IF(INDEX('Leads'!$AQ$8:$AQ$107,MATCH($A35,'Leads'!$AE$8:$AE$107,0))="","",INDEX('Leads'!$AQ$8:$AQ$107,MATCH($A35,'Leads'!$AE$8:$AE$107,0)))&lt;&gt;$V35,IF(INDEX('Leads'!$AR$8:$AR$107,MATCH($A35,'Leads'!$AE$8:$AE$107,0))="","",INDEX('Leads'!$AR$8:$AR$107,MATCH($A35,'Leads'!$AE$8:$AE$107,0)))&lt;&gt;$W35,IF(INDEX('Leads'!$AS$8:$AS$107,MATCH($A35,'Leads'!$AE$8:$AE$107,0))="","",INDEX('Leads'!$AS$8:$AS$107,MATCH($A35,'Leads'!$AE$8:$AE$107,0)))&lt;&gt;$X35,IF(INDEX('Leads'!$AT$8:$AT$107,MATCH($A35,'Leads'!$AE$8:$AE$107,0))="","",INDEX('Leads'!$AT$8:$AT$107,MATCH($A35,'Leads'!$AE$8:$AE$107,0)))&lt;&gt;$Y35),"ข้อมูลรับเข้าต่าง — ตรวจเอง","ตรงกัน — ห้ามนำเข้าซ้ำ"),"ตรวจ Lead ID เดิม")))</x:f>
      </x:c>
    </x:row>
    <x:row r="36" ht="30" customHeight="1">
      <x:c r="A36" s="94"/>
      <x:c r="B36" s="94"/>
      <x:c r="C36" s="86"/>
      <x:c r="D36" s="32"/>
      <x:c r="E36" s="32"/>
      <x:c r="F36" s="32"/>
      <x:c r="G36" s="32"/>
      <x:c r="H36" s="94"/>
      <x:c r="I36" s="94"/>
      <x:c r="J36" s="94"/>
      <x:c r="K36" s="32"/>
      <x:c r="L36" s="32"/>
      <x:c r="M36" s="32"/>
      <x:c r="N36" s="32"/>
      <x:c r="O36" s="88"/>
      <x:c r="P36" s="32"/>
      <x:c r="Q36" s="32"/>
      <x:c r="R36" s="32"/>
      <x:c r="S36" s="32"/>
      <x:c r="T36" s="32"/>
      <x:c r="U36" s="32"/>
      <x:c r="V36" s="94"/>
      <x:c r="W36" s="32"/>
      <x:c r="X36" s="32"/>
      <x:c r="Y36" s="32"/>
      <x:c r="Z36" s="86"/>
      <x:c r="AA36" s="42" t="str">
        <x:f>IF(AND($A36="",$B36=""),"",IF(OR($A36="",$B36=""),"CHECK_INPUT",IF(OR($Y36="test",COUNTIF('Guide_Lists'!$AR$2:$AR$4,$B36)&gt;0),"TEST_DO_NOT_IMPORT",IF(OR(COUNTIF('Import_Staging'!$A$8:$A$107,$A36)&gt;1,COUNTIF('Import_Staging'!$B$8:$B$107,$B36)&gt;1),"DUPLICATE_IN_IMPORT",IF(COUNTIF('Leads'!$AE$8:$AE$107,$A36)&gt;0,"EXISTS",IF(COUNTIF('Leads'!$A$8:$A$107,$B36)&gt;0,"CHECK_INPUT",IF(AND($Y36="production",ISNUMBER($C36)),"NEW","CHECK_INPUT")))))))</x:f>
      </x:c>
      <x:c r="AB36" s="42" t="str">
        <x:f>IF($AA36="","",IF($AA36&lt;&gt;"EXISTS","",IFERROR(IF(OR(IF(INDEX('Leads'!$A$8:$A$107,MATCH($A36,'Leads'!$AE$8:$AE$107,0))="","",INDEX('Leads'!$A$8:$A$107,MATCH($A36,'Leads'!$AE$8:$AE$107,0)))&lt;&gt;$B36,IF(INDEX('Leads'!$AF$8:$AF$107,MATCH($A36,'Leads'!$AE$8:$AE$107,0))="","",INDEX('Leads'!$AF$8:$AF$107,MATCH($A36,'Leads'!$AE$8:$AE$107,0)))&lt;&gt;$C36,IF(INDEX('Leads'!$AG$8:$AG$107,MATCH($A36,'Leads'!$AE$8:$AE$107,0))="","",INDEX('Leads'!$AG$8:$AG$107,MATCH($A36,'Leads'!$AE$8:$AE$107,0)))&lt;&gt;$D36,IF(INDEX('Leads'!$B$8:$B$107,MATCH($A36,'Leads'!$AE$8:$AE$107,0))="","",INDEX('Leads'!$B$8:$B$107,MATCH($A36,'Leads'!$AE$8:$AE$107,0)))&lt;&gt;$E36,IF(INDEX('Leads'!$C$8:$C$107,MATCH($A36,'Leads'!$AE$8:$AE$107,0))="","",INDEX('Leads'!$C$8:$C$107,MATCH($A36,'Leads'!$AE$8:$AE$107,0)))&lt;&gt;$F36,IF(INDEX('Leads'!$K$8:$K$107,MATCH($A36,'Leads'!$AE$8:$AE$107,0))="","",INDEX('Leads'!$K$8:$K$107,MATCH($A36,'Leads'!$AE$8:$AE$107,0)))&lt;&gt;$G36,IF(INDEX('Leads'!$L$8:$L$107,MATCH($A36,'Leads'!$AE$8:$AE$107,0))="","",INDEX('Leads'!$L$8:$L$107,MATCH($A36,'Leads'!$AE$8:$AE$107,0)))&lt;&gt;$H36,IF(INDEX('Leads'!$M$8:$M$107,MATCH($A36,'Leads'!$AE$8:$AE$107,0))="","",INDEX('Leads'!$M$8:$M$107,MATCH($A36,'Leads'!$AE$8:$AE$107,0)))&lt;&gt;$I36,IF(INDEX('Leads'!$N$8:$N$107,MATCH($A36,'Leads'!$AE$8:$AE$107,0))="","",INDEX('Leads'!$N$8:$N$107,MATCH($A36,'Leads'!$AE$8:$AE$107,0)))&lt;&gt;$J36,IF(INDEX('Leads'!$AH$8:$AH$107,MATCH($A36,'Leads'!$AE$8:$AE$107,0))="","",INDEX('Leads'!$AH$8:$AH$107,MATCH($A36,'Leads'!$AE$8:$AE$107,0)))&lt;&gt;$K36,IF(INDEX('Leads'!$D$8:$D$107,MATCH($A36,'Leads'!$AE$8:$AE$107,0))="","",INDEX('Leads'!$D$8:$D$107,MATCH($A36,'Leads'!$AE$8:$AE$107,0)))&lt;&gt;$L36,IF(INDEX('Leads'!$E$8:$E$107,MATCH($A36,'Leads'!$AE$8:$AE$107,0))="","",INDEX('Leads'!$E$8:$E$107,MATCH($A36,'Leads'!$AE$8:$AE$107,0)))&lt;&gt;$M36,IF(INDEX('Leads'!$AI$8:$AI$107,MATCH($A36,'Leads'!$AE$8:$AE$107,0))="","",INDEX('Leads'!$AI$8:$AI$107,MATCH($A36,'Leads'!$AE$8:$AE$107,0)))&lt;&gt;$N36,IF(INDEX('Leads'!$AJ$8:$AJ$107,MATCH($A36,'Leads'!$AE$8:$AE$107,0))="","",INDEX('Leads'!$AJ$8:$AJ$107,MATCH($A36,'Leads'!$AE$8:$AE$107,0)))&lt;&gt;$O36,IF(INDEX('Leads'!$AK$8:$AK$107,MATCH($A36,'Leads'!$AE$8:$AE$107,0))="","",INDEX('Leads'!$AK$8:$AK$107,MATCH($A36,'Leads'!$AE$8:$AE$107,0)))&lt;&gt;$P36,IF(INDEX('Leads'!$AL$8:$AL$107,MATCH($A36,'Leads'!$AE$8:$AE$107,0))="","",INDEX('Leads'!$AL$8:$AL$107,MATCH($A36,'Leads'!$AE$8:$AE$107,0)))&lt;&gt;$Q36,IF(INDEX('Leads'!$AM$8:$AM$107,MATCH($A36,'Leads'!$AE$8:$AE$107,0))="","",INDEX('Leads'!$AM$8:$AM$107,MATCH($A36,'Leads'!$AE$8:$AE$107,0)))&lt;&gt;$R36,IF(INDEX('Leads'!$AN$8:$AN$107,MATCH($A36,'Leads'!$AE$8:$AE$107,0))="","",INDEX('Leads'!$AN$8:$AN$107,MATCH($A36,'Leads'!$AE$8:$AE$107,0)))&lt;&gt;$S36,IF(INDEX('Leads'!$AO$8:$AO$107,MATCH($A36,'Leads'!$AE$8:$AE$107,0))="","",INDEX('Leads'!$AO$8:$AO$107,MATCH($A36,'Leads'!$AE$8:$AE$107,0)))&lt;&gt;$T36,IF(INDEX('Leads'!$AP$8:$AP$107,MATCH($A36,'Leads'!$AE$8:$AE$107,0))="","",INDEX('Leads'!$AP$8:$AP$107,MATCH($A36,'Leads'!$AE$8:$AE$107,0)))&lt;&gt;$U36,IF(INDEX('Leads'!$AQ$8:$AQ$107,MATCH($A36,'Leads'!$AE$8:$AE$107,0))="","",INDEX('Leads'!$AQ$8:$AQ$107,MATCH($A36,'Leads'!$AE$8:$AE$107,0)))&lt;&gt;$V36,IF(INDEX('Leads'!$AR$8:$AR$107,MATCH($A36,'Leads'!$AE$8:$AE$107,0))="","",INDEX('Leads'!$AR$8:$AR$107,MATCH($A36,'Leads'!$AE$8:$AE$107,0)))&lt;&gt;$W36,IF(INDEX('Leads'!$AS$8:$AS$107,MATCH($A36,'Leads'!$AE$8:$AE$107,0))="","",INDEX('Leads'!$AS$8:$AS$107,MATCH($A36,'Leads'!$AE$8:$AE$107,0)))&lt;&gt;$X36,IF(INDEX('Leads'!$AT$8:$AT$107,MATCH($A36,'Leads'!$AE$8:$AE$107,0))="","",INDEX('Leads'!$AT$8:$AT$107,MATCH($A36,'Leads'!$AE$8:$AE$107,0)))&lt;&gt;$Y36),"ข้อมูลรับเข้าต่าง — ตรวจเอง","ตรงกัน — ห้ามนำเข้าซ้ำ"),"ตรวจ Lead ID เดิม")))</x:f>
      </x:c>
    </x:row>
    <x:row r="37" ht="30" customHeight="1">
      <x:c r="A37" s="94"/>
      <x:c r="B37" s="94"/>
      <x:c r="C37" s="86"/>
      <x:c r="D37" s="32"/>
      <x:c r="E37" s="32"/>
      <x:c r="F37" s="32"/>
      <x:c r="G37" s="32"/>
      <x:c r="H37" s="94"/>
      <x:c r="I37" s="94"/>
      <x:c r="J37" s="94"/>
      <x:c r="K37" s="32"/>
      <x:c r="L37" s="32"/>
      <x:c r="M37" s="32"/>
      <x:c r="N37" s="32"/>
      <x:c r="O37" s="88"/>
      <x:c r="P37" s="32"/>
      <x:c r="Q37" s="32"/>
      <x:c r="R37" s="32"/>
      <x:c r="S37" s="32"/>
      <x:c r="T37" s="32"/>
      <x:c r="U37" s="32"/>
      <x:c r="V37" s="94"/>
      <x:c r="W37" s="32"/>
      <x:c r="X37" s="32"/>
      <x:c r="Y37" s="32"/>
      <x:c r="Z37" s="86"/>
      <x:c r="AA37" s="42" t="str">
        <x:f>IF(AND($A37="",$B37=""),"",IF(OR($A37="",$B37=""),"CHECK_INPUT",IF(OR($Y37="test",COUNTIF('Guide_Lists'!$AR$2:$AR$4,$B37)&gt;0),"TEST_DO_NOT_IMPORT",IF(OR(COUNTIF('Import_Staging'!$A$8:$A$107,$A37)&gt;1,COUNTIF('Import_Staging'!$B$8:$B$107,$B37)&gt;1),"DUPLICATE_IN_IMPORT",IF(COUNTIF('Leads'!$AE$8:$AE$107,$A37)&gt;0,"EXISTS",IF(COUNTIF('Leads'!$A$8:$A$107,$B37)&gt;0,"CHECK_INPUT",IF(AND($Y37="production",ISNUMBER($C37)),"NEW","CHECK_INPUT")))))))</x:f>
      </x:c>
      <x:c r="AB37" s="42" t="str">
        <x:f>IF($AA37="","",IF($AA37&lt;&gt;"EXISTS","",IFERROR(IF(OR(IF(INDEX('Leads'!$A$8:$A$107,MATCH($A37,'Leads'!$AE$8:$AE$107,0))="","",INDEX('Leads'!$A$8:$A$107,MATCH($A37,'Leads'!$AE$8:$AE$107,0)))&lt;&gt;$B37,IF(INDEX('Leads'!$AF$8:$AF$107,MATCH($A37,'Leads'!$AE$8:$AE$107,0))="","",INDEX('Leads'!$AF$8:$AF$107,MATCH($A37,'Leads'!$AE$8:$AE$107,0)))&lt;&gt;$C37,IF(INDEX('Leads'!$AG$8:$AG$107,MATCH($A37,'Leads'!$AE$8:$AE$107,0))="","",INDEX('Leads'!$AG$8:$AG$107,MATCH($A37,'Leads'!$AE$8:$AE$107,0)))&lt;&gt;$D37,IF(INDEX('Leads'!$B$8:$B$107,MATCH($A37,'Leads'!$AE$8:$AE$107,0))="","",INDEX('Leads'!$B$8:$B$107,MATCH($A37,'Leads'!$AE$8:$AE$107,0)))&lt;&gt;$E37,IF(INDEX('Leads'!$C$8:$C$107,MATCH($A37,'Leads'!$AE$8:$AE$107,0))="","",INDEX('Leads'!$C$8:$C$107,MATCH($A37,'Leads'!$AE$8:$AE$107,0)))&lt;&gt;$F37,IF(INDEX('Leads'!$K$8:$K$107,MATCH($A37,'Leads'!$AE$8:$AE$107,0))="","",INDEX('Leads'!$K$8:$K$107,MATCH($A37,'Leads'!$AE$8:$AE$107,0)))&lt;&gt;$G37,IF(INDEX('Leads'!$L$8:$L$107,MATCH($A37,'Leads'!$AE$8:$AE$107,0))="","",INDEX('Leads'!$L$8:$L$107,MATCH($A37,'Leads'!$AE$8:$AE$107,0)))&lt;&gt;$H37,IF(INDEX('Leads'!$M$8:$M$107,MATCH($A37,'Leads'!$AE$8:$AE$107,0))="","",INDEX('Leads'!$M$8:$M$107,MATCH($A37,'Leads'!$AE$8:$AE$107,0)))&lt;&gt;$I37,IF(INDEX('Leads'!$N$8:$N$107,MATCH($A37,'Leads'!$AE$8:$AE$107,0))="","",INDEX('Leads'!$N$8:$N$107,MATCH($A37,'Leads'!$AE$8:$AE$107,0)))&lt;&gt;$J37,IF(INDEX('Leads'!$AH$8:$AH$107,MATCH($A37,'Leads'!$AE$8:$AE$107,0))="","",INDEX('Leads'!$AH$8:$AH$107,MATCH($A37,'Leads'!$AE$8:$AE$107,0)))&lt;&gt;$K37,IF(INDEX('Leads'!$D$8:$D$107,MATCH($A37,'Leads'!$AE$8:$AE$107,0))="","",INDEX('Leads'!$D$8:$D$107,MATCH($A37,'Leads'!$AE$8:$AE$107,0)))&lt;&gt;$L37,IF(INDEX('Leads'!$E$8:$E$107,MATCH($A37,'Leads'!$AE$8:$AE$107,0))="","",INDEX('Leads'!$E$8:$E$107,MATCH($A37,'Leads'!$AE$8:$AE$107,0)))&lt;&gt;$M37,IF(INDEX('Leads'!$AI$8:$AI$107,MATCH($A37,'Leads'!$AE$8:$AE$107,0))="","",INDEX('Leads'!$AI$8:$AI$107,MATCH($A37,'Leads'!$AE$8:$AE$107,0)))&lt;&gt;$N37,IF(INDEX('Leads'!$AJ$8:$AJ$107,MATCH($A37,'Leads'!$AE$8:$AE$107,0))="","",INDEX('Leads'!$AJ$8:$AJ$107,MATCH($A37,'Leads'!$AE$8:$AE$107,0)))&lt;&gt;$O37,IF(INDEX('Leads'!$AK$8:$AK$107,MATCH($A37,'Leads'!$AE$8:$AE$107,0))="","",INDEX('Leads'!$AK$8:$AK$107,MATCH($A37,'Leads'!$AE$8:$AE$107,0)))&lt;&gt;$P37,IF(INDEX('Leads'!$AL$8:$AL$107,MATCH($A37,'Leads'!$AE$8:$AE$107,0))="","",INDEX('Leads'!$AL$8:$AL$107,MATCH($A37,'Leads'!$AE$8:$AE$107,0)))&lt;&gt;$Q37,IF(INDEX('Leads'!$AM$8:$AM$107,MATCH($A37,'Leads'!$AE$8:$AE$107,0))="","",INDEX('Leads'!$AM$8:$AM$107,MATCH($A37,'Leads'!$AE$8:$AE$107,0)))&lt;&gt;$R37,IF(INDEX('Leads'!$AN$8:$AN$107,MATCH($A37,'Leads'!$AE$8:$AE$107,0))="","",INDEX('Leads'!$AN$8:$AN$107,MATCH($A37,'Leads'!$AE$8:$AE$107,0)))&lt;&gt;$S37,IF(INDEX('Leads'!$AO$8:$AO$107,MATCH($A37,'Leads'!$AE$8:$AE$107,0))="","",INDEX('Leads'!$AO$8:$AO$107,MATCH($A37,'Leads'!$AE$8:$AE$107,0)))&lt;&gt;$T37,IF(INDEX('Leads'!$AP$8:$AP$107,MATCH($A37,'Leads'!$AE$8:$AE$107,0))="","",INDEX('Leads'!$AP$8:$AP$107,MATCH($A37,'Leads'!$AE$8:$AE$107,0)))&lt;&gt;$U37,IF(INDEX('Leads'!$AQ$8:$AQ$107,MATCH($A37,'Leads'!$AE$8:$AE$107,0))="","",INDEX('Leads'!$AQ$8:$AQ$107,MATCH($A37,'Leads'!$AE$8:$AE$107,0)))&lt;&gt;$V37,IF(INDEX('Leads'!$AR$8:$AR$107,MATCH($A37,'Leads'!$AE$8:$AE$107,0))="","",INDEX('Leads'!$AR$8:$AR$107,MATCH($A37,'Leads'!$AE$8:$AE$107,0)))&lt;&gt;$W37,IF(INDEX('Leads'!$AS$8:$AS$107,MATCH($A37,'Leads'!$AE$8:$AE$107,0))="","",INDEX('Leads'!$AS$8:$AS$107,MATCH($A37,'Leads'!$AE$8:$AE$107,0)))&lt;&gt;$X37,IF(INDEX('Leads'!$AT$8:$AT$107,MATCH($A37,'Leads'!$AE$8:$AE$107,0))="","",INDEX('Leads'!$AT$8:$AT$107,MATCH($A37,'Leads'!$AE$8:$AE$107,0)))&lt;&gt;$Y37),"ข้อมูลรับเข้าต่าง — ตรวจเอง","ตรงกัน — ห้ามนำเข้าซ้ำ"),"ตรวจ Lead ID เดิม")))</x:f>
      </x:c>
    </x:row>
    <x:row r="38" ht="30" customHeight="1">
      <x:c r="A38" s="94"/>
      <x:c r="B38" s="94"/>
      <x:c r="C38" s="86"/>
      <x:c r="D38" s="32"/>
      <x:c r="E38" s="32"/>
      <x:c r="F38" s="32"/>
      <x:c r="G38" s="32"/>
      <x:c r="H38" s="94"/>
      <x:c r="I38" s="94"/>
      <x:c r="J38" s="94"/>
      <x:c r="K38" s="32"/>
      <x:c r="L38" s="32"/>
      <x:c r="M38" s="32"/>
      <x:c r="N38" s="32"/>
      <x:c r="O38" s="88"/>
      <x:c r="P38" s="32"/>
      <x:c r="Q38" s="32"/>
      <x:c r="R38" s="32"/>
      <x:c r="S38" s="32"/>
      <x:c r="T38" s="32"/>
      <x:c r="U38" s="32"/>
      <x:c r="V38" s="94"/>
      <x:c r="W38" s="32"/>
      <x:c r="X38" s="32"/>
      <x:c r="Y38" s="32"/>
      <x:c r="Z38" s="86"/>
      <x:c r="AA38" s="42" t="str">
        <x:f>IF(AND($A38="",$B38=""),"",IF(OR($A38="",$B38=""),"CHECK_INPUT",IF(OR($Y38="test",COUNTIF('Guide_Lists'!$AR$2:$AR$4,$B38)&gt;0),"TEST_DO_NOT_IMPORT",IF(OR(COUNTIF('Import_Staging'!$A$8:$A$107,$A38)&gt;1,COUNTIF('Import_Staging'!$B$8:$B$107,$B38)&gt;1),"DUPLICATE_IN_IMPORT",IF(COUNTIF('Leads'!$AE$8:$AE$107,$A38)&gt;0,"EXISTS",IF(COUNTIF('Leads'!$A$8:$A$107,$B38)&gt;0,"CHECK_INPUT",IF(AND($Y38="production",ISNUMBER($C38)),"NEW","CHECK_INPUT")))))))</x:f>
      </x:c>
      <x:c r="AB38" s="42" t="str">
        <x:f>IF($AA38="","",IF($AA38&lt;&gt;"EXISTS","",IFERROR(IF(OR(IF(INDEX('Leads'!$A$8:$A$107,MATCH($A38,'Leads'!$AE$8:$AE$107,0))="","",INDEX('Leads'!$A$8:$A$107,MATCH($A38,'Leads'!$AE$8:$AE$107,0)))&lt;&gt;$B38,IF(INDEX('Leads'!$AF$8:$AF$107,MATCH($A38,'Leads'!$AE$8:$AE$107,0))="","",INDEX('Leads'!$AF$8:$AF$107,MATCH($A38,'Leads'!$AE$8:$AE$107,0)))&lt;&gt;$C38,IF(INDEX('Leads'!$AG$8:$AG$107,MATCH($A38,'Leads'!$AE$8:$AE$107,0))="","",INDEX('Leads'!$AG$8:$AG$107,MATCH($A38,'Leads'!$AE$8:$AE$107,0)))&lt;&gt;$D38,IF(INDEX('Leads'!$B$8:$B$107,MATCH($A38,'Leads'!$AE$8:$AE$107,0))="","",INDEX('Leads'!$B$8:$B$107,MATCH($A38,'Leads'!$AE$8:$AE$107,0)))&lt;&gt;$E38,IF(INDEX('Leads'!$C$8:$C$107,MATCH($A38,'Leads'!$AE$8:$AE$107,0))="","",INDEX('Leads'!$C$8:$C$107,MATCH($A38,'Leads'!$AE$8:$AE$107,0)))&lt;&gt;$F38,IF(INDEX('Leads'!$K$8:$K$107,MATCH($A38,'Leads'!$AE$8:$AE$107,0))="","",INDEX('Leads'!$K$8:$K$107,MATCH($A38,'Leads'!$AE$8:$AE$107,0)))&lt;&gt;$G38,IF(INDEX('Leads'!$L$8:$L$107,MATCH($A38,'Leads'!$AE$8:$AE$107,0))="","",INDEX('Leads'!$L$8:$L$107,MATCH($A38,'Leads'!$AE$8:$AE$107,0)))&lt;&gt;$H38,IF(INDEX('Leads'!$M$8:$M$107,MATCH($A38,'Leads'!$AE$8:$AE$107,0))="","",INDEX('Leads'!$M$8:$M$107,MATCH($A38,'Leads'!$AE$8:$AE$107,0)))&lt;&gt;$I38,IF(INDEX('Leads'!$N$8:$N$107,MATCH($A38,'Leads'!$AE$8:$AE$107,0))="","",INDEX('Leads'!$N$8:$N$107,MATCH($A38,'Leads'!$AE$8:$AE$107,0)))&lt;&gt;$J38,IF(INDEX('Leads'!$AH$8:$AH$107,MATCH($A38,'Leads'!$AE$8:$AE$107,0))="","",INDEX('Leads'!$AH$8:$AH$107,MATCH($A38,'Leads'!$AE$8:$AE$107,0)))&lt;&gt;$K38,IF(INDEX('Leads'!$D$8:$D$107,MATCH($A38,'Leads'!$AE$8:$AE$107,0))="","",INDEX('Leads'!$D$8:$D$107,MATCH($A38,'Leads'!$AE$8:$AE$107,0)))&lt;&gt;$L38,IF(INDEX('Leads'!$E$8:$E$107,MATCH($A38,'Leads'!$AE$8:$AE$107,0))="","",INDEX('Leads'!$E$8:$E$107,MATCH($A38,'Leads'!$AE$8:$AE$107,0)))&lt;&gt;$M38,IF(INDEX('Leads'!$AI$8:$AI$107,MATCH($A38,'Leads'!$AE$8:$AE$107,0))="","",INDEX('Leads'!$AI$8:$AI$107,MATCH($A38,'Leads'!$AE$8:$AE$107,0)))&lt;&gt;$N38,IF(INDEX('Leads'!$AJ$8:$AJ$107,MATCH($A38,'Leads'!$AE$8:$AE$107,0))="","",INDEX('Leads'!$AJ$8:$AJ$107,MATCH($A38,'Leads'!$AE$8:$AE$107,0)))&lt;&gt;$O38,IF(INDEX('Leads'!$AK$8:$AK$107,MATCH($A38,'Leads'!$AE$8:$AE$107,0))="","",INDEX('Leads'!$AK$8:$AK$107,MATCH($A38,'Leads'!$AE$8:$AE$107,0)))&lt;&gt;$P38,IF(INDEX('Leads'!$AL$8:$AL$107,MATCH($A38,'Leads'!$AE$8:$AE$107,0))="","",INDEX('Leads'!$AL$8:$AL$107,MATCH($A38,'Leads'!$AE$8:$AE$107,0)))&lt;&gt;$Q38,IF(INDEX('Leads'!$AM$8:$AM$107,MATCH($A38,'Leads'!$AE$8:$AE$107,0))="","",INDEX('Leads'!$AM$8:$AM$107,MATCH($A38,'Leads'!$AE$8:$AE$107,0)))&lt;&gt;$R38,IF(INDEX('Leads'!$AN$8:$AN$107,MATCH($A38,'Leads'!$AE$8:$AE$107,0))="","",INDEX('Leads'!$AN$8:$AN$107,MATCH($A38,'Leads'!$AE$8:$AE$107,0)))&lt;&gt;$S38,IF(INDEX('Leads'!$AO$8:$AO$107,MATCH($A38,'Leads'!$AE$8:$AE$107,0))="","",INDEX('Leads'!$AO$8:$AO$107,MATCH($A38,'Leads'!$AE$8:$AE$107,0)))&lt;&gt;$T38,IF(INDEX('Leads'!$AP$8:$AP$107,MATCH($A38,'Leads'!$AE$8:$AE$107,0))="","",INDEX('Leads'!$AP$8:$AP$107,MATCH($A38,'Leads'!$AE$8:$AE$107,0)))&lt;&gt;$U38,IF(INDEX('Leads'!$AQ$8:$AQ$107,MATCH($A38,'Leads'!$AE$8:$AE$107,0))="","",INDEX('Leads'!$AQ$8:$AQ$107,MATCH($A38,'Leads'!$AE$8:$AE$107,0)))&lt;&gt;$V38,IF(INDEX('Leads'!$AR$8:$AR$107,MATCH($A38,'Leads'!$AE$8:$AE$107,0))="","",INDEX('Leads'!$AR$8:$AR$107,MATCH($A38,'Leads'!$AE$8:$AE$107,0)))&lt;&gt;$W38,IF(INDEX('Leads'!$AS$8:$AS$107,MATCH($A38,'Leads'!$AE$8:$AE$107,0))="","",INDEX('Leads'!$AS$8:$AS$107,MATCH($A38,'Leads'!$AE$8:$AE$107,0)))&lt;&gt;$X38,IF(INDEX('Leads'!$AT$8:$AT$107,MATCH($A38,'Leads'!$AE$8:$AE$107,0))="","",INDEX('Leads'!$AT$8:$AT$107,MATCH($A38,'Leads'!$AE$8:$AE$107,0)))&lt;&gt;$Y38),"ข้อมูลรับเข้าต่าง — ตรวจเอง","ตรงกัน — ห้ามนำเข้าซ้ำ"),"ตรวจ Lead ID เดิม")))</x:f>
      </x:c>
    </x:row>
    <x:row r="39" ht="30" customHeight="1">
      <x:c r="A39" s="94"/>
      <x:c r="B39" s="94"/>
      <x:c r="C39" s="86"/>
      <x:c r="D39" s="32"/>
      <x:c r="E39" s="32"/>
      <x:c r="F39" s="32"/>
      <x:c r="G39" s="32"/>
      <x:c r="H39" s="94"/>
      <x:c r="I39" s="94"/>
      <x:c r="J39" s="94"/>
      <x:c r="K39" s="32"/>
      <x:c r="L39" s="32"/>
      <x:c r="M39" s="32"/>
      <x:c r="N39" s="32"/>
      <x:c r="O39" s="88"/>
      <x:c r="P39" s="32"/>
      <x:c r="Q39" s="32"/>
      <x:c r="R39" s="32"/>
      <x:c r="S39" s="32"/>
      <x:c r="T39" s="32"/>
      <x:c r="U39" s="32"/>
      <x:c r="V39" s="94"/>
      <x:c r="W39" s="32"/>
      <x:c r="X39" s="32"/>
      <x:c r="Y39" s="32"/>
      <x:c r="Z39" s="86"/>
      <x:c r="AA39" s="42" t="str">
        <x:f>IF(AND($A39="",$B39=""),"",IF(OR($A39="",$B39=""),"CHECK_INPUT",IF(OR($Y39="test",COUNTIF('Guide_Lists'!$AR$2:$AR$4,$B39)&gt;0),"TEST_DO_NOT_IMPORT",IF(OR(COUNTIF('Import_Staging'!$A$8:$A$107,$A39)&gt;1,COUNTIF('Import_Staging'!$B$8:$B$107,$B39)&gt;1),"DUPLICATE_IN_IMPORT",IF(COUNTIF('Leads'!$AE$8:$AE$107,$A39)&gt;0,"EXISTS",IF(COUNTIF('Leads'!$A$8:$A$107,$B39)&gt;0,"CHECK_INPUT",IF(AND($Y39="production",ISNUMBER($C39)),"NEW","CHECK_INPUT")))))))</x:f>
      </x:c>
      <x:c r="AB39" s="42" t="str">
        <x:f>IF($AA39="","",IF($AA39&lt;&gt;"EXISTS","",IFERROR(IF(OR(IF(INDEX('Leads'!$A$8:$A$107,MATCH($A39,'Leads'!$AE$8:$AE$107,0))="","",INDEX('Leads'!$A$8:$A$107,MATCH($A39,'Leads'!$AE$8:$AE$107,0)))&lt;&gt;$B39,IF(INDEX('Leads'!$AF$8:$AF$107,MATCH($A39,'Leads'!$AE$8:$AE$107,0))="","",INDEX('Leads'!$AF$8:$AF$107,MATCH($A39,'Leads'!$AE$8:$AE$107,0)))&lt;&gt;$C39,IF(INDEX('Leads'!$AG$8:$AG$107,MATCH($A39,'Leads'!$AE$8:$AE$107,0))="","",INDEX('Leads'!$AG$8:$AG$107,MATCH($A39,'Leads'!$AE$8:$AE$107,0)))&lt;&gt;$D39,IF(INDEX('Leads'!$B$8:$B$107,MATCH($A39,'Leads'!$AE$8:$AE$107,0))="","",INDEX('Leads'!$B$8:$B$107,MATCH($A39,'Leads'!$AE$8:$AE$107,0)))&lt;&gt;$E39,IF(INDEX('Leads'!$C$8:$C$107,MATCH($A39,'Leads'!$AE$8:$AE$107,0))="","",INDEX('Leads'!$C$8:$C$107,MATCH($A39,'Leads'!$AE$8:$AE$107,0)))&lt;&gt;$F39,IF(INDEX('Leads'!$K$8:$K$107,MATCH($A39,'Leads'!$AE$8:$AE$107,0))="","",INDEX('Leads'!$K$8:$K$107,MATCH($A39,'Leads'!$AE$8:$AE$107,0)))&lt;&gt;$G39,IF(INDEX('Leads'!$L$8:$L$107,MATCH($A39,'Leads'!$AE$8:$AE$107,0))="","",INDEX('Leads'!$L$8:$L$107,MATCH($A39,'Leads'!$AE$8:$AE$107,0)))&lt;&gt;$H39,IF(INDEX('Leads'!$M$8:$M$107,MATCH($A39,'Leads'!$AE$8:$AE$107,0))="","",INDEX('Leads'!$M$8:$M$107,MATCH($A39,'Leads'!$AE$8:$AE$107,0)))&lt;&gt;$I39,IF(INDEX('Leads'!$N$8:$N$107,MATCH($A39,'Leads'!$AE$8:$AE$107,0))="","",INDEX('Leads'!$N$8:$N$107,MATCH($A39,'Leads'!$AE$8:$AE$107,0)))&lt;&gt;$J39,IF(INDEX('Leads'!$AH$8:$AH$107,MATCH($A39,'Leads'!$AE$8:$AE$107,0))="","",INDEX('Leads'!$AH$8:$AH$107,MATCH($A39,'Leads'!$AE$8:$AE$107,0)))&lt;&gt;$K39,IF(INDEX('Leads'!$D$8:$D$107,MATCH($A39,'Leads'!$AE$8:$AE$107,0))="","",INDEX('Leads'!$D$8:$D$107,MATCH($A39,'Leads'!$AE$8:$AE$107,0)))&lt;&gt;$L39,IF(INDEX('Leads'!$E$8:$E$107,MATCH($A39,'Leads'!$AE$8:$AE$107,0))="","",INDEX('Leads'!$E$8:$E$107,MATCH($A39,'Leads'!$AE$8:$AE$107,0)))&lt;&gt;$M39,IF(INDEX('Leads'!$AI$8:$AI$107,MATCH($A39,'Leads'!$AE$8:$AE$107,0))="","",INDEX('Leads'!$AI$8:$AI$107,MATCH($A39,'Leads'!$AE$8:$AE$107,0)))&lt;&gt;$N39,IF(INDEX('Leads'!$AJ$8:$AJ$107,MATCH($A39,'Leads'!$AE$8:$AE$107,0))="","",INDEX('Leads'!$AJ$8:$AJ$107,MATCH($A39,'Leads'!$AE$8:$AE$107,0)))&lt;&gt;$O39,IF(INDEX('Leads'!$AK$8:$AK$107,MATCH($A39,'Leads'!$AE$8:$AE$107,0))="","",INDEX('Leads'!$AK$8:$AK$107,MATCH($A39,'Leads'!$AE$8:$AE$107,0)))&lt;&gt;$P39,IF(INDEX('Leads'!$AL$8:$AL$107,MATCH($A39,'Leads'!$AE$8:$AE$107,0))="","",INDEX('Leads'!$AL$8:$AL$107,MATCH($A39,'Leads'!$AE$8:$AE$107,0)))&lt;&gt;$Q39,IF(INDEX('Leads'!$AM$8:$AM$107,MATCH($A39,'Leads'!$AE$8:$AE$107,0))="","",INDEX('Leads'!$AM$8:$AM$107,MATCH($A39,'Leads'!$AE$8:$AE$107,0)))&lt;&gt;$R39,IF(INDEX('Leads'!$AN$8:$AN$107,MATCH($A39,'Leads'!$AE$8:$AE$107,0))="","",INDEX('Leads'!$AN$8:$AN$107,MATCH($A39,'Leads'!$AE$8:$AE$107,0)))&lt;&gt;$S39,IF(INDEX('Leads'!$AO$8:$AO$107,MATCH($A39,'Leads'!$AE$8:$AE$107,0))="","",INDEX('Leads'!$AO$8:$AO$107,MATCH($A39,'Leads'!$AE$8:$AE$107,0)))&lt;&gt;$T39,IF(INDEX('Leads'!$AP$8:$AP$107,MATCH($A39,'Leads'!$AE$8:$AE$107,0))="","",INDEX('Leads'!$AP$8:$AP$107,MATCH($A39,'Leads'!$AE$8:$AE$107,0)))&lt;&gt;$U39,IF(INDEX('Leads'!$AQ$8:$AQ$107,MATCH($A39,'Leads'!$AE$8:$AE$107,0))="","",INDEX('Leads'!$AQ$8:$AQ$107,MATCH($A39,'Leads'!$AE$8:$AE$107,0)))&lt;&gt;$V39,IF(INDEX('Leads'!$AR$8:$AR$107,MATCH($A39,'Leads'!$AE$8:$AE$107,0))="","",INDEX('Leads'!$AR$8:$AR$107,MATCH($A39,'Leads'!$AE$8:$AE$107,0)))&lt;&gt;$W39,IF(INDEX('Leads'!$AS$8:$AS$107,MATCH($A39,'Leads'!$AE$8:$AE$107,0))="","",INDEX('Leads'!$AS$8:$AS$107,MATCH($A39,'Leads'!$AE$8:$AE$107,0)))&lt;&gt;$X39,IF(INDEX('Leads'!$AT$8:$AT$107,MATCH($A39,'Leads'!$AE$8:$AE$107,0))="","",INDEX('Leads'!$AT$8:$AT$107,MATCH($A39,'Leads'!$AE$8:$AE$107,0)))&lt;&gt;$Y39),"ข้อมูลรับเข้าต่าง — ตรวจเอง","ตรงกัน — ห้ามนำเข้าซ้ำ"),"ตรวจ Lead ID เดิม")))</x:f>
      </x:c>
    </x:row>
    <x:row r="40" ht="30" customHeight="1">
      <x:c r="A40" s="94"/>
      <x:c r="B40" s="94"/>
      <x:c r="C40" s="86"/>
      <x:c r="D40" s="32"/>
      <x:c r="E40" s="32"/>
      <x:c r="F40" s="32"/>
      <x:c r="G40" s="32"/>
      <x:c r="H40" s="94"/>
      <x:c r="I40" s="94"/>
      <x:c r="J40" s="94"/>
      <x:c r="K40" s="32"/>
      <x:c r="L40" s="32"/>
      <x:c r="M40" s="32"/>
      <x:c r="N40" s="32"/>
      <x:c r="O40" s="88"/>
      <x:c r="P40" s="32"/>
      <x:c r="Q40" s="32"/>
      <x:c r="R40" s="32"/>
      <x:c r="S40" s="32"/>
      <x:c r="T40" s="32"/>
      <x:c r="U40" s="32"/>
      <x:c r="V40" s="94"/>
      <x:c r="W40" s="32"/>
      <x:c r="X40" s="32"/>
      <x:c r="Y40" s="32"/>
      <x:c r="Z40" s="86"/>
      <x:c r="AA40" s="42" t="str">
        <x:f>IF(AND($A40="",$B40=""),"",IF(OR($A40="",$B40=""),"CHECK_INPUT",IF(OR($Y40="test",COUNTIF('Guide_Lists'!$AR$2:$AR$4,$B40)&gt;0),"TEST_DO_NOT_IMPORT",IF(OR(COUNTIF('Import_Staging'!$A$8:$A$107,$A40)&gt;1,COUNTIF('Import_Staging'!$B$8:$B$107,$B40)&gt;1),"DUPLICATE_IN_IMPORT",IF(COUNTIF('Leads'!$AE$8:$AE$107,$A40)&gt;0,"EXISTS",IF(COUNTIF('Leads'!$A$8:$A$107,$B40)&gt;0,"CHECK_INPUT",IF(AND($Y40="production",ISNUMBER($C40)),"NEW","CHECK_INPUT")))))))</x:f>
      </x:c>
      <x:c r="AB40" s="42" t="str">
        <x:f>IF($AA40="","",IF($AA40&lt;&gt;"EXISTS","",IFERROR(IF(OR(IF(INDEX('Leads'!$A$8:$A$107,MATCH($A40,'Leads'!$AE$8:$AE$107,0))="","",INDEX('Leads'!$A$8:$A$107,MATCH($A40,'Leads'!$AE$8:$AE$107,0)))&lt;&gt;$B40,IF(INDEX('Leads'!$AF$8:$AF$107,MATCH($A40,'Leads'!$AE$8:$AE$107,0))="","",INDEX('Leads'!$AF$8:$AF$107,MATCH($A40,'Leads'!$AE$8:$AE$107,0)))&lt;&gt;$C40,IF(INDEX('Leads'!$AG$8:$AG$107,MATCH($A40,'Leads'!$AE$8:$AE$107,0))="","",INDEX('Leads'!$AG$8:$AG$107,MATCH($A40,'Leads'!$AE$8:$AE$107,0)))&lt;&gt;$D40,IF(INDEX('Leads'!$B$8:$B$107,MATCH($A40,'Leads'!$AE$8:$AE$107,0))="","",INDEX('Leads'!$B$8:$B$107,MATCH($A40,'Leads'!$AE$8:$AE$107,0)))&lt;&gt;$E40,IF(INDEX('Leads'!$C$8:$C$107,MATCH($A40,'Leads'!$AE$8:$AE$107,0))="","",INDEX('Leads'!$C$8:$C$107,MATCH($A40,'Leads'!$AE$8:$AE$107,0)))&lt;&gt;$F40,IF(INDEX('Leads'!$K$8:$K$107,MATCH($A40,'Leads'!$AE$8:$AE$107,0))="","",INDEX('Leads'!$K$8:$K$107,MATCH($A40,'Leads'!$AE$8:$AE$107,0)))&lt;&gt;$G40,IF(INDEX('Leads'!$L$8:$L$107,MATCH($A40,'Leads'!$AE$8:$AE$107,0))="","",INDEX('Leads'!$L$8:$L$107,MATCH($A40,'Leads'!$AE$8:$AE$107,0)))&lt;&gt;$H40,IF(INDEX('Leads'!$M$8:$M$107,MATCH($A40,'Leads'!$AE$8:$AE$107,0))="","",INDEX('Leads'!$M$8:$M$107,MATCH($A40,'Leads'!$AE$8:$AE$107,0)))&lt;&gt;$I40,IF(INDEX('Leads'!$N$8:$N$107,MATCH($A40,'Leads'!$AE$8:$AE$107,0))="","",INDEX('Leads'!$N$8:$N$107,MATCH($A40,'Leads'!$AE$8:$AE$107,0)))&lt;&gt;$J40,IF(INDEX('Leads'!$AH$8:$AH$107,MATCH($A40,'Leads'!$AE$8:$AE$107,0))="","",INDEX('Leads'!$AH$8:$AH$107,MATCH($A40,'Leads'!$AE$8:$AE$107,0)))&lt;&gt;$K40,IF(INDEX('Leads'!$D$8:$D$107,MATCH($A40,'Leads'!$AE$8:$AE$107,0))="","",INDEX('Leads'!$D$8:$D$107,MATCH($A40,'Leads'!$AE$8:$AE$107,0)))&lt;&gt;$L40,IF(INDEX('Leads'!$E$8:$E$107,MATCH($A40,'Leads'!$AE$8:$AE$107,0))="","",INDEX('Leads'!$E$8:$E$107,MATCH($A40,'Leads'!$AE$8:$AE$107,0)))&lt;&gt;$M40,IF(INDEX('Leads'!$AI$8:$AI$107,MATCH($A40,'Leads'!$AE$8:$AE$107,0))="","",INDEX('Leads'!$AI$8:$AI$107,MATCH($A40,'Leads'!$AE$8:$AE$107,0)))&lt;&gt;$N40,IF(INDEX('Leads'!$AJ$8:$AJ$107,MATCH($A40,'Leads'!$AE$8:$AE$107,0))="","",INDEX('Leads'!$AJ$8:$AJ$107,MATCH($A40,'Leads'!$AE$8:$AE$107,0)))&lt;&gt;$O40,IF(INDEX('Leads'!$AK$8:$AK$107,MATCH($A40,'Leads'!$AE$8:$AE$107,0))="","",INDEX('Leads'!$AK$8:$AK$107,MATCH($A40,'Leads'!$AE$8:$AE$107,0)))&lt;&gt;$P40,IF(INDEX('Leads'!$AL$8:$AL$107,MATCH($A40,'Leads'!$AE$8:$AE$107,0))="","",INDEX('Leads'!$AL$8:$AL$107,MATCH($A40,'Leads'!$AE$8:$AE$107,0)))&lt;&gt;$Q40,IF(INDEX('Leads'!$AM$8:$AM$107,MATCH($A40,'Leads'!$AE$8:$AE$107,0))="","",INDEX('Leads'!$AM$8:$AM$107,MATCH($A40,'Leads'!$AE$8:$AE$107,0)))&lt;&gt;$R40,IF(INDEX('Leads'!$AN$8:$AN$107,MATCH($A40,'Leads'!$AE$8:$AE$107,0))="","",INDEX('Leads'!$AN$8:$AN$107,MATCH($A40,'Leads'!$AE$8:$AE$107,0)))&lt;&gt;$S40,IF(INDEX('Leads'!$AO$8:$AO$107,MATCH($A40,'Leads'!$AE$8:$AE$107,0))="","",INDEX('Leads'!$AO$8:$AO$107,MATCH($A40,'Leads'!$AE$8:$AE$107,0)))&lt;&gt;$T40,IF(INDEX('Leads'!$AP$8:$AP$107,MATCH($A40,'Leads'!$AE$8:$AE$107,0))="","",INDEX('Leads'!$AP$8:$AP$107,MATCH($A40,'Leads'!$AE$8:$AE$107,0)))&lt;&gt;$U40,IF(INDEX('Leads'!$AQ$8:$AQ$107,MATCH($A40,'Leads'!$AE$8:$AE$107,0))="","",INDEX('Leads'!$AQ$8:$AQ$107,MATCH($A40,'Leads'!$AE$8:$AE$107,0)))&lt;&gt;$V40,IF(INDEX('Leads'!$AR$8:$AR$107,MATCH($A40,'Leads'!$AE$8:$AE$107,0))="","",INDEX('Leads'!$AR$8:$AR$107,MATCH($A40,'Leads'!$AE$8:$AE$107,0)))&lt;&gt;$W40,IF(INDEX('Leads'!$AS$8:$AS$107,MATCH($A40,'Leads'!$AE$8:$AE$107,0))="","",INDEX('Leads'!$AS$8:$AS$107,MATCH($A40,'Leads'!$AE$8:$AE$107,0)))&lt;&gt;$X40,IF(INDEX('Leads'!$AT$8:$AT$107,MATCH($A40,'Leads'!$AE$8:$AE$107,0))="","",INDEX('Leads'!$AT$8:$AT$107,MATCH($A40,'Leads'!$AE$8:$AE$107,0)))&lt;&gt;$Y40),"ข้อมูลรับเข้าต่าง — ตรวจเอง","ตรงกัน — ห้ามนำเข้าซ้ำ"),"ตรวจ Lead ID เดิม")))</x:f>
      </x:c>
    </x:row>
    <x:row r="41" ht="30" customHeight="1">
      <x:c r="A41" s="94"/>
      <x:c r="B41" s="94"/>
      <x:c r="C41" s="86"/>
      <x:c r="D41" s="32"/>
      <x:c r="E41" s="32"/>
      <x:c r="F41" s="32"/>
      <x:c r="G41" s="32"/>
      <x:c r="H41" s="94"/>
      <x:c r="I41" s="94"/>
      <x:c r="J41" s="94"/>
      <x:c r="K41" s="32"/>
      <x:c r="L41" s="32"/>
      <x:c r="M41" s="32"/>
      <x:c r="N41" s="32"/>
      <x:c r="O41" s="88"/>
      <x:c r="P41" s="32"/>
      <x:c r="Q41" s="32"/>
      <x:c r="R41" s="32"/>
      <x:c r="S41" s="32"/>
      <x:c r="T41" s="32"/>
      <x:c r="U41" s="32"/>
      <x:c r="V41" s="94"/>
      <x:c r="W41" s="32"/>
      <x:c r="X41" s="32"/>
      <x:c r="Y41" s="32"/>
      <x:c r="Z41" s="86"/>
      <x:c r="AA41" s="42" t="str">
        <x:f>IF(AND($A41="",$B41=""),"",IF(OR($A41="",$B41=""),"CHECK_INPUT",IF(OR($Y41="test",COUNTIF('Guide_Lists'!$AR$2:$AR$4,$B41)&gt;0),"TEST_DO_NOT_IMPORT",IF(OR(COUNTIF('Import_Staging'!$A$8:$A$107,$A41)&gt;1,COUNTIF('Import_Staging'!$B$8:$B$107,$B41)&gt;1),"DUPLICATE_IN_IMPORT",IF(COUNTIF('Leads'!$AE$8:$AE$107,$A41)&gt;0,"EXISTS",IF(COUNTIF('Leads'!$A$8:$A$107,$B41)&gt;0,"CHECK_INPUT",IF(AND($Y41="production",ISNUMBER($C41)),"NEW","CHECK_INPUT")))))))</x:f>
      </x:c>
      <x:c r="AB41" s="42" t="str">
        <x:f>IF($AA41="","",IF($AA41&lt;&gt;"EXISTS","",IFERROR(IF(OR(IF(INDEX('Leads'!$A$8:$A$107,MATCH($A41,'Leads'!$AE$8:$AE$107,0))="","",INDEX('Leads'!$A$8:$A$107,MATCH($A41,'Leads'!$AE$8:$AE$107,0)))&lt;&gt;$B41,IF(INDEX('Leads'!$AF$8:$AF$107,MATCH($A41,'Leads'!$AE$8:$AE$107,0))="","",INDEX('Leads'!$AF$8:$AF$107,MATCH($A41,'Leads'!$AE$8:$AE$107,0)))&lt;&gt;$C41,IF(INDEX('Leads'!$AG$8:$AG$107,MATCH($A41,'Leads'!$AE$8:$AE$107,0))="","",INDEX('Leads'!$AG$8:$AG$107,MATCH($A41,'Leads'!$AE$8:$AE$107,0)))&lt;&gt;$D41,IF(INDEX('Leads'!$B$8:$B$107,MATCH($A41,'Leads'!$AE$8:$AE$107,0))="","",INDEX('Leads'!$B$8:$B$107,MATCH($A41,'Leads'!$AE$8:$AE$107,0)))&lt;&gt;$E41,IF(INDEX('Leads'!$C$8:$C$107,MATCH($A41,'Leads'!$AE$8:$AE$107,0))="","",INDEX('Leads'!$C$8:$C$107,MATCH($A41,'Leads'!$AE$8:$AE$107,0)))&lt;&gt;$F41,IF(INDEX('Leads'!$K$8:$K$107,MATCH($A41,'Leads'!$AE$8:$AE$107,0))="","",INDEX('Leads'!$K$8:$K$107,MATCH($A41,'Leads'!$AE$8:$AE$107,0)))&lt;&gt;$G41,IF(INDEX('Leads'!$L$8:$L$107,MATCH($A41,'Leads'!$AE$8:$AE$107,0))="","",INDEX('Leads'!$L$8:$L$107,MATCH($A41,'Leads'!$AE$8:$AE$107,0)))&lt;&gt;$H41,IF(INDEX('Leads'!$M$8:$M$107,MATCH($A41,'Leads'!$AE$8:$AE$107,0))="","",INDEX('Leads'!$M$8:$M$107,MATCH($A41,'Leads'!$AE$8:$AE$107,0)))&lt;&gt;$I41,IF(INDEX('Leads'!$N$8:$N$107,MATCH($A41,'Leads'!$AE$8:$AE$107,0))="","",INDEX('Leads'!$N$8:$N$107,MATCH($A41,'Leads'!$AE$8:$AE$107,0)))&lt;&gt;$J41,IF(INDEX('Leads'!$AH$8:$AH$107,MATCH($A41,'Leads'!$AE$8:$AE$107,0))="","",INDEX('Leads'!$AH$8:$AH$107,MATCH($A41,'Leads'!$AE$8:$AE$107,0)))&lt;&gt;$K41,IF(INDEX('Leads'!$D$8:$D$107,MATCH($A41,'Leads'!$AE$8:$AE$107,0))="","",INDEX('Leads'!$D$8:$D$107,MATCH($A41,'Leads'!$AE$8:$AE$107,0)))&lt;&gt;$L41,IF(INDEX('Leads'!$E$8:$E$107,MATCH($A41,'Leads'!$AE$8:$AE$107,0))="","",INDEX('Leads'!$E$8:$E$107,MATCH($A41,'Leads'!$AE$8:$AE$107,0)))&lt;&gt;$M41,IF(INDEX('Leads'!$AI$8:$AI$107,MATCH($A41,'Leads'!$AE$8:$AE$107,0))="","",INDEX('Leads'!$AI$8:$AI$107,MATCH($A41,'Leads'!$AE$8:$AE$107,0)))&lt;&gt;$N41,IF(INDEX('Leads'!$AJ$8:$AJ$107,MATCH($A41,'Leads'!$AE$8:$AE$107,0))="","",INDEX('Leads'!$AJ$8:$AJ$107,MATCH($A41,'Leads'!$AE$8:$AE$107,0)))&lt;&gt;$O41,IF(INDEX('Leads'!$AK$8:$AK$107,MATCH($A41,'Leads'!$AE$8:$AE$107,0))="","",INDEX('Leads'!$AK$8:$AK$107,MATCH($A41,'Leads'!$AE$8:$AE$107,0)))&lt;&gt;$P41,IF(INDEX('Leads'!$AL$8:$AL$107,MATCH($A41,'Leads'!$AE$8:$AE$107,0))="","",INDEX('Leads'!$AL$8:$AL$107,MATCH($A41,'Leads'!$AE$8:$AE$107,0)))&lt;&gt;$Q41,IF(INDEX('Leads'!$AM$8:$AM$107,MATCH($A41,'Leads'!$AE$8:$AE$107,0))="","",INDEX('Leads'!$AM$8:$AM$107,MATCH($A41,'Leads'!$AE$8:$AE$107,0)))&lt;&gt;$R41,IF(INDEX('Leads'!$AN$8:$AN$107,MATCH($A41,'Leads'!$AE$8:$AE$107,0))="","",INDEX('Leads'!$AN$8:$AN$107,MATCH($A41,'Leads'!$AE$8:$AE$107,0)))&lt;&gt;$S41,IF(INDEX('Leads'!$AO$8:$AO$107,MATCH($A41,'Leads'!$AE$8:$AE$107,0))="","",INDEX('Leads'!$AO$8:$AO$107,MATCH($A41,'Leads'!$AE$8:$AE$107,0)))&lt;&gt;$T41,IF(INDEX('Leads'!$AP$8:$AP$107,MATCH($A41,'Leads'!$AE$8:$AE$107,0))="","",INDEX('Leads'!$AP$8:$AP$107,MATCH($A41,'Leads'!$AE$8:$AE$107,0)))&lt;&gt;$U41,IF(INDEX('Leads'!$AQ$8:$AQ$107,MATCH($A41,'Leads'!$AE$8:$AE$107,0))="","",INDEX('Leads'!$AQ$8:$AQ$107,MATCH($A41,'Leads'!$AE$8:$AE$107,0)))&lt;&gt;$V41,IF(INDEX('Leads'!$AR$8:$AR$107,MATCH($A41,'Leads'!$AE$8:$AE$107,0))="","",INDEX('Leads'!$AR$8:$AR$107,MATCH($A41,'Leads'!$AE$8:$AE$107,0)))&lt;&gt;$W41,IF(INDEX('Leads'!$AS$8:$AS$107,MATCH($A41,'Leads'!$AE$8:$AE$107,0))="","",INDEX('Leads'!$AS$8:$AS$107,MATCH($A41,'Leads'!$AE$8:$AE$107,0)))&lt;&gt;$X41,IF(INDEX('Leads'!$AT$8:$AT$107,MATCH($A41,'Leads'!$AE$8:$AE$107,0))="","",INDEX('Leads'!$AT$8:$AT$107,MATCH($A41,'Leads'!$AE$8:$AE$107,0)))&lt;&gt;$Y41),"ข้อมูลรับเข้าต่าง — ตรวจเอง","ตรงกัน — ห้ามนำเข้าซ้ำ"),"ตรวจ Lead ID เดิม")))</x:f>
      </x:c>
    </x:row>
    <x:row r="42" ht="30" customHeight="1">
      <x:c r="A42" s="94"/>
      <x:c r="B42" s="94"/>
      <x:c r="C42" s="86"/>
      <x:c r="D42" s="32"/>
      <x:c r="E42" s="32"/>
      <x:c r="F42" s="32"/>
      <x:c r="G42" s="32"/>
      <x:c r="H42" s="94"/>
      <x:c r="I42" s="94"/>
      <x:c r="J42" s="94"/>
      <x:c r="K42" s="32"/>
      <x:c r="L42" s="32"/>
      <x:c r="M42" s="32"/>
      <x:c r="N42" s="32"/>
      <x:c r="O42" s="88"/>
      <x:c r="P42" s="32"/>
      <x:c r="Q42" s="32"/>
      <x:c r="R42" s="32"/>
      <x:c r="S42" s="32"/>
      <x:c r="T42" s="32"/>
      <x:c r="U42" s="32"/>
      <x:c r="V42" s="94"/>
      <x:c r="W42" s="32"/>
      <x:c r="X42" s="32"/>
      <x:c r="Y42" s="32"/>
      <x:c r="Z42" s="86"/>
      <x:c r="AA42" s="42" t="str">
        <x:f>IF(AND($A42="",$B42=""),"",IF(OR($A42="",$B42=""),"CHECK_INPUT",IF(OR($Y42="test",COUNTIF('Guide_Lists'!$AR$2:$AR$4,$B42)&gt;0),"TEST_DO_NOT_IMPORT",IF(OR(COUNTIF('Import_Staging'!$A$8:$A$107,$A42)&gt;1,COUNTIF('Import_Staging'!$B$8:$B$107,$B42)&gt;1),"DUPLICATE_IN_IMPORT",IF(COUNTIF('Leads'!$AE$8:$AE$107,$A42)&gt;0,"EXISTS",IF(COUNTIF('Leads'!$A$8:$A$107,$B42)&gt;0,"CHECK_INPUT",IF(AND($Y42="production",ISNUMBER($C42)),"NEW","CHECK_INPUT")))))))</x:f>
      </x:c>
      <x:c r="AB42" s="42" t="str">
        <x:f>IF($AA42="","",IF($AA42&lt;&gt;"EXISTS","",IFERROR(IF(OR(IF(INDEX('Leads'!$A$8:$A$107,MATCH($A42,'Leads'!$AE$8:$AE$107,0))="","",INDEX('Leads'!$A$8:$A$107,MATCH($A42,'Leads'!$AE$8:$AE$107,0)))&lt;&gt;$B42,IF(INDEX('Leads'!$AF$8:$AF$107,MATCH($A42,'Leads'!$AE$8:$AE$107,0))="","",INDEX('Leads'!$AF$8:$AF$107,MATCH($A42,'Leads'!$AE$8:$AE$107,0)))&lt;&gt;$C42,IF(INDEX('Leads'!$AG$8:$AG$107,MATCH($A42,'Leads'!$AE$8:$AE$107,0))="","",INDEX('Leads'!$AG$8:$AG$107,MATCH($A42,'Leads'!$AE$8:$AE$107,0)))&lt;&gt;$D42,IF(INDEX('Leads'!$B$8:$B$107,MATCH($A42,'Leads'!$AE$8:$AE$107,0))="","",INDEX('Leads'!$B$8:$B$107,MATCH($A42,'Leads'!$AE$8:$AE$107,0)))&lt;&gt;$E42,IF(INDEX('Leads'!$C$8:$C$107,MATCH($A42,'Leads'!$AE$8:$AE$107,0))="","",INDEX('Leads'!$C$8:$C$107,MATCH($A42,'Leads'!$AE$8:$AE$107,0)))&lt;&gt;$F42,IF(INDEX('Leads'!$K$8:$K$107,MATCH($A42,'Leads'!$AE$8:$AE$107,0))="","",INDEX('Leads'!$K$8:$K$107,MATCH($A42,'Leads'!$AE$8:$AE$107,0)))&lt;&gt;$G42,IF(INDEX('Leads'!$L$8:$L$107,MATCH($A42,'Leads'!$AE$8:$AE$107,0))="","",INDEX('Leads'!$L$8:$L$107,MATCH($A42,'Leads'!$AE$8:$AE$107,0)))&lt;&gt;$H42,IF(INDEX('Leads'!$M$8:$M$107,MATCH($A42,'Leads'!$AE$8:$AE$107,0))="","",INDEX('Leads'!$M$8:$M$107,MATCH($A42,'Leads'!$AE$8:$AE$107,0)))&lt;&gt;$I42,IF(INDEX('Leads'!$N$8:$N$107,MATCH($A42,'Leads'!$AE$8:$AE$107,0))="","",INDEX('Leads'!$N$8:$N$107,MATCH($A42,'Leads'!$AE$8:$AE$107,0)))&lt;&gt;$J42,IF(INDEX('Leads'!$AH$8:$AH$107,MATCH($A42,'Leads'!$AE$8:$AE$107,0))="","",INDEX('Leads'!$AH$8:$AH$107,MATCH($A42,'Leads'!$AE$8:$AE$107,0)))&lt;&gt;$K42,IF(INDEX('Leads'!$D$8:$D$107,MATCH($A42,'Leads'!$AE$8:$AE$107,0))="","",INDEX('Leads'!$D$8:$D$107,MATCH($A42,'Leads'!$AE$8:$AE$107,0)))&lt;&gt;$L42,IF(INDEX('Leads'!$E$8:$E$107,MATCH($A42,'Leads'!$AE$8:$AE$107,0))="","",INDEX('Leads'!$E$8:$E$107,MATCH($A42,'Leads'!$AE$8:$AE$107,0)))&lt;&gt;$M42,IF(INDEX('Leads'!$AI$8:$AI$107,MATCH($A42,'Leads'!$AE$8:$AE$107,0))="","",INDEX('Leads'!$AI$8:$AI$107,MATCH($A42,'Leads'!$AE$8:$AE$107,0)))&lt;&gt;$N42,IF(INDEX('Leads'!$AJ$8:$AJ$107,MATCH($A42,'Leads'!$AE$8:$AE$107,0))="","",INDEX('Leads'!$AJ$8:$AJ$107,MATCH($A42,'Leads'!$AE$8:$AE$107,0)))&lt;&gt;$O42,IF(INDEX('Leads'!$AK$8:$AK$107,MATCH($A42,'Leads'!$AE$8:$AE$107,0))="","",INDEX('Leads'!$AK$8:$AK$107,MATCH($A42,'Leads'!$AE$8:$AE$107,0)))&lt;&gt;$P42,IF(INDEX('Leads'!$AL$8:$AL$107,MATCH($A42,'Leads'!$AE$8:$AE$107,0))="","",INDEX('Leads'!$AL$8:$AL$107,MATCH($A42,'Leads'!$AE$8:$AE$107,0)))&lt;&gt;$Q42,IF(INDEX('Leads'!$AM$8:$AM$107,MATCH($A42,'Leads'!$AE$8:$AE$107,0))="","",INDEX('Leads'!$AM$8:$AM$107,MATCH($A42,'Leads'!$AE$8:$AE$107,0)))&lt;&gt;$R42,IF(INDEX('Leads'!$AN$8:$AN$107,MATCH($A42,'Leads'!$AE$8:$AE$107,0))="","",INDEX('Leads'!$AN$8:$AN$107,MATCH($A42,'Leads'!$AE$8:$AE$107,0)))&lt;&gt;$S42,IF(INDEX('Leads'!$AO$8:$AO$107,MATCH($A42,'Leads'!$AE$8:$AE$107,0))="","",INDEX('Leads'!$AO$8:$AO$107,MATCH($A42,'Leads'!$AE$8:$AE$107,0)))&lt;&gt;$T42,IF(INDEX('Leads'!$AP$8:$AP$107,MATCH($A42,'Leads'!$AE$8:$AE$107,0))="","",INDEX('Leads'!$AP$8:$AP$107,MATCH($A42,'Leads'!$AE$8:$AE$107,0)))&lt;&gt;$U42,IF(INDEX('Leads'!$AQ$8:$AQ$107,MATCH($A42,'Leads'!$AE$8:$AE$107,0))="","",INDEX('Leads'!$AQ$8:$AQ$107,MATCH($A42,'Leads'!$AE$8:$AE$107,0)))&lt;&gt;$V42,IF(INDEX('Leads'!$AR$8:$AR$107,MATCH($A42,'Leads'!$AE$8:$AE$107,0))="","",INDEX('Leads'!$AR$8:$AR$107,MATCH($A42,'Leads'!$AE$8:$AE$107,0)))&lt;&gt;$W42,IF(INDEX('Leads'!$AS$8:$AS$107,MATCH($A42,'Leads'!$AE$8:$AE$107,0))="","",INDEX('Leads'!$AS$8:$AS$107,MATCH($A42,'Leads'!$AE$8:$AE$107,0)))&lt;&gt;$X42,IF(INDEX('Leads'!$AT$8:$AT$107,MATCH($A42,'Leads'!$AE$8:$AE$107,0))="","",INDEX('Leads'!$AT$8:$AT$107,MATCH($A42,'Leads'!$AE$8:$AE$107,0)))&lt;&gt;$Y42),"ข้อมูลรับเข้าต่าง — ตรวจเอง","ตรงกัน — ห้ามนำเข้าซ้ำ"),"ตรวจ Lead ID เดิม")))</x:f>
      </x:c>
    </x:row>
    <x:row r="43" ht="30" customHeight="1">
      <x:c r="A43" s="94"/>
      <x:c r="B43" s="94"/>
      <x:c r="C43" s="86"/>
      <x:c r="D43" s="32"/>
      <x:c r="E43" s="32"/>
      <x:c r="F43" s="32"/>
      <x:c r="G43" s="32"/>
      <x:c r="H43" s="94"/>
      <x:c r="I43" s="94"/>
      <x:c r="J43" s="94"/>
      <x:c r="K43" s="32"/>
      <x:c r="L43" s="32"/>
      <x:c r="M43" s="32"/>
      <x:c r="N43" s="32"/>
      <x:c r="O43" s="88"/>
      <x:c r="P43" s="32"/>
      <x:c r="Q43" s="32"/>
      <x:c r="R43" s="32"/>
      <x:c r="S43" s="32"/>
      <x:c r="T43" s="32"/>
      <x:c r="U43" s="32"/>
      <x:c r="V43" s="94"/>
      <x:c r="W43" s="32"/>
      <x:c r="X43" s="32"/>
      <x:c r="Y43" s="32"/>
      <x:c r="Z43" s="86"/>
      <x:c r="AA43" s="42" t="str">
        <x:f>IF(AND($A43="",$B43=""),"",IF(OR($A43="",$B43=""),"CHECK_INPUT",IF(OR($Y43="test",COUNTIF('Guide_Lists'!$AR$2:$AR$4,$B43)&gt;0),"TEST_DO_NOT_IMPORT",IF(OR(COUNTIF('Import_Staging'!$A$8:$A$107,$A43)&gt;1,COUNTIF('Import_Staging'!$B$8:$B$107,$B43)&gt;1),"DUPLICATE_IN_IMPORT",IF(COUNTIF('Leads'!$AE$8:$AE$107,$A43)&gt;0,"EXISTS",IF(COUNTIF('Leads'!$A$8:$A$107,$B43)&gt;0,"CHECK_INPUT",IF(AND($Y43="production",ISNUMBER($C43)),"NEW","CHECK_INPUT")))))))</x:f>
      </x:c>
      <x:c r="AB43" s="42" t="str">
        <x:f>IF($AA43="","",IF($AA43&lt;&gt;"EXISTS","",IFERROR(IF(OR(IF(INDEX('Leads'!$A$8:$A$107,MATCH($A43,'Leads'!$AE$8:$AE$107,0))="","",INDEX('Leads'!$A$8:$A$107,MATCH($A43,'Leads'!$AE$8:$AE$107,0)))&lt;&gt;$B43,IF(INDEX('Leads'!$AF$8:$AF$107,MATCH($A43,'Leads'!$AE$8:$AE$107,0))="","",INDEX('Leads'!$AF$8:$AF$107,MATCH($A43,'Leads'!$AE$8:$AE$107,0)))&lt;&gt;$C43,IF(INDEX('Leads'!$AG$8:$AG$107,MATCH($A43,'Leads'!$AE$8:$AE$107,0))="","",INDEX('Leads'!$AG$8:$AG$107,MATCH($A43,'Leads'!$AE$8:$AE$107,0)))&lt;&gt;$D43,IF(INDEX('Leads'!$B$8:$B$107,MATCH($A43,'Leads'!$AE$8:$AE$107,0))="","",INDEX('Leads'!$B$8:$B$107,MATCH($A43,'Leads'!$AE$8:$AE$107,0)))&lt;&gt;$E43,IF(INDEX('Leads'!$C$8:$C$107,MATCH($A43,'Leads'!$AE$8:$AE$107,0))="","",INDEX('Leads'!$C$8:$C$107,MATCH($A43,'Leads'!$AE$8:$AE$107,0)))&lt;&gt;$F43,IF(INDEX('Leads'!$K$8:$K$107,MATCH($A43,'Leads'!$AE$8:$AE$107,0))="","",INDEX('Leads'!$K$8:$K$107,MATCH($A43,'Leads'!$AE$8:$AE$107,0)))&lt;&gt;$G43,IF(INDEX('Leads'!$L$8:$L$107,MATCH($A43,'Leads'!$AE$8:$AE$107,0))="","",INDEX('Leads'!$L$8:$L$107,MATCH($A43,'Leads'!$AE$8:$AE$107,0)))&lt;&gt;$H43,IF(INDEX('Leads'!$M$8:$M$107,MATCH($A43,'Leads'!$AE$8:$AE$107,0))="","",INDEX('Leads'!$M$8:$M$107,MATCH($A43,'Leads'!$AE$8:$AE$107,0)))&lt;&gt;$I43,IF(INDEX('Leads'!$N$8:$N$107,MATCH($A43,'Leads'!$AE$8:$AE$107,0))="","",INDEX('Leads'!$N$8:$N$107,MATCH($A43,'Leads'!$AE$8:$AE$107,0)))&lt;&gt;$J43,IF(INDEX('Leads'!$AH$8:$AH$107,MATCH($A43,'Leads'!$AE$8:$AE$107,0))="","",INDEX('Leads'!$AH$8:$AH$107,MATCH($A43,'Leads'!$AE$8:$AE$107,0)))&lt;&gt;$K43,IF(INDEX('Leads'!$D$8:$D$107,MATCH($A43,'Leads'!$AE$8:$AE$107,0))="","",INDEX('Leads'!$D$8:$D$107,MATCH($A43,'Leads'!$AE$8:$AE$107,0)))&lt;&gt;$L43,IF(INDEX('Leads'!$E$8:$E$107,MATCH($A43,'Leads'!$AE$8:$AE$107,0))="","",INDEX('Leads'!$E$8:$E$107,MATCH($A43,'Leads'!$AE$8:$AE$107,0)))&lt;&gt;$M43,IF(INDEX('Leads'!$AI$8:$AI$107,MATCH($A43,'Leads'!$AE$8:$AE$107,0))="","",INDEX('Leads'!$AI$8:$AI$107,MATCH($A43,'Leads'!$AE$8:$AE$107,0)))&lt;&gt;$N43,IF(INDEX('Leads'!$AJ$8:$AJ$107,MATCH($A43,'Leads'!$AE$8:$AE$107,0))="","",INDEX('Leads'!$AJ$8:$AJ$107,MATCH($A43,'Leads'!$AE$8:$AE$107,0)))&lt;&gt;$O43,IF(INDEX('Leads'!$AK$8:$AK$107,MATCH($A43,'Leads'!$AE$8:$AE$107,0))="","",INDEX('Leads'!$AK$8:$AK$107,MATCH($A43,'Leads'!$AE$8:$AE$107,0)))&lt;&gt;$P43,IF(INDEX('Leads'!$AL$8:$AL$107,MATCH($A43,'Leads'!$AE$8:$AE$107,0))="","",INDEX('Leads'!$AL$8:$AL$107,MATCH($A43,'Leads'!$AE$8:$AE$107,0)))&lt;&gt;$Q43,IF(INDEX('Leads'!$AM$8:$AM$107,MATCH($A43,'Leads'!$AE$8:$AE$107,0))="","",INDEX('Leads'!$AM$8:$AM$107,MATCH($A43,'Leads'!$AE$8:$AE$107,0)))&lt;&gt;$R43,IF(INDEX('Leads'!$AN$8:$AN$107,MATCH($A43,'Leads'!$AE$8:$AE$107,0))="","",INDEX('Leads'!$AN$8:$AN$107,MATCH($A43,'Leads'!$AE$8:$AE$107,0)))&lt;&gt;$S43,IF(INDEX('Leads'!$AO$8:$AO$107,MATCH($A43,'Leads'!$AE$8:$AE$107,0))="","",INDEX('Leads'!$AO$8:$AO$107,MATCH($A43,'Leads'!$AE$8:$AE$107,0)))&lt;&gt;$T43,IF(INDEX('Leads'!$AP$8:$AP$107,MATCH($A43,'Leads'!$AE$8:$AE$107,0))="","",INDEX('Leads'!$AP$8:$AP$107,MATCH($A43,'Leads'!$AE$8:$AE$107,0)))&lt;&gt;$U43,IF(INDEX('Leads'!$AQ$8:$AQ$107,MATCH($A43,'Leads'!$AE$8:$AE$107,0))="","",INDEX('Leads'!$AQ$8:$AQ$107,MATCH($A43,'Leads'!$AE$8:$AE$107,0)))&lt;&gt;$V43,IF(INDEX('Leads'!$AR$8:$AR$107,MATCH($A43,'Leads'!$AE$8:$AE$107,0))="","",INDEX('Leads'!$AR$8:$AR$107,MATCH($A43,'Leads'!$AE$8:$AE$107,0)))&lt;&gt;$W43,IF(INDEX('Leads'!$AS$8:$AS$107,MATCH($A43,'Leads'!$AE$8:$AE$107,0))="","",INDEX('Leads'!$AS$8:$AS$107,MATCH($A43,'Leads'!$AE$8:$AE$107,0)))&lt;&gt;$X43,IF(INDEX('Leads'!$AT$8:$AT$107,MATCH($A43,'Leads'!$AE$8:$AE$107,0))="","",INDEX('Leads'!$AT$8:$AT$107,MATCH($A43,'Leads'!$AE$8:$AE$107,0)))&lt;&gt;$Y43),"ข้อมูลรับเข้าต่าง — ตรวจเอง","ตรงกัน — ห้ามนำเข้าซ้ำ"),"ตรวจ Lead ID เดิม")))</x:f>
      </x:c>
    </x:row>
    <x:row r="44" ht="30" customHeight="1">
      <x:c r="A44" s="94"/>
      <x:c r="B44" s="94"/>
      <x:c r="C44" s="86"/>
      <x:c r="D44" s="32"/>
      <x:c r="E44" s="32"/>
      <x:c r="F44" s="32"/>
      <x:c r="G44" s="32"/>
      <x:c r="H44" s="94"/>
      <x:c r="I44" s="94"/>
      <x:c r="J44" s="94"/>
      <x:c r="K44" s="32"/>
      <x:c r="L44" s="32"/>
      <x:c r="M44" s="32"/>
      <x:c r="N44" s="32"/>
      <x:c r="O44" s="88"/>
      <x:c r="P44" s="32"/>
      <x:c r="Q44" s="32"/>
      <x:c r="R44" s="32"/>
      <x:c r="S44" s="32"/>
      <x:c r="T44" s="32"/>
      <x:c r="U44" s="32"/>
      <x:c r="V44" s="94"/>
      <x:c r="W44" s="32"/>
      <x:c r="X44" s="32"/>
      <x:c r="Y44" s="32"/>
      <x:c r="Z44" s="86"/>
      <x:c r="AA44" s="42" t="str">
        <x:f>IF(AND($A44="",$B44=""),"",IF(OR($A44="",$B44=""),"CHECK_INPUT",IF(OR($Y44="test",COUNTIF('Guide_Lists'!$AR$2:$AR$4,$B44)&gt;0),"TEST_DO_NOT_IMPORT",IF(OR(COUNTIF('Import_Staging'!$A$8:$A$107,$A44)&gt;1,COUNTIF('Import_Staging'!$B$8:$B$107,$B44)&gt;1),"DUPLICATE_IN_IMPORT",IF(COUNTIF('Leads'!$AE$8:$AE$107,$A44)&gt;0,"EXISTS",IF(COUNTIF('Leads'!$A$8:$A$107,$B44)&gt;0,"CHECK_INPUT",IF(AND($Y44="production",ISNUMBER($C44)),"NEW","CHECK_INPUT")))))))</x:f>
      </x:c>
      <x:c r="AB44" s="42" t="str">
        <x:f>IF($AA44="","",IF($AA44&lt;&gt;"EXISTS","",IFERROR(IF(OR(IF(INDEX('Leads'!$A$8:$A$107,MATCH($A44,'Leads'!$AE$8:$AE$107,0))="","",INDEX('Leads'!$A$8:$A$107,MATCH($A44,'Leads'!$AE$8:$AE$107,0)))&lt;&gt;$B44,IF(INDEX('Leads'!$AF$8:$AF$107,MATCH($A44,'Leads'!$AE$8:$AE$107,0))="","",INDEX('Leads'!$AF$8:$AF$107,MATCH($A44,'Leads'!$AE$8:$AE$107,0)))&lt;&gt;$C44,IF(INDEX('Leads'!$AG$8:$AG$107,MATCH($A44,'Leads'!$AE$8:$AE$107,0))="","",INDEX('Leads'!$AG$8:$AG$107,MATCH($A44,'Leads'!$AE$8:$AE$107,0)))&lt;&gt;$D44,IF(INDEX('Leads'!$B$8:$B$107,MATCH($A44,'Leads'!$AE$8:$AE$107,0))="","",INDEX('Leads'!$B$8:$B$107,MATCH($A44,'Leads'!$AE$8:$AE$107,0)))&lt;&gt;$E44,IF(INDEX('Leads'!$C$8:$C$107,MATCH($A44,'Leads'!$AE$8:$AE$107,0))="","",INDEX('Leads'!$C$8:$C$107,MATCH($A44,'Leads'!$AE$8:$AE$107,0)))&lt;&gt;$F44,IF(INDEX('Leads'!$K$8:$K$107,MATCH($A44,'Leads'!$AE$8:$AE$107,0))="","",INDEX('Leads'!$K$8:$K$107,MATCH($A44,'Leads'!$AE$8:$AE$107,0)))&lt;&gt;$G44,IF(INDEX('Leads'!$L$8:$L$107,MATCH($A44,'Leads'!$AE$8:$AE$107,0))="","",INDEX('Leads'!$L$8:$L$107,MATCH($A44,'Leads'!$AE$8:$AE$107,0)))&lt;&gt;$H44,IF(INDEX('Leads'!$M$8:$M$107,MATCH($A44,'Leads'!$AE$8:$AE$107,0))="","",INDEX('Leads'!$M$8:$M$107,MATCH($A44,'Leads'!$AE$8:$AE$107,0)))&lt;&gt;$I44,IF(INDEX('Leads'!$N$8:$N$107,MATCH($A44,'Leads'!$AE$8:$AE$107,0))="","",INDEX('Leads'!$N$8:$N$107,MATCH($A44,'Leads'!$AE$8:$AE$107,0)))&lt;&gt;$J44,IF(INDEX('Leads'!$AH$8:$AH$107,MATCH($A44,'Leads'!$AE$8:$AE$107,0))="","",INDEX('Leads'!$AH$8:$AH$107,MATCH($A44,'Leads'!$AE$8:$AE$107,0)))&lt;&gt;$K44,IF(INDEX('Leads'!$D$8:$D$107,MATCH($A44,'Leads'!$AE$8:$AE$107,0))="","",INDEX('Leads'!$D$8:$D$107,MATCH($A44,'Leads'!$AE$8:$AE$107,0)))&lt;&gt;$L44,IF(INDEX('Leads'!$E$8:$E$107,MATCH($A44,'Leads'!$AE$8:$AE$107,0))="","",INDEX('Leads'!$E$8:$E$107,MATCH($A44,'Leads'!$AE$8:$AE$107,0)))&lt;&gt;$M44,IF(INDEX('Leads'!$AI$8:$AI$107,MATCH($A44,'Leads'!$AE$8:$AE$107,0))="","",INDEX('Leads'!$AI$8:$AI$107,MATCH($A44,'Leads'!$AE$8:$AE$107,0)))&lt;&gt;$N44,IF(INDEX('Leads'!$AJ$8:$AJ$107,MATCH($A44,'Leads'!$AE$8:$AE$107,0))="","",INDEX('Leads'!$AJ$8:$AJ$107,MATCH($A44,'Leads'!$AE$8:$AE$107,0)))&lt;&gt;$O44,IF(INDEX('Leads'!$AK$8:$AK$107,MATCH($A44,'Leads'!$AE$8:$AE$107,0))="","",INDEX('Leads'!$AK$8:$AK$107,MATCH($A44,'Leads'!$AE$8:$AE$107,0)))&lt;&gt;$P44,IF(INDEX('Leads'!$AL$8:$AL$107,MATCH($A44,'Leads'!$AE$8:$AE$107,0))="","",INDEX('Leads'!$AL$8:$AL$107,MATCH($A44,'Leads'!$AE$8:$AE$107,0)))&lt;&gt;$Q44,IF(INDEX('Leads'!$AM$8:$AM$107,MATCH($A44,'Leads'!$AE$8:$AE$107,0))="","",INDEX('Leads'!$AM$8:$AM$107,MATCH($A44,'Leads'!$AE$8:$AE$107,0)))&lt;&gt;$R44,IF(INDEX('Leads'!$AN$8:$AN$107,MATCH($A44,'Leads'!$AE$8:$AE$107,0))="","",INDEX('Leads'!$AN$8:$AN$107,MATCH($A44,'Leads'!$AE$8:$AE$107,0)))&lt;&gt;$S44,IF(INDEX('Leads'!$AO$8:$AO$107,MATCH($A44,'Leads'!$AE$8:$AE$107,0))="","",INDEX('Leads'!$AO$8:$AO$107,MATCH($A44,'Leads'!$AE$8:$AE$107,0)))&lt;&gt;$T44,IF(INDEX('Leads'!$AP$8:$AP$107,MATCH($A44,'Leads'!$AE$8:$AE$107,0))="","",INDEX('Leads'!$AP$8:$AP$107,MATCH($A44,'Leads'!$AE$8:$AE$107,0)))&lt;&gt;$U44,IF(INDEX('Leads'!$AQ$8:$AQ$107,MATCH($A44,'Leads'!$AE$8:$AE$107,0))="","",INDEX('Leads'!$AQ$8:$AQ$107,MATCH($A44,'Leads'!$AE$8:$AE$107,0)))&lt;&gt;$V44,IF(INDEX('Leads'!$AR$8:$AR$107,MATCH($A44,'Leads'!$AE$8:$AE$107,0))="","",INDEX('Leads'!$AR$8:$AR$107,MATCH($A44,'Leads'!$AE$8:$AE$107,0)))&lt;&gt;$W44,IF(INDEX('Leads'!$AS$8:$AS$107,MATCH($A44,'Leads'!$AE$8:$AE$107,0))="","",INDEX('Leads'!$AS$8:$AS$107,MATCH($A44,'Leads'!$AE$8:$AE$107,0)))&lt;&gt;$X44,IF(INDEX('Leads'!$AT$8:$AT$107,MATCH($A44,'Leads'!$AE$8:$AE$107,0))="","",INDEX('Leads'!$AT$8:$AT$107,MATCH($A44,'Leads'!$AE$8:$AE$107,0)))&lt;&gt;$Y44),"ข้อมูลรับเข้าต่าง — ตรวจเอง","ตรงกัน — ห้ามนำเข้าซ้ำ"),"ตรวจ Lead ID เดิม")))</x:f>
      </x:c>
    </x:row>
    <x:row r="45" ht="30" customHeight="1">
      <x:c r="A45" s="94"/>
      <x:c r="B45" s="94"/>
      <x:c r="C45" s="86"/>
      <x:c r="D45" s="32"/>
      <x:c r="E45" s="32"/>
      <x:c r="F45" s="32"/>
      <x:c r="G45" s="32"/>
      <x:c r="H45" s="94"/>
      <x:c r="I45" s="94"/>
      <x:c r="J45" s="94"/>
      <x:c r="K45" s="32"/>
      <x:c r="L45" s="32"/>
      <x:c r="M45" s="32"/>
      <x:c r="N45" s="32"/>
      <x:c r="O45" s="88"/>
      <x:c r="P45" s="32"/>
      <x:c r="Q45" s="32"/>
      <x:c r="R45" s="32"/>
      <x:c r="S45" s="32"/>
      <x:c r="T45" s="32"/>
      <x:c r="U45" s="32"/>
      <x:c r="V45" s="94"/>
      <x:c r="W45" s="32"/>
      <x:c r="X45" s="32"/>
      <x:c r="Y45" s="32"/>
      <x:c r="Z45" s="86"/>
      <x:c r="AA45" s="42" t="str">
        <x:f>IF(AND($A45="",$B45=""),"",IF(OR($A45="",$B45=""),"CHECK_INPUT",IF(OR($Y45="test",COUNTIF('Guide_Lists'!$AR$2:$AR$4,$B45)&gt;0),"TEST_DO_NOT_IMPORT",IF(OR(COUNTIF('Import_Staging'!$A$8:$A$107,$A45)&gt;1,COUNTIF('Import_Staging'!$B$8:$B$107,$B45)&gt;1),"DUPLICATE_IN_IMPORT",IF(COUNTIF('Leads'!$AE$8:$AE$107,$A45)&gt;0,"EXISTS",IF(COUNTIF('Leads'!$A$8:$A$107,$B45)&gt;0,"CHECK_INPUT",IF(AND($Y45="production",ISNUMBER($C45)),"NEW","CHECK_INPUT")))))))</x:f>
      </x:c>
      <x:c r="AB45" s="42" t="str">
        <x:f>IF($AA45="","",IF($AA45&lt;&gt;"EXISTS","",IFERROR(IF(OR(IF(INDEX('Leads'!$A$8:$A$107,MATCH($A45,'Leads'!$AE$8:$AE$107,0))="","",INDEX('Leads'!$A$8:$A$107,MATCH($A45,'Leads'!$AE$8:$AE$107,0)))&lt;&gt;$B45,IF(INDEX('Leads'!$AF$8:$AF$107,MATCH($A45,'Leads'!$AE$8:$AE$107,0))="","",INDEX('Leads'!$AF$8:$AF$107,MATCH($A45,'Leads'!$AE$8:$AE$107,0)))&lt;&gt;$C45,IF(INDEX('Leads'!$AG$8:$AG$107,MATCH($A45,'Leads'!$AE$8:$AE$107,0))="","",INDEX('Leads'!$AG$8:$AG$107,MATCH($A45,'Leads'!$AE$8:$AE$107,0)))&lt;&gt;$D45,IF(INDEX('Leads'!$B$8:$B$107,MATCH($A45,'Leads'!$AE$8:$AE$107,0))="","",INDEX('Leads'!$B$8:$B$107,MATCH($A45,'Leads'!$AE$8:$AE$107,0)))&lt;&gt;$E45,IF(INDEX('Leads'!$C$8:$C$107,MATCH($A45,'Leads'!$AE$8:$AE$107,0))="","",INDEX('Leads'!$C$8:$C$107,MATCH($A45,'Leads'!$AE$8:$AE$107,0)))&lt;&gt;$F45,IF(INDEX('Leads'!$K$8:$K$107,MATCH($A45,'Leads'!$AE$8:$AE$107,0))="","",INDEX('Leads'!$K$8:$K$107,MATCH($A45,'Leads'!$AE$8:$AE$107,0)))&lt;&gt;$G45,IF(INDEX('Leads'!$L$8:$L$107,MATCH($A45,'Leads'!$AE$8:$AE$107,0))="","",INDEX('Leads'!$L$8:$L$107,MATCH($A45,'Leads'!$AE$8:$AE$107,0)))&lt;&gt;$H45,IF(INDEX('Leads'!$M$8:$M$107,MATCH($A45,'Leads'!$AE$8:$AE$107,0))="","",INDEX('Leads'!$M$8:$M$107,MATCH($A45,'Leads'!$AE$8:$AE$107,0)))&lt;&gt;$I45,IF(INDEX('Leads'!$N$8:$N$107,MATCH($A45,'Leads'!$AE$8:$AE$107,0))="","",INDEX('Leads'!$N$8:$N$107,MATCH($A45,'Leads'!$AE$8:$AE$107,0)))&lt;&gt;$J45,IF(INDEX('Leads'!$AH$8:$AH$107,MATCH($A45,'Leads'!$AE$8:$AE$107,0))="","",INDEX('Leads'!$AH$8:$AH$107,MATCH($A45,'Leads'!$AE$8:$AE$107,0)))&lt;&gt;$K45,IF(INDEX('Leads'!$D$8:$D$107,MATCH($A45,'Leads'!$AE$8:$AE$107,0))="","",INDEX('Leads'!$D$8:$D$107,MATCH($A45,'Leads'!$AE$8:$AE$107,0)))&lt;&gt;$L45,IF(INDEX('Leads'!$E$8:$E$107,MATCH($A45,'Leads'!$AE$8:$AE$107,0))="","",INDEX('Leads'!$E$8:$E$107,MATCH($A45,'Leads'!$AE$8:$AE$107,0)))&lt;&gt;$M45,IF(INDEX('Leads'!$AI$8:$AI$107,MATCH($A45,'Leads'!$AE$8:$AE$107,0))="","",INDEX('Leads'!$AI$8:$AI$107,MATCH($A45,'Leads'!$AE$8:$AE$107,0)))&lt;&gt;$N45,IF(INDEX('Leads'!$AJ$8:$AJ$107,MATCH($A45,'Leads'!$AE$8:$AE$107,0))="","",INDEX('Leads'!$AJ$8:$AJ$107,MATCH($A45,'Leads'!$AE$8:$AE$107,0)))&lt;&gt;$O45,IF(INDEX('Leads'!$AK$8:$AK$107,MATCH($A45,'Leads'!$AE$8:$AE$107,0))="","",INDEX('Leads'!$AK$8:$AK$107,MATCH($A45,'Leads'!$AE$8:$AE$107,0)))&lt;&gt;$P45,IF(INDEX('Leads'!$AL$8:$AL$107,MATCH($A45,'Leads'!$AE$8:$AE$107,0))="","",INDEX('Leads'!$AL$8:$AL$107,MATCH($A45,'Leads'!$AE$8:$AE$107,0)))&lt;&gt;$Q45,IF(INDEX('Leads'!$AM$8:$AM$107,MATCH($A45,'Leads'!$AE$8:$AE$107,0))="","",INDEX('Leads'!$AM$8:$AM$107,MATCH($A45,'Leads'!$AE$8:$AE$107,0)))&lt;&gt;$R45,IF(INDEX('Leads'!$AN$8:$AN$107,MATCH($A45,'Leads'!$AE$8:$AE$107,0))="","",INDEX('Leads'!$AN$8:$AN$107,MATCH($A45,'Leads'!$AE$8:$AE$107,0)))&lt;&gt;$S45,IF(INDEX('Leads'!$AO$8:$AO$107,MATCH($A45,'Leads'!$AE$8:$AE$107,0))="","",INDEX('Leads'!$AO$8:$AO$107,MATCH($A45,'Leads'!$AE$8:$AE$107,0)))&lt;&gt;$T45,IF(INDEX('Leads'!$AP$8:$AP$107,MATCH($A45,'Leads'!$AE$8:$AE$107,0))="","",INDEX('Leads'!$AP$8:$AP$107,MATCH($A45,'Leads'!$AE$8:$AE$107,0)))&lt;&gt;$U45,IF(INDEX('Leads'!$AQ$8:$AQ$107,MATCH($A45,'Leads'!$AE$8:$AE$107,0))="","",INDEX('Leads'!$AQ$8:$AQ$107,MATCH($A45,'Leads'!$AE$8:$AE$107,0)))&lt;&gt;$V45,IF(INDEX('Leads'!$AR$8:$AR$107,MATCH($A45,'Leads'!$AE$8:$AE$107,0))="","",INDEX('Leads'!$AR$8:$AR$107,MATCH($A45,'Leads'!$AE$8:$AE$107,0)))&lt;&gt;$W45,IF(INDEX('Leads'!$AS$8:$AS$107,MATCH($A45,'Leads'!$AE$8:$AE$107,0))="","",INDEX('Leads'!$AS$8:$AS$107,MATCH($A45,'Leads'!$AE$8:$AE$107,0)))&lt;&gt;$X45,IF(INDEX('Leads'!$AT$8:$AT$107,MATCH($A45,'Leads'!$AE$8:$AE$107,0))="","",INDEX('Leads'!$AT$8:$AT$107,MATCH($A45,'Leads'!$AE$8:$AE$107,0)))&lt;&gt;$Y45),"ข้อมูลรับเข้าต่าง — ตรวจเอง","ตรงกัน — ห้ามนำเข้าซ้ำ"),"ตรวจ Lead ID เดิม")))</x:f>
      </x:c>
    </x:row>
    <x:row r="46" ht="30" customHeight="1">
      <x:c r="A46" s="94"/>
      <x:c r="B46" s="94"/>
      <x:c r="C46" s="86"/>
      <x:c r="D46" s="32"/>
      <x:c r="E46" s="32"/>
      <x:c r="F46" s="32"/>
      <x:c r="G46" s="32"/>
      <x:c r="H46" s="94"/>
      <x:c r="I46" s="94"/>
      <x:c r="J46" s="94"/>
      <x:c r="K46" s="32"/>
      <x:c r="L46" s="32"/>
      <x:c r="M46" s="32"/>
      <x:c r="N46" s="32"/>
      <x:c r="O46" s="88"/>
      <x:c r="P46" s="32"/>
      <x:c r="Q46" s="32"/>
      <x:c r="R46" s="32"/>
      <x:c r="S46" s="32"/>
      <x:c r="T46" s="32"/>
      <x:c r="U46" s="32"/>
      <x:c r="V46" s="94"/>
      <x:c r="W46" s="32"/>
      <x:c r="X46" s="32"/>
      <x:c r="Y46" s="32"/>
      <x:c r="Z46" s="86"/>
      <x:c r="AA46" s="42" t="str">
        <x:f>IF(AND($A46="",$B46=""),"",IF(OR($A46="",$B46=""),"CHECK_INPUT",IF(OR($Y46="test",COUNTIF('Guide_Lists'!$AR$2:$AR$4,$B46)&gt;0),"TEST_DO_NOT_IMPORT",IF(OR(COUNTIF('Import_Staging'!$A$8:$A$107,$A46)&gt;1,COUNTIF('Import_Staging'!$B$8:$B$107,$B46)&gt;1),"DUPLICATE_IN_IMPORT",IF(COUNTIF('Leads'!$AE$8:$AE$107,$A46)&gt;0,"EXISTS",IF(COUNTIF('Leads'!$A$8:$A$107,$B46)&gt;0,"CHECK_INPUT",IF(AND($Y46="production",ISNUMBER($C46)),"NEW","CHECK_INPUT")))))))</x:f>
      </x:c>
      <x:c r="AB46" s="42" t="str">
        <x:f>IF($AA46="","",IF($AA46&lt;&gt;"EXISTS","",IFERROR(IF(OR(IF(INDEX('Leads'!$A$8:$A$107,MATCH($A46,'Leads'!$AE$8:$AE$107,0))="","",INDEX('Leads'!$A$8:$A$107,MATCH($A46,'Leads'!$AE$8:$AE$107,0)))&lt;&gt;$B46,IF(INDEX('Leads'!$AF$8:$AF$107,MATCH($A46,'Leads'!$AE$8:$AE$107,0))="","",INDEX('Leads'!$AF$8:$AF$107,MATCH($A46,'Leads'!$AE$8:$AE$107,0)))&lt;&gt;$C46,IF(INDEX('Leads'!$AG$8:$AG$107,MATCH($A46,'Leads'!$AE$8:$AE$107,0))="","",INDEX('Leads'!$AG$8:$AG$107,MATCH($A46,'Leads'!$AE$8:$AE$107,0)))&lt;&gt;$D46,IF(INDEX('Leads'!$B$8:$B$107,MATCH($A46,'Leads'!$AE$8:$AE$107,0))="","",INDEX('Leads'!$B$8:$B$107,MATCH($A46,'Leads'!$AE$8:$AE$107,0)))&lt;&gt;$E46,IF(INDEX('Leads'!$C$8:$C$107,MATCH($A46,'Leads'!$AE$8:$AE$107,0))="","",INDEX('Leads'!$C$8:$C$107,MATCH($A46,'Leads'!$AE$8:$AE$107,0)))&lt;&gt;$F46,IF(INDEX('Leads'!$K$8:$K$107,MATCH($A46,'Leads'!$AE$8:$AE$107,0))="","",INDEX('Leads'!$K$8:$K$107,MATCH($A46,'Leads'!$AE$8:$AE$107,0)))&lt;&gt;$G46,IF(INDEX('Leads'!$L$8:$L$107,MATCH($A46,'Leads'!$AE$8:$AE$107,0))="","",INDEX('Leads'!$L$8:$L$107,MATCH($A46,'Leads'!$AE$8:$AE$107,0)))&lt;&gt;$H46,IF(INDEX('Leads'!$M$8:$M$107,MATCH($A46,'Leads'!$AE$8:$AE$107,0))="","",INDEX('Leads'!$M$8:$M$107,MATCH($A46,'Leads'!$AE$8:$AE$107,0)))&lt;&gt;$I46,IF(INDEX('Leads'!$N$8:$N$107,MATCH($A46,'Leads'!$AE$8:$AE$107,0))="","",INDEX('Leads'!$N$8:$N$107,MATCH($A46,'Leads'!$AE$8:$AE$107,0)))&lt;&gt;$J46,IF(INDEX('Leads'!$AH$8:$AH$107,MATCH($A46,'Leads'!$AE$8:$AE$107,0))="","",INDEX('Leads'!$AH$8:$AH$107,MATCH($A46,'Leads'!$AE$8:$AE$107,0)))&lt;&gt;$K46,IF(INDEX('Leads'!$D$8:$D$107,MATCH($A46,'Leads'!$AE$8:$AE$107,0))="","",INDEX('Leads'!$D$8:$D$107,MATCH($A46,'Leads'!$AE$8:$AE$107,0)))&lt;&gt;$L46,IF(INDEX('Leads'!$E$8:$E$107,MATCH($A46,'Leads'!$AE$8:$AE$107,0))="","",INDEX('Leads'!$E$8:$E$107,MATCH($A46,'Leads'!$AE$8:$AE$107,0)))&lt;&gt;$M46,IF(INDEX('Leads'!$AI$8:$AI$107,MATCH($A46,'Leads'!$AE$8:$AE$107,0))="","",INDEX('Leads'!$AI$8:$AI$107,MATCH($A46,'Leads'!$AE$8:$AE$107,0)))&lt;&gt;$N46,IF(INDEX('Leads'!$AJ$8:$AJ$107,MATCH($A46,'Leads'!$AE$8:$AE$107,0))="","",INDEX('Leads'!$AJ$8:$AJ$107,MATCH($A46,'Leads'!$AE$8:$AE$107,0)))&lt;&gt;$O46,IF(INDEX('Leads'!$AK$8:$AK$107,MATCH($A46,'Leads'!$AE$8:$AE$107,0))="","",INDEX('Leads'!$AK$8:$AK$107,MATCH($A46,'Leads'!$AE$8:$AE$107,0)))&lt;&gt;$P46,IF(INDEX('Leads'!$AL$8:$AL$107,MATCH($A46,'Leads'!$AE$8:$AE$107,0))="","",INDEX('Leads'!$AL$8:$AL$107,MATCH($A46,'Leads'!$AE$8:$AE$107,0)))&lt;&gt;$Q46,IF(INDEX('Leads'!$AM$8:$AM$107,MATCH($A46,'Leads'!$AE$8:$AE$107,0))="","",INDEX('Leads'!$AM$8:$AM$107,MATCH($A46,'Leads'!$AE$8:$AE$107,0)))&lt;&gt;$R46,IF(INDEX('Leads'!$AN$8:$AN$107,MATCH($A46,'Leads'!$AE$8:$AE$107,0))="","",INDEX('Leads'!$AN$8:$AN$107,MATCH($A46,'Leads'!$AE$8:$AE$107,0)))&lt;&gt;$S46,IF(INDEX('Leads'!$AO$8:$AO$107,MATCH($A46,'Leads'!$AE$8:$AE$107,0))="","",INDEX('Leads'!$AO$8:$AO$107,MATCH($A46,'Leads'!$AE$8:$AE$107,0)))&lt;&gt;$T46,IF(INDEX('Leads'!$AP$8:$AP$107,MATCH($A46,'Leads'!$AE$8:$AE$107,0))="","",INDEX('Leads'!$AP$8:$AP$107,MATCH($A46,'Leads'!$AE$8:$AE$107,0)))&lt;&gt;$U46,IF(INDEX('Leads'!$AQ$8:$AQ$107,MATCH($A46,'Leads'!$AE$8:$AE$107,0))="","",INDEX('Leads'!$AQ$8:$AQ$107,MATCH($A46,'Leads'!$AE$8:$AE$107,0)))&lt;&gt;$V46,IF(INDEX('Leads'!$AR$8:$AR$107,MATCH($A46,'Leads'!$AE$8:$AE$107,0))="","",INDEX('Leads'!$AR$8:$AR$107,MATCH($A46,'Leads'!$AE$8:$AE$107,0)))&lt;&gt;$W46,IF(INDEX('Leads'!$AS$8:$AS$107,MATCH($A46,'Leads'!$AE$8:$AE$107,0))="","",INDEX('Leads'!$AS$8:$AS$107,MATCH($A46,'Leads'!$AE$8:$AE$107,0)))&lt;&gt;$X46,IF(INDEX('Leads'!$AT$8:$AT$107,MATCH($A46,'Leads'!$AE$8:$AE$107,0))="","",INDEX('Leads'!$AT$8:$AT$107,MATCH($A46,'Leads'!$AE$8:$AE$107,0)))&lt;&gt;$Y46),"ข้อมูลรับเข้าต่าง — ตรวจเอง","ตรงกัน — ห้ามนำเข้าซ้ำ"),"ตรวจ Lead ID เดิม")))</x:f>
      </x:c>
    </x:row>
    <x:row r="47" ht="30" customHeight="1">
      <x:c r="A47" s="94"/>
      <x:c r="B47" s="94"/>
      <x:c r="C47" s="86"/>
      <x:c r="D47" s="32"/>
      <x:c r="E47" s="32"/>
      <x:c r="F47" s="32"/>
      <x:c r="G47" s="32"/>
      <x:c r="H47" s="94"/>
      <x:c r="I47" s="94"/>
      <x:c r="J47" s="94"/>
      <x:c r="K47" s="32"/>
      <x:c r="L47" s="32"/>
      <x:c r="M47" s="32"/>
      <x:c r="N47" s="32"/>
      <x:c r="O47" s="88"/>
      <x:c r="P47" s="32"/>
      <x:c r="Q47" s="32"/>
      <x:c r="R47" s="32"/>
      <x:c r="S47" s="32"/>
      <x:c r="T47" s="32"/>
      <x:c r="U47" s="32"/>
      <x:c r="V47" s="94"/>
      <x:c r="W47" s="32"/>
      <x:c r="X47" s="32"/>
      <x:c r="Y47" s="32"/>
      <x:c r="Z47" s="86"/>
      <x:c r="AA47" s="42" t="str">
        <x:f>IF(AND($A47="",$B47=""),"",IF(OR($A47="",$B47=""),"CHECK_INPUT",IF(OR($Y47="test",COUNTIF('Guide_Lists'!$AR$2:$AR$4,$B47)&gt;0),"TEST_DO_NOT_IMPORT",IF(OR(COUNTIF('Import_Staging'!$A$8:$A$107,$A47)&gt;1,COUNTIF('Import_Staging'!$B$8:$B$107,$B47)&gt;1),"DUPLICATE_IN_IMPORT",IF(COUNTIF('Leads'!$AE$8:$AE$107,$A47)&gt;0,"EXISTS",IF(COUNTIF('Leads'!$A$8:$A$107,$B47)&gt;0,"CHECK_INPUT",IF(AND($Y47="production",ISNUMBER($C47)),"NEW","CHECK_INPUT")))))))</x:f>
      </x:c>
      <x:c r="AB47" s="42" t="str">
        <x:f>IF($AA47="","",IF($AA47&lt;&gt;"EXISTS","",IFERROR(IF(OR(IF(INDEX('Leads'!$A$8:$A$107,MATCH($A47,'Leads'!$AE$8:$AE$107,0))="","",INDEX('Leads'!$A$8:$A$107,MATCH($A47,'Leads'!$AE$8:$AE$107,0)))&lt;&gt;$B47,IF(INDEX('Leads'!$AF$8:$AF$107,MATCH($A47,'Leads'!$AE$8:$AE$107,0))="","",INDEX('Leads'!$AF$8:$AF$107,MATCH($A47,'Leads'!$AE$8:$AE$107,0)))&lt;&gt;$C47,IF(INDEX('Leads'!$AG$8:$AG$107,MATCH($A47,'Leads'!$AE$8:$AE$107,0))="","",INDEX('Leads'!$AG$8:$AG$107,MATCH($A47,'Leads'!$AE$8:$AE$107,0)))&lt;&gt;$D47,IF(INDEX('Leads'!$B$8:$B$107,MATCH($A47,'Leads'!$AE$8:$AE$107,0))="","",INDEX('Leads'!$B$8:$B$107,MATCH($A47,'Leads'!$AE$8:$AE$107,0)))&lt;&gt;$E47,IF(INDEX('Leads'!$C$8:$C$107,MATCH($A47,'Leads'!$AE$8:$AE$107,0))="","",INDEX('Leads'!$C$8:$C$107,MATCH($A47,'Leads'!$AE$8:$AE$107,0)))&lt;&gt;$F47,IF(INDEX('Leads'!$K$8:$K$107,MATCH($A47,'Leads'!$AE$8:$AE$107,0))="","",INDEX('Leads'!$K$8:$K$107,MATCH($A47,'Leads'!$AE$8:$AE$107,0)))&lt;&gt;$G47,IF(INDEX('Leads'!$L$8:$L$107,MATCH($A47,'Leads'!$AE$8:$AE$107,0))="","",INDEX('Leads'!$L$8:$L$107,MATCH($A47,'Leads'!$AE$8:$AE$107,0)))&lt;&gt;$H47,IF(INDEX('Leads'!$M$8:$M$107,MATCH($A47,'Leads'!$AE$8:$AE$107,0))="","",INDEX('Leads'!$M$8:$M$107,MATCH($A47,'Leads'!$AE$8:$AE$107,0)))&lt;&gt;$I47,IF(INDEX('Leads'!$N$8:$N$107,MATCH($A47,'Leads'!$AE$8:$AE$107,0))="","",INDEX('Leads'!$N$8:$N$107,MATCH($A47,'Leads'!$AE$8:$AE$107,0)))&lt;&gt;$J47,IF(INDEX('Leads'!$AH$8:$AH$107,MATCH($A47,'Leads'!$AE$8:$AE$107,0))="","",INDEX('Leads'!$AH$8:$AH$107,MATCH($A47,'Leads'!$AE$8:$AE$107,0)))&lt;&gt;$K47,IF(INDEX('Leads'!$D$8:$D$107,MATCH($A47,'Leads'!$AE$8:$AE$107,0))="","",INDEX('Leads'!$D$8:$D$107,MATCH($A47,'Leads'!$AE$8:$AE$107,0)))&lt;&gt;$L47,IF(INDEX('Leads'!$E$8:$E$107,MATCH($A47,'Leads'!$AE$8:$AE$107,0))="","",INDEX('Leads'!$E$8:$E$107,MATCH($A47,'Leads'!$AE$8:$AE$107,0)))&lt;&gt;$M47,IF(INDEX('Leads'!$AI$8:$AI$107,MATCH($A47,'Leads'!$AE$8:$AE$107,0))="","",INDEX('Leads'!$AI$8:$AI$107,MATCH($A47,'Leads'!$AE$8:$AE$107,0)))&lt;&gt;$N47,IF(INDEX('Leads'!$AJ$8:$AJ$107,MATCH($A47,'Leads'!$AE$8:$AE$107,0))="","",INDEX('Leads'!$AJ$8:$AJ$107,MATCH($A47,'Leads'!$AE$8:$AE$107,0)))&lt;&gt;$O47,IF(INDEX('Leads'!$AK$8:$AK$107,MATCH($A47,'Leads'!$AE$8:$AE$107,0))="","",INDEX('Leads'!$AK$8:$AK$107,MATCH($A47,'Leads'!$AE$8:$AE$107,0)))&lt;&gt;$P47,IF(INDEX('Leads'!$AL$8:$AL$107,MATCH($A47,'Leads'!$AE$8:$AE$107,0))="","",INDEX('Leads'!$AL$8:$AL$107,MATCH($A47,'Leads'!$AE$8:$AE$107,0)))&lt;&gt;$Q47,IF(INDEX('Leads'!$AM$8:$AM$107,MATCH($A47,'Leads'!$AE$8:$AE$107,0))="","",INDEX('Leads'!$AM$8:$AM$107,MATCH($A47,'Leads'!$AE$8:$AE$107,0)))&lt;&gt;$R47,IF(INDEX('Leads'!$AN$8:$AN$107,MATCH($A47,'Leads'!$AE$8:$AE$107,0))="","",INDEX('Leads'!$AN$8:$AN$107,MATCH($A47,'Leads'!$AE$8:$AE$107,0)))&lt;&gt;$S47,IF(INDEX('Leads'!$AO$8:$AO$107,MATCH($A47,'Leads'!$AE$8:$AE$107,0))="","",INDEX('Leads'!$AO$8:$AO$107,MATCH($A47,'Leads'!$AE$8:$AE$107,0)))&lt;&gt;$T47,IF(INDEX('Leads'!$AP$8:$AP$107,MATCH($A47,'Leads'!$AE$8:$AE$107,0))="","",INDEX('Leads'!$AP$8:$AP$107,MATCH($A47,'Leads'!$AE$8:$AE$107,0)))&lt;&gt;$U47,IF(INDEX('Leads'!$AQ$8:$AQ$107,MATCH($A47,'Leads'!$AE$8:$AE$107,0))="","",INDEX('Leads'!$AQ$8:$AQ$107,MATCH($A47,'Leads'!$AE$8:$AE$107,0)))&lt;&gt;$V47,IF(INDEX('Leads'!$AR$8:$AR$107,MATCH($A47,'Leads'!$AE$8:$AE$107,0))="","",INDEX('Leads'!$AR$8:$AR$107,MATCH($A47,'Leads'!$AE$8:$AE$107,0)))&lt;&gt;$W47,IF(INDEX('Leads'!$AS$8:$AS$107,MATCH($A47,'Leads'!$AE$8:$AE$107,0))="","",INDEX('Leads'!$AS$8:$AS$107,MATCH($A47,'Leads'!$AE$8:$AE$107,0)))&lt;&gt;$X47,IF(INDEX('Leads'!$AT$8:$AT$107,MATCH($A47,'Leads'!$AE$8:$AE$107,0))="","",INDEX('Leads'!$AT$8:$AT$107,MATCH($A47,'Leads'!$AE$8:$AE$107,0)))&lt;&gt;$Y47),"ข้อมูลรับเข้าต่าง — ตรวจเอง","ตรงกัน — ห้ามนำเข้าซ้ำ"),"ตรวจ Lead ID เดิม")))</x:f>
      </x:c>
    </x:row>
    <x:row r="48" ht="30" customHeight="1">
      <x:c r="A48" s="94"/>
      <x:c r="B48" s="94"/>
      <x:c r="C48" s="86"/>
      <x:c r="D48" s="32"/>
      <x:c r="E48" s="32"/>
      <x:c r="F48" s="32"/>
      <x:c r="G48" s="32"/>
      <x:c r="H48" s="94"/>
      <x:c r="I48" s="94"/>
      <x:c r="J48" s="94"/>
      <x:c r="K48" s="32"/>
      <x:c r="L48" s="32"/>
      <x:c r="M48" s="32"/>
      <x:c r="N48" s="32"/>
      <x:c r="O48" s="88"/>
      <x:c r="P48" s="32"/>
      <x:c r="Q48" s="32"/>
      <x:c r="R48" s="32"/>
      <x:c r="S48" s="32"/>
      <x:c r="T48" s="32"/>
      <x:c r="U48" s="32"/>
      <x:c r="V48" s="94"/>
      <x:c r="W48" s="32"/>
      <x:c r="X48" s="32"/>
      <x:c r="Y48" s="32"/>
      <x:c r="Z48" s="86"/>
      <x:c r="AA48" s="42" t="str">
        <x:f>IF(AND($A48="",$B48=""),"",IF(OR($A48="",$B48=""),"CHECK_INPUT",IF(OR($Y48="test",COUNTIF('Guide_Lists'!$AR$2:$AR$4,$B48)&gt;0),"TEST_DO_NOT_IMPORT",IF(OR(COUNTIF('Import_Staging'!$A$8:$A$107,$A48)&gt;1,COUNTIF('Import_Staging'!$B$8:$B$107,$B48)&gt;1),"DUPLICATE_IN_IMPORT",IF(COUNTIF('Leads'!$AE$8:$AE$107,$A48)&gt;0,"EXISTS",IF(COUNTIF('Leads'!$A$8:$A$107,$B48)&gt;0,"CHECK_INPUT",IF(AND($Y48="production",ISNUMBER($C48)),"NEW","CHECK_INPUT")))))))</x:f>
      </x:c>
      <x:c r="AB48" s="42" t="str">
        <x:f>IF($AA48="","",IF($AA48&lt;&gt;"EXISTS","",IFERROR(IF(OR(IF(INDEX('Leads'!$A$8:$A$107,MATCH($A48,'Leads'!$AE$8:$AE$107,0))="","",INDEX('Leads'!$A$8:$A$107,MATCH($A48,'Leads'!$AE$8:$AE$107,0)))&lt;&gt;$B48,IF(INDEX('Leads'!$AF$8:$AF$107,MATCH($A48,'Leads'!$AE$8:$AE$107,0))="","",INDEX('Leads'!$AF$8:$AF$107,MATCH($A48,'Leads'!$AE$8:$AE$107,0)))&lt;&gt;$C48,IF(INDEX('Leads'!$AG$8:$AG$107,MATCH($A48,'Leads'!$AE$8:$AE$107,0))="","",INDEX('Leads'!$AG$8:$AG$107,MATCH($A48,'Leads'!$AE$8:$AE$107,0)))&lt;&gt;$D48,IF(INDEX('Leads'!$B$8:$B$107,MATCH($A48,'Leads'!$AE$8:$AE$107,0))="","",INDEX('Leads'!$B$8:$B$107,MATCH($A48,'Leads'!$AE$8:$AE$107,0)))&lt;&gt;$E48,IF(INDEX('Leads'!$C$8:$C$107,MATCH($A48,'Leads'!$AE$8:$AE$107,0))="","",INDEX('Leads'!$C$8:$C$107,MATCH($A48,'Leads'!$AE$8:$AE$107,0)))&lt;&gt;$F48,IF(INDEX('Leads'!$K$8:$K$107,MATCH($A48,'Leads'!$AE$8:$AE$107,0))="","",INDEX('Leads'!$K$8:$K$107,MATCH($A48,'Leads'!$AE$8:$AE$107,0)))&lt;&gt;$G48,IF(INDEX('Leads'!$L$8:$L$107,MATCH($A48,'Leads'!$AE$8:$AE$107,0))="","",INDEX('Leads'!$L$8:$L$107,MATCH($A48,'Leads'!$AE$8:$AE$107,0)))&lt;&gt;$H48,IF(INDEX('Leads'!$M$8:$M$107,MATCH($A48,'Leads'!$AE$8:$AE$107,0))="","",INDEX('Leads'!$M$8:$M$107,MATCH($A48,'Leads'!$AE$8:$AE$107,0)))&lt;&gt;$I48,IF(INDEX('Leads'!$N$8:$N$107,MATCH($A48,'Leads'!$AE$8:$AE$107,0))="","",INDEX('Leads'!$N$8:$N$107,MATCH($A48,'Leads'!$AE$8:$AE$107,0)))&lt;&gt;$J48,IF(INDEX('Leads'!$AH$8:$AH$107,MATCH($A48,'Leads'!$AE$8:$AE$107,0))="","",INDEX('Leads'!$AH$8:$AH$107,MATCH($A48,'Leads'!$AE$8:$AE$107,0)))&lt;&gt;$K48,IF(INDEX('Leads'!$D$8:$D$107,MATCH($A48,'Leads'!$AE$8:$AE$107,0))="","",INDEX('Leads'!$D$8:$D$107,MATCH($A48,'Leads'!$AE$8:$AE$107,0)))&lt;&gt;$L48,IF(INDEX('Leads'!$E$8:$E$107,MATCH($A48,'Leads'!$AE$8:$AE$107,0))="","",INDEX('Leads'!$E$8:$E$107,MATCH($A48,'Leads'!$AE$8:$AE$107,0)))&lt;&gt;$M48,IF(INDEX('Leads'!$AI$8:$AI$107,MATCH($A48,'Leads'!$AE$8:$AE$107,0))="","",INDEX('Leads'!$AI$8:$AI$107,MATCH($A48,'Leads'!$AE$8:$AE$107,0)))&lt;&gt;$N48,IF(INDEX('Leads'!$AJ$8:$AJ$107,MATCH($A48,'Leads'!$AE$8:$AE$107,0))="","",INDEX('Leads'!$AJ$8:$AJ$107,MATCH($A48,'Leads'!$AE$8:$AE$107,0)))&lt;&gt;$O48,IF(INDEX('Leads'!$AK$8:$AK$107,MATCH($A48,'Leads'!$AE$8:$AE$107,0))="","",INDEX('Leads'!$AK$8:$AK$107,MATCH($A48,'Leads'!$AE$8:$AE$107,0)))&lt;&gt;$P48,IF(INDEX('Leads'!$AL$8:$AL$107,MATCH($A48,'Leads'!$AE$8:$AE$107,0))="","",INDEX('Leads'!$AL$8:$AL$107,MATCH($A48,'Leads'!$AE$8:$AE$107,0)))&lt;&gt;$Q48,IF(INDEX('Leads'!$AM$8:$AM$107,MATCH($A48,'Leads'!$AE$8:$AE$107,0))="","",INDEX('Leads'!$AM$8:$AM$107,MATCH($A48,'Leads'!$AE$8:$AE$107,0)))&lt;&gt;$R48,IF(INDEX('Leads'!$AN$8:$AN$107,MATCH($A48,'Leads'!$AE$8:$AE$107,0))="","",INDEX('Leads'!$AN$8:$AN$107,MATCH($A48,'Leads'!$AE$8:$AE$107,0)))&lt;&gt;$S48,IF(INDEX('Leads'!$AO$8:$AO$107,MATCH($A48,'Leads'!$AE$8:$AE$107,0))="","",INDEX('Leads'!$AO$8:$AO$107,MATCH($A48,'Leads'!$AE$8:$AE$107,0)))&lt;&gt;$T48,IF(INDEX('Leads'!$AP$8:$AP$107,MATCH($A48,'Leads'!$AE$8:$AE$107,0))="","",INDEX('Leads'!$AP$8:$AP$107,MATCH($A48,'Leads'!$AE$8:$AE$107,0)))&lt;&gt;$U48,IF(INDEX('Leads'!$AQ$8:$AQ$107,MATCH($A48,'Leads'!$AE$8:$AE$107,0))="","",INDEX('Leads'!$AQ$8:$AQ$107,MATCH($A48,'Leads'!$AE$8:$AE$107,0)))&lt;&gt;$V48,IF(INDEX('Leads'!$AR$8:$AR$107,MATCH($A48,'Leads'!$AE$8:$AE$107,0))="","",INDEX('Leads'!$AR$8:$AR$107,MATCH($A48,'Leads'!$AE$8:$AE$107,0)))&lt;&gt;$W48,IF(INDEX('Leads'!$AS$8:$AS$107,MATCH($A48,'Leads'!$AE$8:$AE$107,0))="","",INDEX('Leads'!$AS$8:$AS$107,MATCH($A48,'Leads'!$AE$8:$AE$107,0)))&lt;&gt;$X48,IF(INDEX('Leads'!$AT$8:$AT$107,MATCH($A48,'Leads'!$AE$8:$AE$107,0))="","",INDEX('Leads'!$AT$8:$AT$107,MATCH($A48,'Leads'!$AE$8:$AE$107,0)))&lt;&gt;$Y48),"ข้อมูลรับเข้าต่าง — ตรวจเอง","ตรงกัน — ห้ามนำเข้าซ้ำ"),"ตรวจ Lead ID เดิม")))</x:f>
      </x:c>
    </x:row>
    <x:row r="49" ht="30" customHeight="1">
      <x:c r="A49" s="94"/>
      <x:c r="B49" s="94"/>
      <x:c r="C49" s="86"/>
      <x:c r="D49" s="32"/>
      <x:c r="E49" s="32"/>
      <x:c r="F49" s="32"/>
      <x:c r="G49" s="32"/>
      <x:c r="H49" s="94"/>
      <x:c r="I49" s="94"/>
      <x:c r="J49" s="94"/>
      <x:c r="K49" s="32"/>
      <x:c r="L49" s="32"/>
      <x:c r="M49" s="32"/>
      <x:c r="N49" s="32"/>
      <x:c r="O49" s="88"/>
      <x:c r="P49" s="32"/>
      <x:c r="Q49" s="32"/>
      <x:c r="R49" s="32"/>
      <x:c r="S49" s="32"/>
      <x:c r="T49" s="32"/>
      <x:c r="U49" s="32"/>
      <x:c r="V49" s="94"/>
      <x:c r="W49" s="32"/>
      <x:c r="X49" s="32"/>
      <x:c r="Y49" s="32"/>
      <x:c r="Z49" s="86"/>
      <x:c r="AA49" s="42" t="str">
        <x:f>IF(AND($A49="",$B49=""),"",IF(OR($A49="",$B49=""),"CHECK_INPUT",IF(OR($Y49="test",COUNTIF('Guide_Lists'!$AR$2:$AR$4,$B49)&gt;0),"TEST_DO_NOT_IMPORT",IF(OR(COUNTIF('Import_Staging'!$A$8:$A$107,$A49)&gt;1,COUNTIF('Import_Staging'!$B$8:$B$107,$B49)&gt;1),"DUPLICATE_IN_IMPORT",IF(COUNTIF('Leads'!$AE$8:$AE$107,$A49)&gt;0,"EXISTS",IF(COUNTIF('Leads'!$A$8:$A$107,$B49)&gt;0,"CHECK_INPUT",IF(AND($Y49="production",ISNUMBER($C49)),"NEW","CHECK_INPUT")))))))</x:f>
      </x:c>
      <x:c r="AB49" s="42" t="str">
        <x:f>IF($AA49="","",IF($AA49&lt;&gt;"EXISTS","",IFERROR(IF(OR(IF(INDEX('Leads'!$A$8:$A$107,MATCH($A49,'Leads'!$AE$8:$AE$107,0))="","",INDEX('Leads'!$A$8:$A$107,MATCH($A49,'Leads'!$AE$8:$AE$107,0)))&lt;&gt;$B49,IF(INDEX('Leads'!$AF$8:$AF$107,MATCH($A49,'Leads'!$AE$8:$AE$107,0))="","",INDEX('Leads'!$AF$8:$AF$107,MATCH($A49,'Leads'!$AE$8:$AE$107,0)))&lt;&gt;$C49,IF(INDEX('Leads'!$AG$8:$AG$107,MATCH($A49,'Leads'!$AE$8:$AE$107,0))="","",INDEX('Leads'!$AG$8:$AG$107,MATCH($A49,'Leads'!$AE$8:$AE$107,0)))&lt;&gt;$D49,IF(INDEX('Leads'!$B$8:$B$107,MATCH($A49,'Leads'!$AE$8:$AE$107,0))="","",INDEX('Leads'!$B$8:$B$107,MATCH($A49,'Leads'!$AE$8:$AE$107,0)))&lt;&gt;$E49,IF(INDEX('Leads'!$C$8:$C$107,MATCH($A49,'Leads'!$AE$8:$AE$107,0))="","",INDEX('Leads'!$C$8:$C$107,MATCH($A49,'Leads'!$AE$8:$AE$107,0)))&lt;&gt;$F49,IF(INDEX('Leads'!$K$8:$K$107,MATCH($A49,'Leads'!$AE$8:$AE$107,0))="","",INDEX('Leads'!$K$8:$K$107,MATCH($A49,'Leads'!$AE$8:$AE$107,0)))&lt;&gt;$G49,IF(INDEX('Leads'!$L$8:$L$107,MATCH($A49,'Leads'!$AE$8:$AE$107,0))="","",INDEX('Leads'!$L$8:$L$107,MATCH($A49,'Leads'!$AE$8:$AE$107,0)))&lt;&gt;$H49,IF(INDEX('Leads'!$M$8:$M$107,MATCH($A49,'Leads'!$AE$8:$AE$107,0))="","",INDEX('Leads'!$M$8:$M$107,MATCH($A49,'Leads'!$AE$8:$AE$107,0)))&lt;&gt;$I49,IF(INDEX('Leads'!$N$8:$N$107,MATCH($A49,'Leads'!$AE$8:$AE$107,0))="","",INDEX('Leads'!$N$8:$N$107,MATCH($A49,'Leads'!$AE$8:$AE$107,0)))&lt;&gt;$J49,IF(INDEX('Leads'!$AH$8:$AH$107,MATCH($A49,'Leads'!$AE$8:$AE$107,0))="","",INDEX('Leads'!$AH$8:$AH$107,MATCH($A49,'Leads'!$AE$8:$AE$107,0)))&lt;&gt;$K49,IF(INDEX('Leads'!$D$8:$D$107,MATCH($A49,'Leads'!$AE$8:$AE$107,0))="","",INDEX('Leads'!$D$8:$D$107,MATCH($A49,'Leads'!$AE$8:$AE$107,0)))&lt;&gt;$L49,IF(INDEX('Leads'!$E$8:$E$107,MATCH($A49,'Leads'!$AE$8:$AE$107,0))="","",INDEX('Leads'!$E$8:$E$107,MATCH($A49,'Leads'!$AE$8:$AE$107,0)))&lt;&gt;$M49,IF(INDEX('Leads'!$AI$8:$AI$107,MATCH($A49,'Leads'!$AE$8:$AE$107,0))="","",INDEX('Leads'!$AI$8:$AI$107,MATCH($A49,'Leads'!$AE$8:$AE$107,0)))&lt;&gt;$N49,IF(INDEX('Leads'!$AJ$8:$AJ$107,MATCH($A49,'Leads'!$AE$8:$AE$107,0))="","",INDEX('Leads'!$AJ$8:$AJ$107,MATCH($A49,'Leads'!$AE$8:$AE$107,0)))&lt;&gt;$O49,IF(INDEX('Leads'!$AK$8:$AK$107,MATCH($A49,'Leads'!$AE$8:$AE$107,0))="","",INDEX('Leads'!$AK$8:$AK$107,MATCH($A49,'Leads'!$AE$8:$AE$107,0)))&lt;&gt;$P49,IF(INDEX('Leads'!$AL$8:$AL$107,MATCH($A49,'Leads'!$AE$8:$AE$107,0))="","",INDEX('Leads'!$AL$8:$AL$107,MATCH($A49,'Leads'!$AE$8:$AE$107,0)))&lt;&gt;$Q49,IF(INDEX('Leads'!$AM$8:$AM$107,MATCH($A49,'Leads'!$AE$8:$AE$107,0))="","",INDEX('Leads'!$AM$8:$AM$107,MATCH($A49,'Leads'!$AE$8:$AE$107,0)))&lt;&gt;$R49,IF(INDEX('Leads'!$AN$8:$AN$107,MATCH($A49,'Leads'!$AE$8:$AE$107,0))="","",INDEX('Leads'!$AN$8:$AN$107,MATCH($A49,'Leads'!$AE$8:$AE$107,0)))&lt;&gt;$S49,IF(INDEX('Leads'!$AO$8:$AO$107,MATCH($A49,'Leads'!$AE$8:$AE$107,0))="","",INDEX('Leads'!$AO$8:$AO$107,MATCH($A49,'Leads'!$AE$8:$AE$107,0)))&lt;&gt;$T49,IF(INDEX('Leads'!$AP$8:$AP$107,MATCH($A49,'Leads'!$AE$8:$AE$107,0))="","",INDEX('Leads'!$AP$8:$AP$107,MATCH($A49,'Leads'!$AE$8:$AE$107,0)))&lt;&gt;$U49,IF(INDEX('Leads'!$AQ$8:$AQ$107,MATCH($A49,'Leads'!$AE$8:$AE$107,0))="","",INDEX('Leads'!$AQ$8:$AQ$107,MATCH($A49,'Leads'!$AE$8:$AE$107,0)))&lt;&gt;$V49,IF(INDEX('Leads'!$AR$8:$AR$107,MATCH($A49,'Leads'!$AE$8:$AE$107,0))="","",INDEX('Leads'!$AR$8:$AR$107,MATCH($A49,'Leads'!$AE$8:$AE$107,0)))&lt;&gt;$W49,IF(INDEX('Leads'!$AS$8:$AS$107,MATCH($A49,'Leads'!$AE$8:$AE$107,0))="","",INDEX('Leads'!$AS$8:$AS$107,MATCH($A49,'Leads'!$AE$8:$AE$107,0)))&lt;&gt;$X49,IF(INDEX('Leads'!$AT$8:$AT$107,MATCH($A49,'Leads'!$AE$8:$AE$107,0))="","",INDEX('Leads'!$AT$8:$AT$107,MATCH($A49,'Leads'!$AE$8:$AE$107,0)))&lt;&gt;$Y49),"ข้อมูลรับเข้าต่าง — ตรวจเอง","ตรงกัน — ห้ามนำเข้าซ้ำ"),"ตรวจ Lead ID เดิม")))</x:f>
      </x:c>
    </x:row>
    <x:row r="50" ht="30" customHeight="1">
      <x:c r="A50" s="94"/>
      <x:c r="B50" s="94"/>
      <x:c r="C50" s="86"/>
      <x:c r="D50" s="32"/>
      <x:c r="E50" s="32"/>
      <x:c r="F50" s="32"/>
      <x:c r="G50" s="32"/>
      <x:c r="H50" s="94"/>
      <x:c r="I50" s="94"/>
      <x:c r="J50" s="94"/>
      <x:c r="K50" s="32"/>
      <x:c r="L50" s="32"/>
      <x:c r="M50" s="32"/>
      <x:c r="N50" s="32"/>
      <x:c r="O50" s="88"/>
      <x:c r="P50" s="32"/>
      <x:c r="Q50" s="32"/>
      <x:c r="R50" s="32"/>
      <x:c r="S50" s="32"/>
      <x:c r="T50" s="32"/>
      <x:c r="U50" s="32"/>
      <x:c r="V50" s="94"/>
      <x:c r="W50" s="32"/>
      <x:c r="X50" s="32"/>
      <x:c r="Y50" s="32"/>
      <x:c r="Z50" s="86"/>
      <x:c r="AA50" s="42" t="str">
        <x:f>IF(AND($A50="",$B50=""),"",IF(OR($A50="",$B50=""),"CHECK_INPUT",IF(OR($Y50="test",COUNTIF('Guide_Lists'!$AR$2:$AR$4,$B50)&gt;0),"TEST_DO_NOT_IMPORT",IF(OR(COUNTIF('Import_Staging'!$A$8:$A$107,$A50)&gt;1,COUNTIF('Import_Staging'!$B$8:$B$107,$B50)&gt;1),"DUPLICATE_IN_IMPORT",IF(COUNTIF('Leads'!$AE$8:$AE$107,$A50)&gt;0,"EXISTS",IF(COUNTIF('Leads'!$A$8:$A$107,$B50)&gt;0,"CHECK_INPUT",IF(AND($Y50="production",ISNUMBER($C50)),"NEW","CHECK_INPUT")))))))</x:f>
      </x:c>
      <x:c r="AB50" s="42" t="str">
        <x:f>IF($AA50="","",IF($AA50&lt;&gt;"EXISTS","",IFERROR(IF(OR(IF(INDEX('Leads'!$A$8:$A$107,MATCH($A50,'Leads'!$AE$8:$AE$107,0))="","",INDEX('Leads'!$A$8:$A$107,MATCH($A50,'Leads'!$AE$8:$AE$107,0)))&lt;&gt;$B50,IF(INDEX('Leads'!$AF$8:$AF$107,MATCH($A50,'Leads'!$AE$8:$AE$107,0))="","",INDEX('Leads'!$AF$8:$AF$107,MATCH($A50,'Leads'!$AE$8:$AE$107,0)))&lt;&gt;$C50,IF(INDEX('Leads'!$AG$8:$AG$107,MATCH($A50,'Leads'!$AE$8:$AE$107,0))="","",INDEX('Leads'!$AG$8:$AG$107,MATCH($A50,'Leads'!$AE$8:$AE$107,0)))&lt;&gt;$D50,IF(INDEX('Leads'!$B$8:$B$107,MATCH($A50,'Leads'!$AE$8:$AE$107,0))="","",INDEX('Leads'!$B$8:$B$107,MATCH($A50,'Leads'!$AE$8:$AE$107,0)))&lt;&gt;$E50,IF(INDEX('Leads'!$C$8:$C$107,MATCH($A50,'Leads'!$AE$8:$AE$107,0))="","",INDEX('Leads'!$C$8:$C$107,MATCH($A50,'Leads'!$AE$8:$AE$107,0)))&lt;&gt;$F50,IF(INDEX('Leads'!$K$8:$K$107,MATCH($A50,'Leads'!$AE$8:$AE$107,0))="","",INDEX('Leads'!$K$8:$K$107,MATCH($A50,'Leads'!$AE$8:$AE$107,0)))&lt;&gt;$G50,IF(INDEX('Leads'!$L$8:$L$107,MATCH($A50,'Leads'!$AE$8:$AE$107,0))="","",INDEX('Leads'!$L$8:$L$107,MATCH($A50,'Leads'!$AE$8:$AE$107,0)))&lt;&gt;$H50,IF(INDEX('Leads'!$M$8:$M$107,MATCH($A50,'Leads'!$AE$8:$AE$107,0))="","",INDEX('Leads'!$M$8:$M$107,MATCH($A50,'Leads'!$AE$8:$AE$107,0)))&lt;&gt;$I50,IF(INDEX('Leads'!$N$8:$N$107,MATCH($A50,'Leads'!$AE$8:$AE$107,0))="","",INDEX('Leads'!$N$8:$N$107,MATCH($A50,'Leads'!$AE$8:$AE$107,0)))&lt;&gt;$J50,IF(INDEX('Leads'!$AH$8:$AH$107,MATCH($A50,'Leads'!$AE$8:$AE$107,0))="","",INDEX('Leads'!$AH$8:$AH$107,MATCH($A50,'Leads'!$AE$8:$AE$107,0)))&lt;&gt;$K50,IF(INDEX('Leads'!$D$8:$D$107,MATCH($A50,'Leads'!$AE$8:$AE$107,0))="","",INDEX('Leads'!$D$8:$D$107,MATCH($A50,'Leads'!$AE$8:$AE$107,0)))&lt;&gt;$L50,IF(INDEX('Leads'!$E$8:$E$107,MATCH($A50,'Leads'!$AE$8:$AE$107,0))="","",INDEX('Leads'!$E$8:$E$107,MATCH($A50,'Leads'!$AE$8:$AE$107,0)))&lt;&gt;$M50,IF(INDEX('Leads'!$AI$8:$AI$107,MATCH($A50,'Leads'!$AE$8:$AE$107,0))="","",INDEX('Leads'!$AI$8:$AI$107,MATCH($A50,'Leads'!$AE$8:$AE$107,0)))&lt;&gt;$N50,IF(INDEX('Leads'!$AJ$8:$AJ$107,MATCH($A50,'Leads'!$AE$8:$AE$107,0))="","",INDEX('Leads'!$AJ$8:$AJ$107,MATCH($A50,'Leads'!$AE$8:$AE$107,0)))&lt;&gt;$O50,IF(INDEX('Leads'!$AK$8:$AK$107,MATCH($A50,'Leads'!$AE$8:$AE$107,0))="","",INDEX('Leads'!$AK$8:$AK$107,MATCH($A50,'Leads'!$AE$8:$AE$107,0)))&lt;&gt;$P50,IF(INDEX('Leads'!$AL$8:$AL$107,MATCH($A50,'Leads'!$AE$8:$AE$107,0))="","",INDEX('Leads'!$AL$8:$AL$107,MATCH($A50,'Leads'!$AE$8:$AE$107,0)))&lt;&gt;$Q50,IF(INDEX('Leads'!$AM$8:$AM$107,MATCH($A50,'Leads'!$AE$8:$AE$107,0))="","",INDEX('Leads'!$AM$8:$AM$107,MATCH($A50,'Leads'!$AE$8:$AE$107,0)))&lt;&gt;$R50,IF(INDEX('Leads'!$AN$8:$AN$107,MATCH($A50,'Leads'!$AE$8:$AE$107,0))="","",INDEX('Leads'!$AN$8:$AN$107,MATCH($A50,'Leads'!$AE$8:$AE$107,0)))&lt;&gt;$S50,IF(INDEX('Leads'!$AO$8:$AO$107,MATCH($A50,'Leads'!$AE$8:$AE$107,0))="","",INDEX('Leads'!$AO$8:$AO$107,MATCH($A50,'Leads'!$AE$8:$AE$107,0)))&lt;&gt;$T50,IF(INDEX('Leads'!$AP$8:$AP$107,MATCH($A50,'Leads'!$AE$8:$AE$107,0))="","",INDEX('Leads'!$AP$8:$AP$107,MATCH($A50,'Leads'!$AE$8:$AE$107,0)))&lt;&gt;$U50,IF(INDEX('Leads'!$AQ$8:$AQ$107,MATCH($A50,'Leads'!$AE$8:$AE$107,0))="","",INDEX('Leads'!$AQ$8:$AQ$107,MATCH($A50,'Leads'!$AE$8:$AE$107,0)))&lt;&gt;$V50,IF(INDEX('Leads'!$AR$8:$AR$107,MATCH($A50,'Leads'!$AE$8:$AE$107,0))="","",INDEX('Leads'!$AR$8:$AR$107,MATCH($A50,'Leads'!$AE$8:$AE$107,0)))&lt;&gt;$W50,IF(INDEX('Leads'!$AS$8:$AS$107,MATCH($A50,'Leads'!$AE$8:$AE$107,0))="","",INDEX('Leads'!$AS$8:$AS$107,MATCH($A50,'Leads'!$AE$8:$AE$107,0)))&lt;&gt;$X50,IF(INDEX('Leads'!$AT$8:$AT$107,MATCH($A50,'Leads'!$AE$8:$AE$107,0))="","",INDEX('Leads'!$AT$8:$AT$107,MATCH($A50,'Leads'!$AE$8:$AE$107,0)))&lt;&gt;$Y50),"ข้อมูลรับเข้าต่าง — ตรวจเอง","ตรงกัน — ห้ามนำเข้าซ้ำ"),"ตรวจ Lead ID เดิม")))</x:f>
      </x:c>
    </x:row>
    <x:row r="51" ht="30" customHeight="1">
      <x:c r="A51" s="94"/>
      <x:c r="B51" s="94"/>
      <x:c r="C51" s="86"/>
      <x:c r="D51" s="32"/>
      <x:c r="E51" s="32"/>
      <x:c r="F51" s="32"/>
      <x:c r="G51" s="32"/>
      <x:c r="H51" s="94"/>
      <x:c r="I51" s="94"/>
      <x:c r="J51" s="94"/>
      <x:c r="K51" s="32"/>
      <x:c r="L51" s="32"/>
      <x:c r="M51" s="32"/>
      <x:c r="N51" s="32"/>
      <x:c r="O51" s="88"/>
      <x:c r="P51" s="32"/>
      <x:c r="Q51" s="32"/>
      <x:c r="R51" s="32"/>
      <x:c r="S51" s="32"/>
      <x:c r="T51" s="32"/>
      <x:c r="U51" s="32"/>
      <x:c r="V51" s="94"/>
      <x:c r="W51" s="32"/>
      <x:c r="X51" s="32"/>
      <x:c r="Y51" s="32"/>
      <x:c r="Z51" s="86"/>
      <x:c r="AA51" s="42" t="str">
        <x:f>IF(AND($A51="",$B51=""),"",IF(OR($A51="",$B51=""),"CHECK_INPUT",IF(OR($Y51="test",COUNTIF('Guide_Lists'!$AR$2:$AR$4,$B51)&gt;0),"TEST_DO_NOT_IMPORT",IF(OR(COUNTIF('Import_Staging'!$A$8:$A$107,$A51)&gt;1,COUNTIF('Import_Staging'!$B$8:$B$107,$B51)&gt;1),"DUPLICATE_IN_IMPORT",IF(COUNTIF('Leads'!$AE$8:$AE$107,$A51)&gt;0,"EXISTS",IF(COUNTIF('Leads'!$A$8:$A$107,$B51)&gt;0,"CHECK_INPUT",IF(AND($Y51="production",ISNUMBER($C51)),"NEW","CHECK_INPUT")))))))</x:f>
      </x:c>
      <x:c r="AB51" s="42" t="str">
        <x:f>IF($AA51="","",IF($AA51&lt;&gt;"EXISTS","",IFERROR(IF(OR(IF(INDEX('Leads'!$A$8:$A$107,MATCH($A51,'Leads'!$AE$8:$AE$107,0))="","",INDEX('Leads'!$A$8:$A$107,MATCH($A51,'Leads'!$AE$8:$AE$107,0)))&lt;&gt;$B51,IF(INDEX('Leads'!$AF$8:$AF$107,MATCH($A51,'Leads'!$AE$8:$AE$107,0))="","",INDEX('Leads'!$AF$8:$AF$107,MATCH($A51,'Leads'!$AE$8:$AE$107,0)))&lt;&gt;$C51,IF(INDEX('Leads'!$AG$8:$AG$107,MATCH($A51,'Leads'!$AE$8:$AE$107,0))="","",INDEX('Leads'!$AG$8:$AG$107,MATCH($A51,'Leads'!$AE$8:$AE$107,0)))&lt;&gt;$D51,IF(INDEX('Leads'!$B$8:$B$107,MATCH($A51,'Leads'!$AE$8:$AE$107,0))="","",INDEX('Leads'!$B$8:$B$107,MATCH($A51,'Leads'!$AE$8:$AE$107,0)))&lt;&gt;$E51,IF(INDEX('Leads'!$C$8:$C$107,MATCH($A51,'Leads'!$AE$8:$AE$107,0))="","",INDEX('Leads'!$C$8:$C$107,MATCH($A51,'Leads'!$AE$8:$AE$107,0)))&lt;&gt;$F51,IF(INDEX('Leads'!$K$8:$K$107,MATCH($A51,'Leads'!$AE$8:$AE$107,0))="","",INDEX('Leads'!$K$8:$K$107,MATCH($A51,'Leads'!$AE$8:$AE$107,0)))&lt;&gt;$G51,IF(INDEX('Leads'!$L$8:$L$107,MATCH($A51,'Leads'!$AE$8:$AE$107,0))="","",INDEX('Leads'!$L$8:$L$107,MATCH($A51,'Leads'!$AE$8:$AE$107,0)))&lt;&gt;$H51,IF(INDEX('Leads'!$M$8:$M$107,MATCH($A51,'Leads'!$AE$8:$AE$107,0))="","",INDEX('Leads'!$M$8:$M$107,MATCH($A51,'Leads'!$AE$8:$AE$107,0)))&lt;&gt;$I51,IF(INDEX('Leads'!$N$8:$N$107,MATCH($A51,'Leads'!$AE$8:$AE$107,0))="","",INDEX('Leads'!$N$8:$N$107,MATCH($A51,'Leads'!$AE$8:$AE$107,0)))&lt;&gt;$J51,IF(INDEX('Leads'!$AH$8:$AH$107,MATCH($A51,'Leads'!$AE$8:$AE$107,0))="","",INDEX('Leads'!$AH$8:$AH$107,MATCH($A51,'Leads'!$AE$8:$AE$107,0)))&lt;&gt;$K51,IF(INDEX('Leads'!$D$8:$D$107,MATCH($A51,'Leads'!$AE$8:$AE$107,0))="","",INDEX('Leads'!$D$8:$D$107,MATCH($A51,'Leads'!$AE$8:$AE$107,0)))&lt;&gt;$L51,IF(INDEX('Leads'!$E$8:$E$107,MATCH($A51,'Leads'!$AE$8:$AE$107,0))="","",INDEX('Leads'!$E$8:$E$107,MATCH($A51,'Leads'!$AE$8:$AE$107,0)))&lt;&gt;$M51,IF(INDEX('Leads'!$AI$8:$AI$107,MATCH($A51,'Leads'!$AE$8:$AE$107,0))="","",INDEX('Leads'!$AI$8:$AI$107,MATCH($A51,'Leads'!$AE$8:$AE$107,0)))&lt;&gt;$N51,IF(INDEX('Leads'!$AJ$8:$AJ$107,MATCH($A51,'Leads'!$AE$8:$AE$107,0))="","",INDEX('Leads'!$AJ$8:$AJ$107,MATCH($A51,'Leads'!$AE$8:$AE$107,0)))&lt;&gt;$O51,IF(INDEX('Leads'!$AK$8:$AK$107,MATCH($A51,'Leads'!$AE$8:$AE$107,0))="","",INDEX('Leads'!$AK$8:$AK$107,MATCH($A51,'Leads'!$AE$8:$AE$107,0)))&lt;&gt;$P51,IF(INDEX('Leads'!$AL$8:$AL$107,MATCH($A51,'Leads'!$AE$8:$AE$107,0))="","",INDEX('Leads'!$AL$8:$AL$107,MATCH($A51,'Leads'!$AE$8:$AE$107,0)))&lt;&gt;$Q51,IF(INDEX('Leads'!$AM$8:$AM$107,MATCH($A51,'Leads'!$AE$8:$AE$107,0))="","",INDEX('Leads'!$AM$8:$AM$107,MATCH($A51,'Leads'!$AE$8:$AE$107,0)))&lt;&gt;$R51,IF(INDEX('Leads'!$AN$8:$AN$107,MATCH($A51,'Leads'!$AE$8:$AE$107,0))="","",INDEX('Leads'!$AN$8:$AN$107,MATCH($A51,'Leads'!$AE$8:$AE$107,0)))&lt;&gt;$S51,IF(INDEX('Leads'!$AO$8:$AO$107,MATCH($A51,'Leads'!$AE$8:$AE$107,0))="","",INDEX('Leads'!$AO$8:$AO$107,MATCH($A51,'Leads'!$AE$8:$AE$107,0)))&lt;&gt;$T51,IF(INDEX('Leads'!$AP$8:$AP$107,MATCH($A51,'Leads'!$AE$8:$AE$107,0))="","",INDEX('Leads'!$AP$8:$AP$107,MATCH($A51,'Leads'!$AE$8:$AE$107,0)))&lt;&gt;$U51,IF(INDEX('Leads'!$AQ$8:$AQ$107,MATCH($A51,'Leads'!$AE$8:$AE$107,0))="","",INDEX('Leads'!$AQ$8:$AQ$107,MATCH($A51,'Leads'!$AE$8:$AE$107,0)))&lt;&gt;$V51,IF(INDEX('Leads'!$AR$8:$AR$107,MATCH($A51,'Leads'!$AE$8:$AE$107,0))="","",INDEX('Leads'!$AR$8:$AR$107,MATCH($A51,'Leads'!$AE$8:$AE$107,0)))&lt;&gt;$W51,IF(INDEX('Leads'!$AS$8:$AS$107,MATCH($A51,'Leads'!$AE$8:$AE$107,0))="","",INDEX('Leads'!$AS$8:$AS$107,MATCH($A51,'Leads'!$AE$8:$AE$107,0)))&lt;&gt;$X51,IF(INDEX('Leads'!$AT$8:$AT$107,MATCH($A51,'Leads'!$AE$8:$AE$107,0))="","",INDEX('Leads'!$AT$8:$AT$107,MATCH($A51,'Leads'!$AE$8:$AE$107,0)))&lt;&gt;$Y51),"ข้อมูลรับเข้าต่าง — ตรวจเอง","ตรงกัน — ห้ามนำเข้าซ้ำ"),"ตรวจ Lead ID เดิม")))</x:f>
      </x:c>
    </x:row>
    <x:row r="52" ht="30" customHeight="1">
      <x:c r="A52" s="94"/>
      <x:c r="B52" s="94"/>
      <x:c r="C52" s="86"/>
      <x:c r="D52" s="32"/>
      <x:c r="E52" s="32"/>
      <x:c r="F52" s="32"/>
      <x:c r="G52" s="32"/>
      <x:c r="H52" s="94"/>
      <x:c r="I52" s="94"/>
      <x:c r="J52" s="94"/>
      <x:c r="K52" s="32"/>
      <x:c r="L52" s="32"/>
      <x:c r="M52" s="32"/>
      <x:c r="N52" s="32"/>
      <x:c r="O52" s="88"/>
      <x:c r="P52" s="32"/>
      <x:c r="Q52" s="32"/>
      <x:c r="R52" s="32"/>
      <x:c r="S52" s="32"/>
      <x:c r="T52" s="32"/>
      <x:c r="U52" s="32"/>
      <x:c r="V52" s="94"/>
      <x:c r="W52" s="32"/>
      <x:c r="X52" s="32"/>
      <x:c r="Y52" s="32"/>
      <x:c r="Z52" s="86"/>
      <x:c r="AA52" s="42" t="str">
        <x:f>IF(AND($A52="",$B52=""),"",IF(OR($A52="",$B52=""),"CHECK_INPUT",IF(OR($Y52="test",COUNTIF('Guide_Lists'!$AR$2:$AR$4,$B52)&gt;0),"TEST_DO_NOT_IMPORT",IF(OR(COUNTIF('Import_Staging'!$A$8:$A$107,$A52)&gt;1,COUNTIF('Import_Staging'!$B$8:$B$107,$B52)&gt;1),"DUPLICATE_IN_IMPORT",IF(COUNTIF('Leads'!$AE$8:$AE$107,$A52)&gt;0,"EXISTS",IF(COUNTIF('Leads'!$A$8:$A$107,$B52)&gt;0,"CHECK_INPUT",IF(AND($Y52="production",ISNUMBER($C52)),"NEW","CHECK_INPUT")))))))</x:f>
      </x:c>
      <x:c r="AB52" s="42" t="str">
        <x:f>IF($AA52="","",IF($AA52&lt;&gt;"EXISTS","",IFERROR(IF(OR(IF(INDEX('Leads'!$A$8:$A$107,MATCH($A52,'Leads'!$AE$8:$AE$107,0))="","",INDEX('Leads'!$A$8:$A$107,MATCH($A52,'Leads'!$AE$8:$AE$107,0)))&lt;&gt;$B52,IF(INDEX('Leads'!$AF$8:$AF$107,MATCH($A52,'Leads'!$AE$8:$AE$107,0))="","",INDEX('Leads'!$AF$8:$AF$107,MATCH($A52,'Leads'!$AE$8:$AE$107,0)))&lt;&gt;$C52,IF(INDEX('Leads'!$AG$8:$AG$107,MATCH($A52,'Leads'!$AE$8:$AE$107,0))="","",INDEX('Leads'!$AG$8:$AG$107,MATCH($A52,'Leads'!$AE$8:$AE$107,0)))&lt;&gt;$D52,IF(INDEX('Leads'!$B$8:$B$107,MATCH($A52,'Leads'!$AE$8:$AE$107,0))="","",INDEX('Leads'!$B$8:$B$107,MATCH($A52,'Leads'!$AE$8:$AE$107,0)))&lt;&gt;$E52,IF(INDEX('Leads'!$C$8:$C$107,MATCH($A52,'Leads'!$AE$8:$AE$107,0))="","",INDEX('Leads'!$C$8:$C$107,MATCH($A52,'Leads'!$AE$8:$AE$107,0)))&lt;&gt;$F52,IF(INDEX('Leads'!$K$8:$K$107,MATCH($A52,'Leads'!$AE$8:$AE$107,0))="","",INDEX('Leads'!$K$8:$K$107,MATCH($A52,'Leads'!$AE$8:$AE$107,0)))&lt;&gt;$G52,IF(INDEX('Leads'!$L$8:$L$107,MATCH($A52,'Leads'!$AE$8:$AE$107,0))="","",INDEX('Leads'!$L$8:$L$107,MATCH($A52,'Leads'!$AE$8:$AE$107,0)))&lt;&gt;$H52,IF(INDEX('Leads'!$M$8:$M$107,MATCH($A52,'Leads'!$AE$8:$AE$107,0))="","",INDEX('Leads'!$M$8:$M$107,MATCH($A52,'Leads'!$AE$8:$AE$107,0)))&lt;&gt;$I52,IF(INDEX('Leads'!$N$8:$N$107,MATCH($A52,'Leads'!$AE$8:$AE$107,0))="","",INDEX('Leads'!$N$8:$N$107,MATCH($A52,'Leads'!$AE$8:$AE$107,0)))&lt;&gt;$J52,IF(INDEX('Leads'!$AH$8:$AH$107,MATCH($A52,'Leads'!$AE$8:$AE$107,0))="","",INDEX('Leads'!$AH$8:$AH$107,MATCH($A52,'Leads'!$AE$8:$AE$107,0)))&lt;&gt;$K52,IF(INDEX('Leads'!$D$8:$D$107,MATCH($A52,'Leads'!$AE$8:$AE$107,0))="","",INDEX('Leads'!$D$8:$D$107,MATCH($A52,'Leads'!$AE$8:$AE$107,0)))&lt;&gt;$L52,IF(INDEX('Leads'!$E$8:$E$107,MATCH($A52,'Leads'!$AE$8:$AE$107,0))="","",INDEX('Leads'!$E$8:$E$107,MATCH($A52,'Leads'!$AE$8:$AE$107,0)))&lt;&gt;$M52,IF(INDEX('Leads'!$AI$8:$AI$107,MATCH($A52,'Leads'!$AE$8:$AE$107,0))="","",INDEX('Leads'!$AI$8:$AI$107,MATCH($A52,'Leads'!$AE$8:$AE$107,0)))&lt;&gt;$N52,IF(INDEX('Leads'!$AJ$8:$AJ$107,MATCH($A52,'Leads'!$AE$8:$AE$107,0))="","",INDEX('Leads'!$AJ$8:$AJ$107,MATCH($A52,'Leads'!$AE$8:$AE$107,0)))&lt;&gt;$O52,IF(INDEX('Leads'!$AK$8:$AK$107,MATCH($A52,'Leads'!$AE$8:$AE$107,0))="","",INDEX('Leads'!$AK$8:$AK$107,MATCH($A52,'Leads'!$AE$8:$AE$107,0)))&lt;&gt;$P52,IF(INDEX('Leads'!$AL$8:$AL$107,MATCH($A52,'Leads'!$AE$8:$AE$107,0))="","",INDEX('Leads'!$AL$8:$AL$107,MATCH($A52,'Leads'!$AE$8:$AE$107,0)))&lt;&gt;$Q52,IF(INDEX('Leads'!$AM$8:$AM$107,MATCH($A52,'Leads'!$AE$8:$AE$107,0))="","",INDEX('Leads'!$AM$8:$AM$107,MATCH($A52,'Leads'!$AE$8:$AE$107,0)))&lt;&gt;$R52,IF(INDEX('Leads'!$AN$8:$AN$107,MATCH($A52,'Leads'!$AE$8:$AE$107,0))="","",INDEX('Leads'!$AN$8:$AN$107,MATCH($A52,'Leads'!$AE$8:$AE$107,0)))&lt;&gt;$S52,IF(INDEX('Leads'!$AO$8:$AO$107,MATCH($A52,'Leads'!$AE$8:$AE$107,0))="","",INDEX('Leads'!$AO$8:$AO$107,MATCH($A52,'Leads'!$AE$8:$AE$107,0)))&lt;&gt;$T52,IF(INDEX('Leads'!$AP$8:$AP$107,MATCH($A52,'Leads'!$AE$8:$AE$107,0))="","",INDEX('Leads'!$AP$8:$AP$107,MATCH($A52,'Leads'!$AE$8:$AE$107,0)))&lt;&gt;$U52,IF(INDEX('Leads'!$AQ$8:$AQ$107,MATCH($A52,'Leads'!$AE$8:$AE$107,0))="","",INDEX('Leads'!$AQ$8:$AQ$107,MATCH($A52,'Leads'!$AE$8:$AE$107,0)))&lt;&gt;$V52,IF(INDEX('Leads'!$AR$8:$AR$107,MATCH($A52,'Leads'!$AE$8:$AE$107,0))="","",INDEX('Leads'!$AR$8:$AR$107,MATCH($A52,'Leads'!$AE$8:$AE$107,0)))&lt;&gt;$W52,IF(INDEX('Leads'!$AS$8:$AS$107,MATCH($A52,'Leads'!$AE$8:$AE$107,0))="","",INDEX('Leads'!$AS$8:$AS$107,MATCH($A52,'Leads'!$AE$8:$AE$107,0)))&lt;&gt;$X52,IF(INDEX('Leads'!$AT$8:$AT$107,MATCH($A52,'Leads'!$AE$8:$AE$107,0))="","",INDEX('Leads'!$AT$8:$AT$107,MATCH($A52,'Leads'!$AE$8:$AE$107,0)))&lt;&gt;$Y52),"ข้อมูลรับเข้าต่าง — ตรวจเอง","ตรงกัน — ห้ามนำเข้าซ้ำ"),"ตรวจ Lead ID เดิม")))</x:f>
      </x:c>
    </x:row>
    <x:row r="53" ht="30" customHeight="1">
      <x:c r="A53" s="94"/>
      <x:c r="B53" s="94"/>
      <x:c r="C53" s="86"/>
      <x:c r="D53" s="32"/>
      <x:c r="E53" s="32"/>
      <x:c r="F53" s="32"/>
      <x:c r="G53" s="32"/>
      <x:c r="H53" s="94"/>
      <x:c r="I53" s="94"/>
      <x:c r="J53" s="94"/>
      <x:c r="K53" s="32"/>
      <x:c r="L53" s="32"/>
      <x:c r="M53" s="32"/>
      <x:c r="N53" s="32"/>
      <x:c r="O53" s="88"/>
      <x:c r="P53" s="32"/>
      <x:c r="Q53" s="32"/>
      <x:c r="R53" s="32"/>
      <x:c r="S53" s="32"/>
      <x:c r="T53" s="32"/>
      <x:c r="U53" s="32"/>
      <x:c r="V53" s="94"/>
      <x:c r="W53" s="32"/>
      <x:c r="X53" s="32"/>
      <x:c r="Y53" s="32"/>
      <x:c r="Z53" s="86"/>
      <x:c r="AA53" s="42" t="str">
        <x:f>IF(AND($A53="",$B53=""),"",IF(OR($A53="",$B53=""),"CHECK_INPUT",IF(OR($Y53="test",COUNTIF('Guide_Lists'!$AR$2:$AR$4,$B53)&gt;0),"TEST_DO_NOT_IMPORT",IF(OR(COUNTIF('Import_Staging'!$A$8:$A$107,$A53)&gt;1,COUNTIF('Import_Staging'!$B$8:$B$107,$B53)&gt;1),"DUPLICATE_IN_IMPORT",IF(COUNTIF('Leads'!$AE$8:$AE$107,$A53)&gt;0,"EXISTS",IF(COUNTIF('Leads'!$A$8:$A$107,$B53)&gt;0,"CHECK_INPUT",IF(AND($Y53="production",ISNUMBER($C53)),"NEW","CHECK_INPUT")))))))</x:f>
      </x:c>
      <x:c r="AB53" s="42" t="str">
        <x:f>IF($AA53="","",IF($AA53&lt;&gt;"EXISTS","",IFERROR(IF(OR(IF(INDEX('Leads'!$A$8:$A$107,MATCH($A53,'Leads'!$AE$8:$AE$107,0))="","",INDEX('Leads'!$A$8:$A$107,MATCH($A53,'Leads'!$AE$8:$AE$107,0)))&lt;&gt;$B53,IF(INDEX('Leads'!$AF$8:$AF$107,MATCH($A53,'Leads'!$AE$8:$AE$107,0))="","",INDEX('Leads'!$AF$8:$AF$107,MATCH($A53,'Leads'!$AE$8:$AE$107,0)))&lt;&gt;$C53,IF(INDEX('Leads'!$AG$8:$AG$107,MATCH($A53,'Leads'!$AE$8:$AE$107,0))="","",INDEX('Leads'!$AG$8:$AG$107,MATCH($A53,'Leads'!$AE$8:$AE$107,0)))&lt;&gt;$D53,IF(INDEX('Leads'!$B$8:$B$107,MATCH($A53,'Leads'!$AE$8:$AE$107,0))="","",INDEX('Leads'!$B$8:$B$107,MATCH($A53,'Leads'!$AE$8:$AE$107,0)))&lt;&gt;$E53,IF(INDEX('Leads'!$C$8:$C$107,MATCH($A53,'Leads'!$AE$8:$AE$107,0))="","",INDEX('Leads'!$C$8:$C$107,MATCH($A53,'Leads'!$AE$8:$AE$107,0)))&lt;&gt;$F53,IF(INDEX('Leads'!$K$8:$K$107,MATCH($A53,'Leads'!$AE$8:$AE$107,0))="","",INDEX('Leads'!$K$8:$K$107,MATCH($A53,'Leads'!$AE$8:$AE$107,0)))&lt;&gt;$G53,IF(INDEX('Leads'!$L$8:$L$107,MATCH($A53,'Leads'!$AE$8:$AE$107,0))="","",INDEX('Leads'!$L$8:$L$107,MATCH($A53,'Leads'!$AE$8:$AE$107,0)))&lt;&gt;$H53,IF(INDEX('Leads'!$M$8:$M$107,MATCH($A53,'Leads'!$AE$8:$AE$107,0))="","",INDEX('Leads'!$M$8:$M$107,MATCH($A53,'Leads'!$AE$8:$AE$107,0)))&lt;&gt;$I53,IF(INDEX('Leads'!$N$8:$N$107,MATCH($A53,'Leads'!$AE$8:$AE$107,0))="","",INDEX('Leads'!$N$8:$N$107,MATCH($A53,'Leads'!$AE$8:$AE$107,0)))&lt;&gt;$J53,IF(INDEX('Leads'!$AH$8:$AH$107,MATCH($A53,'Leads'!$AE$8:$AE$107,0))="","",INDEX('Leads'!$AH$8:$AH$107,MATCH($A53,'Leads'!$AE$8:$AE$107,0)))&lt;&gt;$K53,IF(INDEX('Leads'!$D$8:$D$107,MATCH($A53,'Leads'!$AE$8:$AE$107,0))="","",INDEX('Leads'!$D$8:$D$107,MATCH($A53,'Leads'!$AE$8:$AE$107,0)))&lt;&gt;$L53,IF(INDEX('Leads'!$E$8:$E$107,MATCH($A53,'Leads'!$AE$8:$AE$107,0))="","",INDEX('Leads'!$E$8:$E$107,MATCH($A53,'Leads'!$AE$8:$AE$107,0)))&lt;&gt;$M53,IF(INDEX('Leads'!$AI$8:$AI$107,MATCH($A53,'Leads'!$AE$8:$AE$107,0))="","",INDEX('Leads'!$AI$8:$AI$107,MATCH($A53,'Leads'!$AE$8:$AE$107,0)))&lt;&gt;$N53,IF(INDEX('Leads'!$AJ$8:$AJ$107,MATCH($A53,'Leads'!$AE$8:$AE$107,0))="","",INDEX('Leads'!$AJ$8:$AJ$107,MATCH($A53,'Leads'!$AE$8:$AE$107,0)))&lt;&gt;$O53,IF(INDEX('Leads'!$AK$8:$AK$107,MATCH($A53,'Leads'!$AE$8:$AE$107,0))="","",INDEX('Leads'!$AK$8:$AK$107,MATCH($A53,'Leads'!$AE$8:$AE$107,0)))&lt;&gt;$P53,IF(INDEX('Leads'!$AL$8:$AL$107,MATCH($A53,'Leads'!$AE$8:$AE$107,0))="","",INDEX('Leads'!$AL$8:$AL$107,MATCH($A53,'Leads'!$AE$8:$AE$107,0)))&lt;&gt;$Q53,IF(INDEX('Leads'!$AM$8:$AM$107,MATCH($A53,'Leads'!$AE$8:$AE$107,0))="","",INDEX('Leads'!$AM$8:$AM$107,MATCH($A53,'Leads'!$AE$8:$AE$107,0)))&lt;&gt;$R53,IF(INDEX('Leads'!$AN$8:$AN$107,MATCH($A53,'Leads'!$AE$8:$AE$107,0))="","",INDEX('Leads'!$AN$8:$AN$107,MATCH($A53,'Leads'!$AE$8:$AE$107,0)))&lt;&gt;$S53,IF(INDEX('Leads'!$AO$8:$AO$107,MATCH($A53,'Leads'!$AE$8:$AE$107,0))="","",INDEX('Leads'!$AO$8:$AO$107,MATCH($A53,'Leads'!$AE$8:$AE$107,0)))&lt;&gt;$T53,IF(INDEX('Leads'!$AP$8:$AP$107,MATCH($A53,'Leads'!$AE$8:$AE$107,0))="","",INDEX('Leads'!$AP$8:$AP$107,MATCH($A53,'Leads'!$AE$8:$AE$107,0)))&lt;&gt;$U53,IF(INDEX('Leads'!$AQ$8:$AQ$107,MATCH($A53,'Leads'!$AE$8:$AE$107,0))="","",INDEX('Leads'!$AQ$8:$AQ$107,MATCH($A53,'Leads'!$AE$8:$AE$107,0)))&lt;&gt;$V53,IF(INDEX('Leads'!$AR$8:$AR$107,MATCH($A53,'Leads'!$AE$8:$AE$107,0))="","",INDEX('Leads'!$AR$8:$AR$107,MATCH($A53,'Leads'!$AE$8:$AE$107,0)))&lt;&gt;$W53,IF(INDEX('Leads'!$AS$8:$AS$107,MATCH($A53,'Leads'!$AE$8:$AE$107,0))="","",INDEX('Leads'!$AS$8:$AS$107,MATCH($A53,'Leads'!$AE$8:$AE$107,0)))&lt;&gt;$X53,IF(INDEX('Leads'!$AT$8:$AT$107,MATCH($A53,'Leads'!$AE$8:$AE$107,0))="","",INDEX('Leads'!$AT$8:$AT$107,MATCH($A53,'Leads'!$AE$8:$AE$107,0)))&lt;&gt;$Y53),"ข้อมูลรับเข้าต่าง — ตรวจเอง","ตรงกัน — ห้ามนำเข้าซ้ำ"),"ตรวจ Lead ID เดิม")))</x:f>
      </x:c>
    </x:row>
    <x:row r="54" ht="30" customHeight="1">
      <x:c r="A54" s="94"/>
      <x:c r="B54" s="94"/>
      <x:c r="C54" s="86"/>
      <x:c r="D54" s="32"/>
      <x:c r="E54" s="32"/>
      <x:c r="F54" s="32"/>
      <x:c r="G54" s="32"/>
      <x:c r="H54" s="94"/>
      <x:c r="I54" s="94"/>
      <x:c r="J54" s="94"/>
      <x:c r="K54" s="32"/>
      <x:c r="L54" s="32"/>
      <x:c r="M54" s="32"/>
      <x:c r="N54" s="32"/>
      <x:c r="O54" s="88"/>
      <x:c r="P54" s="32"/>
      <x:c r="Q54" s="32"/>
      <x:c r="R54" s="32"/>
      <x:c r="S54" s="32"/>
      <x:c r="T54" s="32"/>
      <x:c r="U54" s="32"/>
      <x:c r="V54" s="94"/>
      <x:c r="W54" s="32"/>
      <x:c r="X54" s="32"/>
      <x:c r="Y54" s="32"/>
      <x:c r="Z54" s="86"/>
      <x:c r="AA54" s="42" t="str">
        <x:f>IF(AND($A54="",$B54=""),"",IF(OR($A54="",$B54=""),"CHECK_INPUT",IF(OR($Y54="test",COUNTIF('Guide_Lists'!$AR$2:$AR$4,$B54)&gt;0),"TEST_DO_NOT_IMPORT",IF(OR(COUNTIF('Import_Staging'!$A$8:$A$107,$A54)&gt;1,COUNTIF('Import_Staging'!$B$8:$B$107,$B54)&gt;1),"DUPLICATE_IN_IMPORT",IF(COUNTIF('Leads'!$AE$8:$AE$107,$A54)&gt;0,"EXISTS",IF(COUNTIF('Leads'!$A$8:$A$107,$B54)&gt;0,"CHECK_INPUT",IF(AND($Y54="production",ISNUMBER($C54)),"NEW","CHECK_INPUT")))))))</x:f>
      </x:c>
      <x:c r="AB54" s="42" t="str">
        <x:f>IF($AA54="","",IF($AA54&lt;&gt;"EXISTS","",IFERROR(IF(OR(IF(INDEX('Leads'!$A$8:$A$107,MATCH($A54,'Leads'!$AE$8:$AE$107,0))="","",INDEX('Leads'!$A$8:$A$107,MATCH($A54,'Leads'!$AE$8:$AE$107,0)))&lt;&gt;$B54,IF(INDEX('Leads'!$AF$8:$AF$107,MATCH($A54,'Leads'!$AE$8:$AE$107,0))="","",INDEX('Leads'!$AF$8:$AF$107,MATCH($A54,'Leads'!$AE$8:$AE$107,0)))&lt;&gt;$C54,IF(INDEX('Leads'!$AG$8:$AG$107,MATCH($A54,'Leads'!$AE$8:$AE$107,0))="","",INDEX('Leads'!$AG$8:$AG$107,MATCH($A54,'Leads'!$AE$8:$AE$107,0)))&lt;&gt;$D54,IF(INDEX('Leads'!$B$8:$B$107,MATCH($A54,'Leads'!$AE$8:$AE$107,0))="","",INDEX('Leads'!$B$8:$B$107,MATCH($A54,'Leads'!$AE$8:$AE$107,0)))&lt;&gt;$E54,IF(INDEX('Leads'!$C$8:$C$107,MATCH($A54,'Leads'!$AE$8:$AE$107,0))="","",INDEX('Leads'!$C$8:$C$107,MATCH($A54,'Leads'!$AE$8:$AE$107,0)))&lt;&gt;$F54,IF(INDEX('Leads'!$K$8:$K$107,MATCH($A54,'Leads'!$AE$8:$AE$107,0))="","",INDEX('Leads'!$K$8:$K$107,MATCH($A54,'Leads'!$AE$8:$AE$107,0)))&lt;&gt;$G54,IF(INDEX('Leads'!$L$8:$L$107,MATCH($A54,'Leads'!$AE$8:$AE$107,0))="","",INDEX('Leads'!$L$8:$L$107,MATCH($A54,'Leads'!$AE$8:$AE$107,0)))&lt;&gt;$H54,IF(INDEX('Leads'!$M$8:$M$107,MATCH($A54,'Leads'!$AE$8:$AE$107,0))="","",INDEX('Leads'!$M$8:$M$107,MATCH($A54,'Leads'!$AE$8:$AE$107,0)))&lt;&gt;$I54,IF(INDEX('Leads'!$N$8:$N$107,MATCH($A54,'Leads'!$AE$8:$AE$107,0))="","",INDEX('Leads'!$N$8:$N$107,MATCH($A54,'Leads'!$AE$8:$AE$107,0)))&lt;&gt;$J54,IF(INDEX('Leads'!$AH$8:$AH$107,MATCH($A54,'Leads'!$AE$8:$AE$107,0))="","",INDEX('Leads'!$AH$8:$AH$107,MATCH($A54,'Leads'!$AE$8:$AE$107,0)))&lt;&gt;$K54,IF(INDEX('Leads'!$D$8:$D$107,MATCH($A54,'Leads'!$AE$8:$AE$107,0))="","",INDEX('Leads'!$D$8:$D$107,MATCH($A54,'Leads'!$AE$8:$AE$107,0)))&lt;&gt;$L54,IF(INDEX('Leads'!$E$8:$E$107,MATCH($A54,'Leads'!$AE$8:$AE$107,0))="","",INDEX('Leads'!$E$8:$E$107,MATCH($A54,'Leads'!$AE$8:$AE$107,0)))&lt;&gt;$M54,IF(INDEX('Leads'!$AI$8:$AI$107,MATCH($A54,'Leads'!$AE$8:$AE$107,0))="","",INDEX('Leads'!$AI$8:$AI$107,MATCH($A54,'Leads'!$AE$8:$AE$107,0)))&lt;&gt;$N54,IF(INDEX('Leads'!$AJ$8:$AJ$107,MATCH($A54,'Leads'!$AE$8:$AE$107,0))="","",INDEX('Leads'!$AJ$8:$AJ$107,MATCH($A54,'Leads'!$AE$8:$AE$107,0)))&lt;&gt;$O54,IF(INDEX('Leads'!$AK$8:$AK$107,MATCH($A54,'Leads'!$AE$8:$AE$107,0))="","",INDEX('Leads'!$AK$8:$AK$107,MATCH($A54,'Leads'!$AE$8:$AE$107,0)))&lt;&gt;$P54,IF(INDEX('Leads'!$AL$8:$AL$107,MATCH($A54,'Leads'!$AE$8:$AE$107,0))="","",INDEX('Leads'!$AL$8:$AL$107,MATCH($A54,'Leads'!$AE$8:$AE$107,0)))&lt;&gt;$Q54,IF(INDEX('Leads'!$AM$8:$AM$107,MATCH($A54,'Leads'!$AE$8:$AE$107,0))="","",INDEX('Leads'!$AM$8:$AM$107,MATCH($A54,'Leads'!$AE$8:$AE$107,0)))&lt;&gt;$R54,IF(INDEX('Leads'!$AN$8:$AN$107,MATCH($A54,'Leads'!$AE$8:$AE$107,0))="","",INDEX('Leads'!$AN$8:$AN$107,MATCH($A54,'Leads'!$AE$8:$AE$107,0)))&lt;&gt;$S54,IF(INDEX('Leads'!$AO$8:$AO$107,MATCH($A54,'Leads'!$AE$8:$AE$107,0))="","",INDEX('Leads'!$AO$8:$AO$107,MATCH($A54,'Leads'!$AE$8:$AE$107,0)))&lt;&gt;$T54,IF(INDEX('Leads'!$AP$8:$AP$107,MATCH($A54,'Leads'!$AE$8:$AE$107,0))="","",INDEX('Leads'!$AP$8:$AP$107,MATCH($A54,'Leads'!$AE$8:$AE$107,0)))&lt;&gt;$U54,IF(INDEX('Leads'!$AQ$8:$AQ$107,MATCH($A54,'Leads'!$AE$8:$AE$107,0))="","",INDEX('Leads'!$AQ$8:$AQ$107,MATCH($A54,'Leads'!$AE$8:$AE$107,0)))&lt;&gt;$V54,IF(INDEX('Leads'!$AR$8:$AR$107,MATCH($A54,'Leads'!$AE$8:$AE$107,0))="","",INDEX('Leads'!$AR$8:$AR$107,MATCH($A54,'Leads'!$AE$8:$AE$107,0)))&lt;&gt;$W54,IF(INDEX('Leads'!$AS$8:$AS$107,MATCH($A54,'Leads'!$AE$8:$AE$107,0))="","",INDEX('Leads'!$AS$8:$AS$107,MATCH($A54,'Leads'!$AE$8:$AE$107,0)))&lt;&gt;$X54,IF(INDEX('Leads'!$AT$8:$AT$107,MATCH($A54,'Leads'!$AE$8:$AE$107,0))="","",INDEX('Leads'!$AT$8:$AT$107,MATCH($A54,'Leads'!$AE$8:$AE$107,0)))&lt;&gt;$Y54),"ข้อมูลรับเข้าต่าง — ตรวจเอง","ตรงกัน — ห้ามนำเข้าซ้ำ"),"ตรวจ Lead ID เดิม")))</x:f>
      </x:c>
    </x:row>
    <x:row r="55" ht="30" customHeight="1">
      <x:c r="A55" s="94"/>
      <x:c r="B55" s="94"/>
      <x:c r="C55" s="86"/>
      <x:c r="D55" s="32"/>
      <x:c r="E55" s="32"/>
      <x:c r="F55" s="32"/>
      <x:c r="G55" s="32"/>
      <x:c r="H55" s="94"/>
      <x:c r="I55" s="94"/>
      <x:c r="J55" s="94"/>
      <x:c r="K55" s="32"/>
      <x:c r="L55" s="32"/>
      <x:c r="M55" s="32"/>
      <x:c r="N55" s="32"/>
      <x:c r="O55" s="88"/>
      <x:c r="P55" s="32"/>
      <x:c r="Q55" s="32"/>
      <x:c r="R55" s="32"/>
      <x:c r="S55" s="32"/>
      <x:c r="T55" s="32"/>
      <x:c r="U55" s="32"/>
      <x:c r="V55" s="94"/>
      <x:c r="W55" s="32"/>
      <x:c r="X55" s="32"/>
      <x:c r="Y55" s="32"/>
      <x:c r="Z55" s="86"/>
      <x:c r="AA55" s="42" t="str">
        <x:f>IF(AND($A55="",$B55=""),"",IF(OR($A55="",$B55=""),"CHECK_INPUT",IF(OR($Y55="test",COUNTIF('Guide_Lists'!$AR$2:$AR$4,$B55)&gt;0),"TEST_DO_NOT_IMPORT",IF(OR(COUNTIF('Import_Staging'!$A$8:$A$107,$A55)&gt;1,COUNTIF('Import_Staging'!$B$8:$B$107,$B55)&gt;1),"DUPLICATE_IN_IMPORT",IF(COUNTIF('Leads'!$AE$8:$AE$107,$A55)&gt;0,"EXISTS",IF(COUNTIF('Leads'!$A$8:$A$107,$B55)&gt;0,"CHECK_INPUT",IF(AND($Y55="production",ISNUMBER($C55)),"NEW","CHECK_INPUT")))))))</x:f>
      </x:c>
      <x:c r="AB55" s="42" t="str">
        <x:f>IF($AA55="","",IF($AA55&lt;&gt;"EXISTS","",IFERROR(IF(OR(IF(INDEX('Leads'!$A$8:$A$107,MATCH($A55,'Leads'!$AE$8:$AE$107,0))="","",INDEX('Leads'!$A$8:$A$107,MATCH($A55,'Leads'!$AE$8:$AE$107,0)))&lt;&gt;$B55,IF(INDEX('Leads'!$AF$8:$AF$107,MATCH($A55,'Leads'!$AE$8:$AE$107,0))="","",INDEX('Leads'!$AF$8:$AF$107,MATCH($A55,'Leads'!$AE$8:$AE$107,0)))&lt;&gt;$C55,IF(INDEX('Leads'!$AG$8:$AG$107,MATCH($A55,'Leads'!$AE$8:$AE$107,0))="","",INDEX('Leads'!$AG$8:$AG$107,MATCH($A55,'Leads'!$AE$8:$AE$107,0)))&lt;&gt;$D55,IF(INDEX('Leads'!$B$8:$B$107,MATCH($A55,'Leads'!$AE$8:$AE$107,0))="","",INDEX('Leads'!$B$8:$B$107,MATCH($A55,'Leads'!$AE$8:$AE$107,0)))&lt;&gt;$E55,IF(INDEX('Leads'!$C$8:$C$107,MATCH($A55,'Leads'!$AE$8:$AE$107,0))="","",INDEX('Leads'!$C$8:$C$107,MATCH($A55,'Leads'!$AE$8:$AE$107,0)))&lt;&gt;$F55,IF(INDEX('Leads'!$K$8:$K$107,MATCH($A55,'Leads'!$AE$8:$AE$107,0))="","",INDEX('Leads'!$K$8:$K$107,MATCH($A55,'Leads'!$AE$8:$AE$107,0)))&lt;&gt;$G55,IF(INDEX('Leads'!$L$8:$L$107,MATCH($A55,'Leads'!$AE$8:$AE$107,0))="","",INDEX('Leads'!$L$8:$L$107,MATCH($A55,'Leads'!$AE$8:$AE$107,0)))&lt;&gt;$H55,IF(INDEX('Leads'!$M$8:$M$107,MATCH($A55,'Leads'!$AE$8:$AE$107,0))="","",INDEX('Leads'!$M$8:$M$107,MATCH($A55,'Leads'!$AE$8:$AE$107,0)))&lt;&gt;$I55,IF(INDEX('Leads'!$N$8:$N$107,MATCH($A55,'Leads'!$AE$8:$AE$107,0))="","",INDEX('Leads'!$N$8:$N$107,MATCH($A55,'Leads'!$AE$8:$AE$107,0)))&lt;&gt;$J55,IF(INDEX('Leads'!$AH$8:$AH$107,MATCH($A55,'Leads'!$AE$8:$AE$107,0))="","",INDEX('Leads'!$AH$8:$AH$107,MATCH($A55,'Leads'!$AE$8:$AE$107,0)))&lt;&gt;$K55,IF(INDEX('Leads'!$D$8:$D$107,MATCH($A55,'Leads'!$AE$8:$AE$107,0))="","",INDEX('Leads'!$D$8:$D$107,MATCH($A55,'Leads'!$AE$8:$AE$107,0)))&lt;&gt;$L55,IF(INDEX('Leads'!$E$8:$E$107,MATCH($A55,'Leads'!$AE$8:$AE$107,0))="","",INDEX('Leads'!$E$8:$E$107,MATCH($A55,'Leads'!$AE$8:$AE$107,0)))&lt;&gt;$M55,IF(INDEX('Leads'!$AI$8:$AI$107,MATCH($A55,'Leads'!$AE$8:$AE$107,0))="","",INDEX('Leads'!$AI$8:$AI$107,MATCH($A55,'Leads'!$AE$8:$AE$107,0)))&lt;&gt;$N55,IF(INDEX('Leads'!$AJ$8:$AJ$107,MATCH($A55,'Leads'!$AE$8:$AE$107,0))="","",INDEX('Leads'!$AJ$8:$AJ$107,MATCH($A55,'Leads'!$AE$8:$AE$107,0)))&lt;&gt;$O55,IF(INDEX('Leads'!$AK$8:$AK$107,MATCH($A55,'Leads'!$AE$8:$AE$107,0))="","",INDEX('Leads'!$AK$8:$AK$107,MATCH($A55,'Leads'!$AE$8:$AE$107,0)))&lt;&gt;$P55,IF(INDEX('Leads'!$AL$8:$AL$107,MATCH($A55,'Leads'!$AE$8:$AE$107,0))="","",INDEX('Leads'!$AL$8:$AL$107,MATCH($A55,'Leads'!$AE$8:$AE$107,0)))&lt;&gt;$Q55,IF(INDEX('Leads'!$AM$8:$AM$107,MATCH($A55,'Leads'!$AE$8:$AE$107,0))="","",INDEX('Leads'!$AM$8:$AM$107,MATCH($A55,'Leads'!$AE$8:$AE$107,0)))&lt;&gt;$R55,IF(INDEX('Leads'!$AN$8:$AN$107,MATCH($A55,'Leads'!$AE$8:$AE$107,0))="","",INDEX('Leads'!$AN$8:$AN$107,MATCH($A55,'Leads'!$AE$8:$AE$107,0)))&lt;&gt;$S55,IF(INDEX('Leads'!$AO$8:$AO$107,MATCH($A55,'Leads'!$AE$8:$AE$107,0))="","",INDEX('Leads'!$AO$8:$AO$107,MATCH($A55,'Leads'!$AE$8:$AE$107,0)))&lt;&gt;$T55,IF(INDEX('Leads'!$AP$8:$AP$107,MATCH($A55,'Leads'!$AE$8:$AE$107,0))="","",INDEX('Leads'!$AP$8:$AP$107,MATCH($A55,'Leads'!$AE$8:$AE$107,0)))&lt;&gt;$U55,IF(INDEX('Leads'!$AQ$8:$AQ$107,MATCH($A55,'Leads'!$AE$8:$AE$107,0))="","",INDEX('Leads'!$AQ$8:$AQ$107,MATCH($A55,'Leads'!$AE$8:$AE$107,0)))&lt;&gt;$V55,IF(INDEX('Leads'!$AR$8:$AR$107,MATCH($A55,'Leads'!$AE$8:$AE$107,0))="","",INDEX('Leads'!$AR$8:$AR$107,MATCH($A55,'Leads'!$AE$8:$AE$107,0)))&lt;&gt;$W55,IF(INDEX('Leads'!$AS$8:$AS$107,MATCH($A55,'Leads'!$AE$8:$AE$107,0))="","",INDEX('Leads'!$AS$8:$AS$107,MATCH($A55,'Leads'!$AE$8:$AE$107,0)))&lt;&gt;$X55,IF(INDEX('Leads'!$AT$8:$AT$107,MATCH($A55,'Leads'!$AE$8:$AE$107,0))="","",INDEX('Leads'!$AT$8:$AT$107,MATCH($A55,'Leads'!$AE$8:$AE$107,0)))&lt;&gt;$Y55),"ข้อมูลรับเข้าต่าง — ตรวจเอง","ตรงกัน — ห้ามนำเข้าซ้ำ"),"ตรวจ Lead ID เดิม")))</x:f>
      </x:c>
    </x:row>
    <x:row r="56" ht="30" customHeight="1">
      <x:c r="A56" s="94"/>
      <x:c r="B56" s="94"/>
      <x:c r="C56" s="86"/>
      <x:c r="D56" s="32"/>
      <x:c r="E56" s="32"/>
      <x:c r="F56" s="32"/>
      <x:c r="G56" s="32"/>
      <x:c r="H56" s="94"/>
      <x:c r="I56" s="94"/>
      <x:c r="J56" s="94"/>
      <x:c r="K56" s="32"/>
      <x:c r="L56" s="32"/>
      <x:c r="M56" s="32"/>
      <x:c r="N56" s="32"/>
      <x:c r="O56" s="88"/>
      <x:c r="P56" s="32"/>
      <x:c r="Q56" s="32"/>
      <x:c r="R56" s="32"/>
      <x:c r="S56" s="32"/>
      <x:c r="T56" s="32"/>
      <x:c r="U56" s="32"/>
      <x:c r="V56" s="94"/>
      <x:c r="W56" s="32"/>
      <x:c r="X56" s="32"/>
      <x:c r="Y56" s="32"/>
      <x:c r="Z56" s="86"/>
      <x:c r="AA56" s="42" t="str">
        <x:f>IF(AND($A56="",$B56=""),"",IF(OR($A56="",$B56=""),"CHECK_INPUT",IF(OR($Y56="test",COUNTIF('Guide_Lists'!$AR$2:$AR$4,$B56)&gt;0),"TEST_DO_NOT_IMPORT",IF(OR(COUNTIF('Import_Staging'!$A$8:$A$107,$A56)&gt;1,COUNTIF('Import_Staging'!$B$8:$B$107,$B56)&gt;1),"DUPLICATE_IN_IMPORT",IF(COUNTIF('Leads'!$AE$8:$AE$107,$A56)&gt;0,"EXISTS",IF(COUNTIF('Leads'!$A$8:$A$107,$B56)&gt;0,"CHECK_INPUT",IF(AND($Y56="production",ISNUMBER($C56)),"NEW","CHECK_INPUT")))))))</x:f>
      </x:c>
      <x:c r="AB56" s="42" t="str">
        <x:f>IF($AA56="","",IF($AA56&lt;&gt;"EXISTS","",IFERROR(IF(OR(IF(INDEX('Leads'!$A$8:$A$107,MATCH($A56,'Leads'!$AE$8:$AE$107,0))="","",INDEX('Leads'!$A$8:$A$107,MATCH($A56,'Leads'!$AE$8:$AE$107,0)))&lt;&gt;$B56,IF(INDEX('Leads'!$AF$8:$AF$107,MATCH($A56,'Leads'!$AE$8:$AE$107,0))="","",INDEX('Leads'!$AF$8:$AF$107,MATCH($A56,'Leads'!$AE$8:$AE$107,0)))&lt;&gt;$C56,IF(INDEX('Leads'!$AG$8:$AG$107,MATCH($A56,'Leads'!$AE$8:$AE$107,0))="","",INDEX('Leads'!$AG$8:$AG$107,MATCH($A56,'Leads'!$AE$8:$AE$107,0)))&lt;&gt;$D56,IF(INDEX('Leads'!$B$8:$B$107,MATCH($A56,'Leads'!$AE$8:$AE$107,0))="","",INDEX('Leads'!$B$8:$B$107,MATCH($A56,'Leads'!$AE$8:$AE$107,0)))&lt;&gt;$E56,IF(INDEX('Leads'!$C$8:$C$107,MATCH($A56,'Leads'!$AE$8:$AE$107,0))="","",INDEX('Leads'!$C$8:$C$107,MATCH($A56,'Leads'!$AE$8:$AE$107,0)))&lt;&gt;$F56,IF(INDEX('Leads'!$K$8:$K$107,MATCH($A56,'Leads'!$AE$8:$AE$107,0))="","",INDEX('Leads'!$K$8:$K$107,MATCH($A56,'Leads'!$AE$8:$AE$107,0)))&lt;&gt;$G56,IF(INDEX('Leads'!$L$8:$L$107,MATCH($A56,'Leads'!$AE$8:$AE$107,0))="","",INDEX('Leads'!$L$8:$L$107,MATCH($A56,'Leads'!$AE$8:$AE$107,0)))&lt;&gt;$H56,IF(INDEX('Leads'!$M$8:$M$107,MATCH($A56,'Leads'!$AE$8:$AE$107,0))="","",INDEX('Leads'!$M$8:$M$107,MATCH($A56,'Leads'!$AE$8:$AE$107,0)))&lt;&gt;$I56,IF(INDEX('Leads'!$N$8:$N$107,MATCH($A56,'Leads'!$AE$8:$AE$107,0))="","",INDEX('Leads'!$N$8:$N$107,MATCH($A56,'Leads'!$AE$8:$AE$107,0)))&lt;&gt;$J56,IF(INDEX('Leads'!$AH$8:$AH$107,MATCH($A56,'Leads'!$AE$8:$AE$107,0))="","",INDEX('Leads'!$AH$8:$AH$107,MATCH($A56,'Leads'!$AE$8:$AE$107,0)))&lt;&gt;$K56,IF(INDEX('Leads'!$D$8:$D$107,MATCH($A56,'Leads'!$AE$8:$AE$107,0))="","",INDEX('Leads'!$D$8:$D$107,MATCH($A56,'Leads'!$AE$8:$AE$107,0)))&lt;&gt;$L56,IF(INDEX('Leads'!$E$8:$E$107,MATCH($A56,'Leads'!$AE$8:$AE$107,0))="","",INDEX('Leads'!$E$8:$E$107,MATCH($A56,'Leads'!$AE$8:$AE$107,0)))&lt;&gt;$M56,IF(INDEX('Leads'!$AI$8:$AI$107,MATCH($A56,'Leads'!$AE$8:$AE$107,0))="","",INDEX('Leads'!$AI$8:$AI$107,MATCH($A56,'Leads'!$AE$8:$AE$107,0)))&lt;&gt;$N56,IF(INDEX('Leads'!$AJ$8:$AJ$107,MATCH($A56,'Leads'!$AE$8:$AE$107,0))="","",INDEX('Leads'!$AJ$8:$AJ$107,MATCH($A56,'Leads'!$AE$8:$AE$107,0)))&lt;&gt;$O56,IF(INDEX('Leads'!$AK$8:$AK$107,MATCH($A56,'Leads'!$AE$8:$AE$107,0))="","",INDEX('Leads'!$AK$8:$AK$107,MATCH($A56,'Leads'!$AE$8:$AE$107,0)))&lt;&gt;$P56,IF(INDEX('Leads'!$AL$8:$AL$107,MATCH($A56,'Leads'!$AE$8:$AE$107,0))="","",INDEX('Leads'!$AL$8:$AL$107,MATCH($A56,'Leads'!$AE$8:$AE$107,0)))&lt;&gt;$Q56,IF(INDEX('Leads'!$AM$8:$AM$107,MATCH($A56,'Leads'!$AE$8:$AE$107,0))="","",INDEX('Leads'!$AM$8:$AM$107,MATCH($A56,'Leads'!$AE$8:$AE$107,0)))&lt;&gt;$R56,IF(INDEX('Leads'!$AN$8:$AN$107,MATCH($A56,'Leads'!$AE$8:$AE$107,0))="","",INDEX('Leads'!$AN$8:$AN$107,MATCH($A56,'Leads'!$AE$8:$AE$107,0)))&lt;&gt;$S56,IF(INDEX('Leads'!$AO$8:$AO$107,MATCH($A56,'Leads'!$AE$8:$AE$107,0))="","",INDEX('Leads'!$AO$8:$AO$107,MATCH($A56,'Leads'!$AE$8:$AE$107,0)))&lt;&gt;$T56,IF(INDEX('Leads'!$AP$8:$AP$107,MATCH($A56,'Leads'!$AE$8:$AE$107,0))="","",INDEX('Leads'!$AP$8:$AP$107,MATCH($A56,'Leads'!$AE$8:$AE$107,0)))&lt;&gt;$U56,IF(INDEX('Leads'!$AQ$8:$AQ$107,MATCH($A56,'Leads'!$AE$8:$AE$107,0))="","",INDEX('Leads'!$AQ$8:$AQ$107,MATCH($A56,'Leads'!$AE$8:$AE$107,0)))&lt;&gt;$V56,IF(INDEX('Leads'!$AR$8:$AR$107,MATCH($A56,'Leads'!$AE$8:$AE$107,0))="","",INDEX('Leads'!$AR$8:$AR$107,MATCH($A56,'Leads'!$AE$8:$AE$107,0)))&lt;&gt;$W56,IF(INDEX('Leads'!$AS$8:$AS$107,MATCH($A56,'Leads'!$AE$8:$AE$107,0))="","",INDEX('Leads'!$AS$8:$AS$107,MATCH($A56,'Leads'!$AE$8:$AE$107,0)))&lt;&gt;$X56,IF(INDEX('Leads'!$AT$8:$AT$107,MATCH($A56,'Leads'!$AE$8:$AE$107,0))="","",INDEX('Leads'!$AT$8:$AT$107,MATCH($A56,'Leads'!$AE$8:$AE$107,0)))&lt;&gt;$Y56),"ข้อมูลรับเข้าต่าง — ตรวจเอง","ตรงกัน — ห้ามนำเข้าซ้ำ"),"ตรวจ Lead ID เดิม")))</x:f>
      </x:c>
    </x:row>
    <x:row r="57" ht="30" customHeight="1">
      <x:c r="A57" s="94"/>
      <x:c r="B57" s="94"/>
      <x:c r="C57" s="86"/>
      <x:c r="D57" s="32"/>
      <x:c r="E57" s="32"/>
      <x:c r="F57" s="32"/>
      <x:c r="G57" s="32"/>
      <x:c r="H57" s="94"/>
      <x:c r="I57" s="94"/>
      <x:c r="J57" s="94"/>
      <x:c r="K57" s="32"/>
      <x:c r="L57" s="32"/>
      <x:c r="M57" s="32"/>
      <x:c r="N57" s="32"/>
      <x:c r="O57" s="88"/>
      <x:c r="P57" s="32"/>
      <x:c r="Q57" s="32"/>
      <x:c r="R57" s="32"/>
      <x:c r="S57" s="32"/>
      <x:c r="T57" s="32"/>
      <x:c r="U57" s="32"/>
      <x:c r="V57" s="94"/>
      <x:c r="W57" s="32"/>
      <x:c r="X57" s="32"/>
      <x:c r="Y57" s="32"/>
      <x:c r="Z57" s="86"/>
      <x:c r="AA57" s="42" t="str">
        <x:f>IF(AND($A57="",$B57=""),"",IF(OR($A57="",$B57=""),"CHECK_INPUT",IF(OR($Y57="test",COUNTIF('Guide_Lists'!$AR$2:$AR$4,$B57)&gt;0),"TEST_DO_NOT_IMPORT",IF(OR(COUNTIF('Import_Staging'!$A$8:$A$107,$A57)&gt;1,COUNTIF('Import_Staging'!$B$8:$B$107,$B57)&gt;1),"DUPLICATE_IN_IMPORT",IF(COUNTIF('Leads'!$AE$8:$AE$107,$A57)&gt;0,"EXISTS",IF(COUNTIF('Leads'!$A$8:$A$107,$B57)&gt;0,"CHECK_INPUT",IF(AND($Y57="production",ISNUMBER($C57)),"NEW","CHECK_INPUT")))))))</x:f>
      </x:c>
      <x:c r="AB57" s="42" t="str">
        <x:f>IF($AA57="","",IF($AA57&lt;&gt;"EXISTS","",IFERROR(IF(OR(IF(INDEX('Leads'!$A$8:$A$107,MATCH($A57,'Leads'!$AE$8:$AE$107,0))="","",INDEX('Leads'!$A$8:$A$107,MATCH($A57,'Leads'!$AE$8:$AE$107,0)))&lt;&gt;$B57,IF(INDEX('Leads'!$AF$8:$AF$107,MATCH($A57,'Leads'!$AE$8:$AE$107,0))="","",INDEX('Leads'!$AF$8:$AF$107,MATCH($A57,'Leads'!$AE$8:$AE$107,0)))&lt;&gt;$C57,IF(INDEX('Leads'!$AG$8:$AG$107,MATCH($A57,'Leads'!$AE$8:$AE$107,0))="","",INDEX('Leads'!$AG$8:$AG$107,MATCH($A57,'Leads'!$AE$8:$AE$107,0)))&lt;&gt;$D57,IF(INDEX('Leads'!$B$8:$B$107,MATCH($A57,'Leads'!$AE$8:$AE$107,0))="","",INDEX('Leads'!$B$8:$B$107,MATCH($A57,'Leads'!$AE$8:$AE$107,0)))&lt;&gt;$E57,IF(INDEX('Leads'!$C$8:$C$107,MATCH($A57,'Leads'!$AE$8:$AE$107,0))="","",INDEX('Leads'!$C$8:$C$107,MATCH($A57,'Leads'!$AE$8:$AE$107,0)))&lt;&gt;$F57,IF(INDEX('Leads'!$K$8:$K$107,MATCH($A57,'Leads'!$AE$8:$AE$107,0))="","",INDEX('Leads'!$K$8:$K$107,MATCH($A57,'Leads'!$AE$8:$AE$107,0)))&lt;&gt;$G57,IF(INDEX('Leads'!$L$8:$L$107,MATCH($A57,'Leads'!$AE$8:$AE$107,0))="","",INDEX('Leads'!$L$8:$L$107,MATCH($A57,'Leads'!$AE$8:$AE$107,0)))&lt;&gt;$H57,IF(INDEX('Leads'!$M$8:$M$107,MATCH($A57,'Leads'!$AE$8:$AE$107,0))="","",INDEX('Leads'!$M$8:$M$107,MATCH($A57,'Leads'!$AE$8:$AE$107,0)))&lt;&gt;$I57,IF(INDEX('Leads'!$N$8:$N$107,MATCH($A57,'Leads'!$AE$8:$AE$107,0))="","",INDEX('Leads'!$N$8:$N$107,MATCH($A57,'Leads'!$AE$8:$AE$107,0)))&lt;&gt;$J57,IF(INDEX('Leads'!$AH$8:$AH$107,MATCH($A57,'Leads'!$AE$8:$AE$107,0))="","",INDEX('Leads'!$AH$8:$AH$107,MATCH($A57,'Leads'!$AE$8:$AE$107,0)))&lt;&gt;$K57,IF(INDEX('Leads'!$D$8:$D$107,MATCH($A57,'Leads'!$AE$8:$AE$107,0))="","",INDEX('Leads'!$D$8:$D$107,MATCH($A57,'Leads'!$AE$8:$AE$107,0)))&lt;&gt;$L57,IF(INDEX('Leads'!$E$8:$E$107,MATCH($A57,'Leads'!$AE$8:$AE$107,0))="","",INDEX('Leads'!$E$8:$E$107,MATCH($A57,'Leads'!$AE$8:$AE$107,0)))&lt;&gt;$M57,IF(INDEX('Leads'!$AI$8:$AI$107,MATCH($A57,'Leads'!$AE$8:$AE$107,0))="","",INDEX('Leads'!$AI$8:$AI$107,MATCH($A57,'Leads'!$AE$8:$AE$107,0)))&lt;&gt;$N57,IF(INDEX('Leads'!$AJ$8:$AJ$107,MATCH($A57,'Leads'!$AE$8:$AE$107,0))="","",INDEX('Leads'!$AJ$8:$AJ$107,MATCH($A57,'Leads'!$AE$8:$AE$107,0)))&lt;&gt;$O57,IF(INDEX('Leads'!$AK$8:$AK$107,MATCH($A57,'Leads'!$AE$8:$AE$107,0))="","",INDEX('Leads'!$AK$8:$AK$107,MATCH($A57,'Leads'!$AE$8:$AE$107,0)))&lt;&gt;$P57,IF(INDEX('Leads'!$AL$8:$AL$107,MATCH($A57,'Leads'!$AE$8:$AE$107,0))="","",INDEX('Leads'!$AL$8:$AL$107,MATCH($A57,'Leads'!$AE$8:$AE$107,0)))&lt;&gt;$Q57,IF(INDEX('Leads'!$AM$8:$AM$107,MATCH($A57,'Leads'!$AE$8:$AE$107,0))="","",INDEX('Leads'!$AM$8:$AM$107,MATCH($A57,'Leads'!$AE$8:$AE$107,0)))&lt;&gt;$R57,IF(INDEX('Leads'!$AN$8:$AN$107,MATCH($A57,'Leads'!$AE$8:$AE$107,0))="","",INDEX('Leads'!$AN$8:$AN$107,MATCH($A57,'Leads'!$AE$8:$AE$107,0)))&lt;&gt;$S57,IF(INDEX('Leads'!$AO$8:$AO$107,MATCH($A57,'Leads'!$AE$8:$AE$107,0))="","",INDEX('Leads'!$AO$8:$AO$107,MATCH($A57,'Leads'!$AE$8:$AE$107,0)))&lt;&gt;$T57,IF(INDEX('Leads'!$AP$8:$AP$107,MATCH($A57,'Leads'!$AE$8:$AE$107,0))="","",INDEX('Leads'!$AP$8:$AP$107,MATCH($A57,'Leads'!$AE$8:$AE$107,0)))&lt;&gt;$U57,IF(INDEX('Leads'!$AQ$8:$AQ$107,MATCH($A57,'Leads'!$AE$8:$AE$107,0))="","",INDEX('Leads'!$AQ$8:$AQ$107,MATCH($A57,'Leads'!$AE$8:$AE$107,0)))&lt;&gt;$V57,IF(INDEX('Leads'!$AR$8:$AR$107,MATCH($A57,'Leads'!$AE$8:$AE$107,0))="","",INDEX('Leads'!$AR$8:$AR$107,MATCH($A57,'Leads'!$AE$8:$AE$107,0)))&lt;&gt;$W57,IF(INDEX('Leads'!$AS$8:$AS$107,MATCH($A57,'Leads'!$AE$8:$AE$107,0))="","",INDEX('Leads'!$AS$8:$AS$107,MATCH($A57,'Leads'!$AE$8:$AE$107,0)))&lt;&gt;$X57,IF(INDEX('Leads'!$AT$8:$AT$107,MATCH($A57,'Leads'!$AE$8:$AE$107,0))="","",INDEX('Leads'!$AT$8:$AT$107,MATCH($A57,'Leads'!$AE$8:$AE$107,0)))&lt;&gt;$Y57),"ข้อมูลรับเข้าต่าง — ตรวจเอง","ตรงกัน — ห้ามนำเข้าซ้ำ"),"ตรวจ Lead ID เดิม")))</x:f>
      </x:c>
    </x:row>
    <x:row r="58" ht="30" customHeight="1">
      <x:c r="A58" s="94"/>
      <x:c r="B58" s="94"/>
      <x:c r="C58" s="86"/>
      <x:c r="D58" s="32"/>
      <x:c r="E58" s="32"/>
      <x:c r="F58" s="32"/>
      <x:c r="G58" s="32"/>
      <x:c r="H58" s="94"/>
      <x:c r="I58" s="94"/>
      <x:c r="J58" s="94"/>
      <x:c r="K58" s="32"/>
      <x:c r="L58" s="32"/>
      <x:c r="M58" s="32"/>
      <x:c r="N58" s="32"/>
      <x:c r="O58" s="88"/>
      <x:c r="P58" s="32"/>
      <x:c r="Q58" s="32"/>
      <x:c r="R58" s="32"/>
      <x:c r="S58" s="32"/>
      <x:c r="T58" s="32"/>
      <x:c r="U58" s="32"/>
      <x:c r="V58" s="94"/>
      <x:c r="W58" s="32"/>
      <x:c r="X58" s="32"/>
      <x:c r="Y58" s="32"/>
      <x:c r="Z58" s="86"/>
      <x:c r="AA58" s="42" t="str">
        <x:f>IF(AND($A58="",$B58=""),"",IF(OR($A58="",$B58=""),"CHECK_INPUT",IF(OR($Y58="test",COUNTIF('Guide_Lists'!$AR$2:$AR$4,$B58)&gt;0),"TEST_DO_NOT_IMPORT",IF(OR(COUNTIF('Import_Staging'!$A$8:$A$107,$A58)&gt;1,COUNTIF('Import_Staging'!$B$8:$B$107,$B58)&gt;1),"DUPLICATE_IN_IMPORT",IF(COUNTIF('Leads'!$AE$8:$AE$107,$A58)&gt;0,"EXISTS",IF(COUNTIF('Leads'!$A$8:$A$107,$B58)&gt;0,"CHECK_INPUT",IF(AND($Y58="production",ISNUMBER($C58)),"NEW","CHECK_INPUT")))))))</x:f>
      </x:c>
      <x:c r="AB58" s="42" t="str">
        <x:f>IF($AA58="","",IF($AA58&lt;&gt;"EXISTS","",IFERROR(IF(OR(IF(INDEX('Leads'!$A$8:$A$107,MATCH($A58,'Leads'!$AE$8:$AE$107,0))="","",INDEX('Leads'!$A$8:$A$107,MATCH($A58,'Leads'!$AE$8:$AE$107,0)))&lt;&gt;$B58,IF(INDEX('Leads'!$AF$8:$AF$107,MATCH($A58,'Leads'!$AE$8:$AE$107,0))="","",INDEX('Leads'!$AF$8:$AF$107,MATCH($A58,'Leads'!$AE$8:$AE$107,0)))&lt;&gt;$C58,IF(INDEX('Leads'!$AG$8:$AG$107,MATCH($A58,'Leads'!$AE$8:$AE$107,0))="","",INDEX('Leads'!$AG$8:$AG$107,MATCH($A58,'Leads'!$AE$8:$AE$107,0)))&lt;&gt;$D58,IF(INDEX('Leads'!$B$8:$B$107,MATCH($A58,'Leads'!$AE$8:$AE$107,0))="","",INDEX('Leads'!$B$8:$B$107,MATCH($A58,'Leads'!$AE$8:$AE$107,0)))&lt;&gt;$E58,IF(INDEX('Leads'!$C$8:$C$107,MATCH($A58,'Leads'!$AE$8:$AE$107,0))="","",INDEX('Leads'!$C$8:$C$107,MATCH($A58,'Leads'!$AE$8:$AE$107,0)))&lt;&gt;$F58,IF(INDEX('Leads'!$K$8:$K$107,MATCH($A58,'Leads'!$AE$8:$AE$107,0))="","",INDEX('Leads'!$K$8:$K$107,MATCH($A58,'Leads'!$AE$8:$AE$107,0)))&lt;&gt;$G58,IF(INDEX('Leads'!$L$8:$L$107,MATCH($A58,'Leads'!$AE$8:$AE$107,0))="","",INDEX('Leads'!$L$8:$L$107,MATCH($A58,'Leads'!$AE$8:$AE$107,0)))&lt;&gt;$H58,IF(INDEX('Leads'!$M$8:$M$107,MATCH($A58,'Leads'!$AE$8:$AE$107,0))="","",INDEX('Leads'!$M$8:$M$107,MATCH($A58,'Leads'!$AE$8:$AE$107,0)))&lt;&gt;$I58,IF(INDEX('Leads'!$N$8:$N$107,MATCH($A58,'Leads'!$AE$8:$AE$107,0))="","",INDEX('Leads'!$N$8:$N$107,MATCH($A58,'Leads'!$AE$8:$AE$107,0)))&lt;&gt;$J58,IF(INDEX('Leads'!$AH$8:$AH$107,MATCH($A58,'Leads'!$AE$8:$AE$107,0))="","",INDEX('Leads'!$AH$8:$AH$107,MATCH($A58,'Leads'!$AE$8:$AE$107,0)))&lt;&gt;$K58,IF(INDEX('Leads'!$D$8:$D$107,MATCH($A58,'Leads'!$AE$8:$AE$107,0))="","",INDEX('Leads'!$D$8:$D$107,MATCH($A58,'Leads'!$AE$8:$AE$107,0)))&lt;&gt;$L58,IF(INDEX('Leads'!$E$8:$E$107,MATCH($A58,'Leads'!$AE$8:$AE$107,0))="","",INDEX('Leads'!$E$8:$E$107,MATCH($A58,'Leads'!$AE$8:$AE$107,0)))&lt;&gt;$M58,IF(INDEX('Leads'!$AI$8:$AI$107,MATCH($A58,'Leads'!$AE$8:$AE$107,0))="","",INDEX('Leads'!$AI$8:$AI$107,MATCH($A58,'Leads'!$AE$8:$AE$107,0)))&lt;&gt;$N58,IF(INDEX('Leads'!$AJ$8:$AJ$107,MATCH($A58,'Leads'!$AE$8:$AE$107,0))="","",INDEX('Leads'!$AJ$8:$AJ$107,MATCH($A58,'Leads'!$AE$8:$AE$107,0)))&lt;&gt;$O58,IF(INDEX('Leads'!$AK$8:$AK$107,MATCH($A58,'Leads'!$AE$8:$AE$107,0))="","",INDEX('Leads'!$AK$8:$AK$107,MATCH($A58,'Leads'!$AE$8:$AE$107,0)))&lt;&gt;$P58,IF(INDEX('Leads'!$AL$8:$AL$107,MATCH($A58,'Leads'!$AE$8:$AE$107,0))="","",INDEX('Leads'!$AL$8:$AL$107,MATCH($A58,'Leads'!$AE$8:$AE$107,0)))&lt;&gt;$Q58,IF(INDEX('Leads'!$AM$8:$AM$107,MATCH($A58,'Leads'!$AE$8:$AE$107,0))="","",INDEX('Leads'!$AM$8:$AM$107,MATCH($A58,'Leads'!$AE$8:$AE$107,0)))&lt;&gt;$R58,IF(INDEX('Leads'!$AN$8:$AN$107,MATCH($A58,'Leads'!$AE$8:$AE$107,0))="","",INDEX('Leads'!$AN$8:$AN$107,MATCH($A58,'Leads'!$AE$8:$AE$107,0)))&lt;&gt;$S58,IF(INDEX('Leads'!$AO$8:$AO$107,MATCH($A58,'Leads'!$AE$8:$AE$107,0))="","",INDEX('Leads'!$AO$8:$AO$107,MATCH($A58,'Leads'!$AE$8:$AE$107,0)))&lt;&gt;$T58,IF(INDEX('Leads'!$AP$8:$AP$107,MATCH($A58,'Leads'!$AE$8:$AE$107,0))="","",INDEX('Leads'!$AP$8:$AP$107,MATCH($A58,'Leads'!$AE$8:$AE$107,0)))&lt;&gt;$U58,IF(INDEX('Leads'!$AQ$8:$AQ$107,MATCH($A58,'Leads'!$AE$8:$AE$107,0))="","",INDEX('Leads'!$AQ$8:$AQ$107,MATCH($A58,'Leads'!$AE$8:$AE$107,0)))&lt;&gt;$V58,IF(INDEX('Leads'!$AR$8:$AR$107,MATCH($A58,'Leads'!$AE$8:$AE$107,0))="","",INDEX('Leads'!$AR$8:$AR$107,MATCH($A58,'Leads'!$AE$8:$AE$107,0)))&lt;&gt;$W58,IF(INDEX('Leads'!$AS$8:$AS$107,MATCH($A58,'Leads'!$AE$8:$AE$107,0))="","",INDEX('Leads'!$AS$8:$AS$107,MATCH($A58,'Leads'!$AE$8:$AE$107,0)))&lt;&gt;$X58,IF(INDEX('Leads'!$AT$8:$AT$107,MATCH($A58,'Leads'!$AE$8:$AE$107,0))="","",INDEX('Leads'!$AT$8:$AT$107,MATCH($A58,'Leads'!$AE$8:$AE$107,0)))&lt;&gt;$Y58),"ข้อมูลรับเข้าต่าง — ตรวจเอง","ตรงกัน — ห้ามนำเข้าซ้ำ"),"ตรวจ Lead ID เดิม")))</x:f>
      </x:c>
    </x:row>
    <x:row r="59" ht="30" customHeight="1">
      <x:c r="A59" s="94"/>
      <x:c r="B59" s="94"/>
      <x:c r="C59" s="86"/>
      <x:c r="D59" s="32"/>
      <x:c r="E59" s="32"/>
      <x:c r="F59" s="32"/>
      <x:c r="G59" s="32"/>
      <x:c r="H59" s="94"/>
      <x:c r="I59" s="94"/>
      <x:c r="J59" s="94"/>
      <x:c r="K59" s="32"/>
      <x:c r="L59" s="32"/>
      <x:c r="M59" s="32"/>
      <x:c r="N59" s="32"/>
      <x:c r="O59" s="88"/>
      <x:c r="P59" s="32"/>
      <x:c r="Q59" s="32"/>
      <x:c r="R59" s="32"/>
      <x:c r="S59" s="32"/>
      <x:c r="T59" s="32"/>
      <x:c r="U59" s="32"/>
      <x:c r="V59" s="94"/>
      <x:c r="W59" s="32"/>
      <x:c r="X59" s="32"/>
      <x:c r="Y59" s="32"/>
      <x:c r="Z59" s="86"/>
      <x:c r="AA59" s="42" t="str">
        <x:f>IF(AND($A59="",$B59=""),"",IF(OR($A59="",$B59=""),"CHECK_INPUT",IF(OR($Y59="test",COUNTIF('Guide_Lists'!$AR$2:$AR$4,$B59)&gt;0),"TEST_DO_NOT_IMPORT",IF(OR(COUNTIF('Import_Staging'!$A$8:$A$107,$A59)&gt;1,COUNTIF('Import_Staging'!$B$8:$B$107,$B59)&gt;1),"DUPLICATE_IN_IMPORT",IF(COUNTIF('Leads'!$AE$8:$AE$107,$A59)&gt;0,"EXISTS",IF(COUNTIF('Leads'!$A$8:$A$107,$B59)&gt;0,"CHECK_INPUT",IF(AND($Y59="production",ISNUMBER($C59)),"NEW","CHECK_INPUT")))))))</x:f>
      </x:c>
      <x:c r="AB59" s="42" t="str">
        <x:f>IF($AA59="","",IF($AA59&lt;&gt;"EXISTS","",IFERROR(IF(OR(IF(INDEX('Leads'!$A$8:$A$107,MATCH($A59,'Leads'!$AE$8:$AE$107,0))="","",INDEX('Leads'!$A$8:$A$107,MATCH($A59,'Leads'!$AE$8:$AE$107,0)))&lt;&gt;$B59,IF(INDEX('Leads'!$AF$8:$AF$107,MATCH($A59,'Leads'!$AE$8:$AE$107,0))="","",INDEX('Leads'!$AF$8:$AF$107,MATCH($A59,'Leads'!$AE$8:$AE$107,0)))&lt;&gt;$C59,IF(INDEX('Leads'!$AG$8:$AG$107,MATCH($A59,'Leads'!$AE$8:$AE$107,0))="","",INDEX('Leads'!$AG$8:$AG$107,MATCH($A59,'Leads'!$AE$8:$AE$107,0)))&lt;&gt;$D59,IF(INDEX('Leads'!$B$8:$B$107,MATCH($A59,'Leads'!$AE$8:$AE$107,0))="","",INDEX('Leads'!$B$8:$B$107,MATCH($A59,'Leads'!$AE$8:$AE$107,0)))&lt;&gt;$E59,IF(INDEX('Leads'!$C$8:$C$107,MATCH($A59,'Leads'!$AE$8:$AE$107,0))="","",INDEX('Leads'!$C$8:$C$107,MATCH($A59,'Leads'!$AE$8:$AE$107,0)))&lt;&gt;$F59,IF(INDEX('Leads'!$K$8:$K$107,MATCH($A59,'Leads'!$AE$8:$AE$107,0))="","",INDEX('Leads'!$K$8:$K$107,MATCH($A59,'Leads'!$AE$8:$AE$107,0)))&lt;&gt;$G59,IF(INDEX('Leads'!$L$8:$L$107,MATCH($A59,'Leads'!$AE$8:$AE$107,0))="","",INDEX('Leads'!$L$8:$L$107,MATCH($A59,'Leads'!$AE$8:$AE$107,0)))&lt;&gt;$H59,IF(INDEX('Leads'!$M$8:$M$107,MATCH($A59,'Leads'!$AE$8:$AE$107,0))="","",INDEX('Leads'!$M$8:$M$107,MATCH($A59,'Leads'!$AE$8:$AE$107,0)))&lt;&gt;$I59,IF(INDEX('Leads'!$N$8:$N$107,MATCH($A59,'Leads'!$AE$8:$AE$107,0))="","",INDEX('Leads'!$N$8:$N$107,MATCH($A59,'Leads'!$AE$8:$AE$107,0)))&lt;&gt;$J59,IF(INDEX('Leads'!$AH$8:$AH$107,MATCH($A59,'Leads'!$AE$8:$AE$107,0))="","",INDEX('Leads'!$AH$8:$AH$107,MATCH($A59,'Leads'!$AE$8:$AE$107,0)))&lt;&gt;$K59,IF(INDEX('Leads'!$D$8:$D$107,MATCH($A59,'Leads'!$AE$8:$AE$107,0))="","",INDEX('Leads'!$D$8:$D$107,MATCH($A59,'Leads'!$AE$8:$AE$107,0)))&lt;&gt;$L59,IF(INDEX('Leads'!$E$8:$E$107,MATCH($A59,'Leads'!$AE$8:$AE$107,0))="","",INDEX('Leads'!$E$8:$E$107,MATCH($A59,'Leads'!$AE$8:$AE$107,0)))&lt;&gt;$M59,IF(INDEX('Leads'!$AI$8:$AI$107,MATCH($A59,'Leads'!$AE$8:$AE$107,0))="","",INDEX('Leads'!$AI$8:$AI$107,MATCH($A59,'Leads'!$AE$8:$AE$107,0)))&lt;&gt;$N59,IF(INDEX('Leads'!$AJ$8:$AJ$107,MATCH($A59,'Leads'!$AE$8:$AE$107,0))="","",INDEX('Leads'!$AJ$8:$AJ$107,MATCH($A59,'Leads'!$AE$8:$AE$107,0)))&lt;&gt;$O59,IF(INDEX('Leads'!$AK$8:$AK$107,MATCH($A59,'Leads'!$AE$8:$AE$107,0))="","",INDEX('Leads'!$AK$8:$AK$107,MATCH($A59,'Leads'!$AE$8:$AE$107,0)))&lt;&gt;$P59,IF(INDEX('Leads'!$AL$8:$AL$107,MATCH($A59,'Leads'!$AE$8:$AE$107,0))="","",INDEX('Leads'!$AL$8:$AL$107,MATCH($A59,'Leads'!$AE$8:$AE$107,0)))&lt;&gt;$Q59,IF(INDEX('Leads'!$AM$8:$AM$107,MATCH($A59,'Leads'!$AE$8:$AE$107,0))="","",INDEX('Leads'!$AM$8:$AM$107,MATCH($A59,'Leads'!$AE$8:$AE$107,0)))&lt;&gt;$R59,IF(INDEX('Leads'!$AN$8:$AN$107,MATCH($A59,'Leads'!$AE$8:$AE$107,0))="","",INDEX('Leads'!$AN$8:$AN$107,MATCH($A59,'Leads'!$AE$8:$AE$107,0)))&lt;&gt;$S59,IF(INDEX('Leads'!$AO$8:$AO$107,MATCH($A59,'Leads'!$AE$8:$AE$107,0))="","",INDEX('Leads'!$AO$8:$AO$107,MATCH($A59,'Leads'!$AE$8:$AE$107,0)))&lt;&gt;$T59,IF(INDEX('Leads'!$AP$8:$AP$107,MATCH($A59,'Leads'!$AE$8:$AE$107,0))="","",INDEX('Leads'!$AP$8:$AP$107,MATCH($A59,'Leads'!$AE$8:$AE$107,0)))&lt;&gt;$U59,IF(INDEX('Leads'!$AQ$8:$AQ$107,MATCH($A59,'Leads'!$AE$8:$AE$107,0))="","",INDEX('Leads'!$AQ$8:$AQ$107,MATCH($A59,'Leads'!$AE$8:$AE$107,0)))&lt;&gt;$V59,IF(INDEX('Leads'!$AR$8:$AR$107,MATCH($A59,'Leads'!$AE$8:$AE$107,0))="","",INDEX('Leads'!$AR$8:$AR$107,MATCH($A59,'Leads'!$AE$8:$AE$107,0)))&lt;&gt;$W59,IF(INDEX('Leads'!$AS$8:$AS$107,MATCH($A59,'Leads'!$AE$8:$AE$107,0))="","",INDEX('Leads'!$AS$8:$AS$107,MATCH($A59,'Leads'!$AE$8:$AE$107,0)))&lt;&gt;$X59,IF(INDEX('Leads'!$AT$8:$AT$107,MATCH($A59,'Leads'!$AE$8:$AE$107,0))="","",INDEX('Leads'!$AT$8:$AT$107,MATCH($A59,'Leads'!$AE$8:$AE$107,0)))&lt;&gt;$Y59),"ข้อมูลรับเข้าต่าง — ตรวจเอง","ตรงกัน — ห้ามนำเข้าซ้ำ"),"ตรวจ Lead ID เดิม")))</x:f>
      </x:c>
    </x:row>
    <x:row r="60" ht="30" customHeight="1">
      <x:c r="A60" s="94"/>
      <x:c r="B60" s="94"/>
      <x:c r="C60" s="86"/>
      <x:c r="D60" s="32"/>
      <x:c r="E60" s="32"/>
      <x:c r="F60" s="32"/>
      <x:c r="G60" s="32"/>
      <x:c r="H60" s="94"/>
      <x:c r="I60" s="94"/>
      <x:c r="J60" s="94"/>
      <x:c r="K60" s="32"/>
      <x:c r="L60" s="32"/>
      <x:c r="M60" s="32"/>
      <x:c r="N60" s="32"/>
      <x:c r="O60" s="88"/>
      <x:c r="P60" s="32"/>
      <x:c r="Q60" s="32"/>
      <x:c r="R60" s="32"/>
      <x:c r="S60" s="32"/>
      <x:c r="T60" s="32"/>
      <x:c r="U60" s="32"/>
      <x:c r="V60" s="94"/>
      <x:c r="W60" s="32"/>
      <x:c r="X60" s="32"/>
      <x:c r="Y60" s="32"/>
      <x:c r="Z60" s="86"/>
      <x:c r="AA60" s="42" t="str">
        <x:f>IF(AND($A60="",$B60=""),"",IF(OR($A60="",$B60=""),"CHECK_INPUT",IF(OR($Y60="test",COUNTIF('Guide_Lists'!$AR$2:$AR$4,$B60)&gt;0),"TEST_DO_NOT_IMPORT",IF(OR(COUNTIF('Import_Staging'!$A$8:$A$107,$A60)&gt;1,COUNTIF('Import_Staging'!$B$8:$B$107,$B60)&gt;1),"DUPLICATE_IN_IMPORT",IF(COUNTIF('Leads'!$AE$8:$AE$107,$A60)&gt;0,"EXISTS",IF(COUNTIF('Leads'!$A$8:$A$107,$B60)&gt;0,"CHECK_INPUT",IF(AND($Y60="production",ISNUMBER($C60)),"NEW","CHECK_INPUT")))))))</x:f>
      </x:c>
      <x:c r="AB60" s="42" t="str">
        <x:f>IF($AA60="","",IF($AA60&lt;&gt;"EXISTS","",IFERROR(IF(OR(IF(INDEX('Leads'!$A$8:$A$107,MATCH($A60,'Leads'!$AE$8:$AE$107,0))="","",INDEX('Leads'!$A$8:$A$107,MATCH($A60,'Leads'!$AE$8:$AE$107,0)))&lt;&gt;$B60,IF(INDEX('Leads'!$AF$8:$AF$107,MATCH($A60,'Leads'!$AE$8:$AE$107,0))="","",INDEX('Leads'!$AF$8:$AF$107,MATCH($A60,'Leads'!$AE$8:$AE$107,0)))&lt;&gt;$C60,IF(INDEX('Leads'!$AG$8:$AG$107,MATCH($A60,'Leads'!$AE$8:$AE$107,0))="","",INDEX('Leads'!$AG$8:$AG$107,MATCH($A60,'Leads'!$AE$8:$AE$107,0)))&lt;&gt;$D60,IF(INDEX('Leads'!$B$8:$B$107,MATCH($A60,'Leads'!$AE$8:$AE$107,0))="","",INDEX('Leads'!$B$8:$B$107,MATCH($A60,'Leads'!$AE$8:$AE$107,0)))&lt;&gt;$E60,IF(INDEX('Leads'!$C$8:$C$107,MATCH($A60,'Leads'!$AE$8:$AE$107,0))="","",INDEX('Leads'!$C$8:$C$107,MATCH($A60,'Leads'!$AE$8:$AE$107,0)))&lt;&gt;$F60,IF(INDEX('Leads'!$K$8:$K$107,MATCH($A60,'Leads'!$AE$8:$AE$107,0))="","",INDEX('Leads'!$K$8:$K$107,MATCH($A60,'Leads'!$AE$8:$AE$107,0)))&lt;&gt;$G60,IF(INDEX('Leads'!$L$8:$L$107,MATCH($A60,'Leads'!$AE$8:$AE$107,0))="","",INDEX('Leads'!$L$8:$L$107,MATCH($A60,'Leads'!$AE$8:$AE$107,0)))&lt;&gt;$H60,IF(INDEX('Leads'!$M$8:$M$107,MATCH($A60,'Leads'!$AE$8:$AE$107,0))="","",INDEX('Leads'!$M$8:$M$107,MATCH($A60,'Leads'!$AE$8:$AE$107,0)))&lt;&gt;$I60,IF(INDEX('Leads'!$N$8:$N$107,MATCH($A60,'Leads'!$AE$8:$AE$107,0))="","",INDEX('Leads'!$N$8:$N$107,MATCH($A60,'Leads'!$AE$8:$AE$107,0)))&lt;&gt;$J60,IF(INDEX('Leads'!$AH$8:$AH$107,MATCH($A60,'Leads'!$AE$8:$AE$107,0))="","",INDEX('Leads'!$AH$8:$AH$107,MATCH($A60,'Leads'!$AE$8:$AE$107,0)))&lt;&gt;$K60,IF(INDEX('Leads'!$D$8:$D$107,MATCH($A60,'Leads'!$AE$8:$AE$107,0))="","",INDEX('Leads'!$D$8:$D$107,MATCH($A60,'Leads'!$AE$8:$AE$107,0)))&lt;&gt;$L60,IF(INDEX('Leads'!$E$8:$E$107,MATCH($A60,'Leads'!$AE$8:$AE$107,0))="","",INDEX('Leads'!$E$8:$E$107,MATCH($A60,'Leads'!$AE$8:$AE$107,0)))&lt;&gt;$M60,IF(INDEX('Leads'!$AI$8:$AI$107,MATCH($A60,'Leads'!$AE$8:$AE$107,0))="","",INDEX('Leads'!$AI$8:$AI$107,MATCH($A60,'Leads'!$AE$8:$AE$107,0)))&lt;&gt;$N60,IF(INDEX('Leads'!$AJ$8:$AJ$107,MATCH($A60,'Leads'!$AE$8:$AE$107,0))="","",INDEX('Leads'!$AJ$8:$AJ$107,MATCH($A60,'Leads'!$AE$8:$AE$107,0)))&lt;&gt;$O60,IF(INDEX('Leads'!$AK$8:$AK$107,MATCH($A60,'Leads'!$AE$8:$AE$107,0))="","",INDEX('Leads'!$AK$8:$AK$107,MATCH($A60,'Leads'!$AE$8:$AE$107,0)))&lt;&gt;$P60,IF(INDEX('Leads'!$AL$8:$AL$107,MATCH($A60,'Leads'!$AE$8:$AE$107,0))="","",INDEX('Leads'!$AL$8:$AL$107,MATCH($A60,'Leads'!$AE$8:$AE$107,0)))&lt;&gt;$Q60,IF(INDEX('Leads'!$AM$8:$AM$107,MATCH($A60,'Leads'!$AE$8:$AE$107,0))="","",INDEX('Leads'!$AM$8:$AM$107,MATCH($A60,'Leads'!$AE$8:$AE$107,0)))&lt;&gt;$R60,IF(INDEX('Leads'!$AN$8:$AN$107,MATCH($A60,'Leads'!$AE$8:$AE$107,0))="","",INDEX('Leads'!$AN$8:$AN$107,MATCH($A60,'Leads'!$AE$8:$AE$107,0)))&lt;&gt;$S60,IF(INDEX('Leads'!$AO$8:$AO$107,MATCH($A60,'Leads'!$AE$8:$AE$107,0))="","",INDEX('Leads'!$AO$8:$AO$107,MATCH($A60,'Leads'!$AE$8:$AE$107,0)))&lt;&gt;$T60,IF(INDEX('Leads'!$AP$8:$AP$107,MATCH($A60,'Leads'!$AE$8:$AE$107,0))="","",INDEX('Leads'!$AP$8:$AP$107,MATCH($A60,'Leads'!$AE$8:$AE$107,0)))&lt;&gt;$U60,IF(INDEX('Leads'!$AQ$8:$AQ$107,MATCH($A60,'Leads'!$AE$8:$AE$107,0))="","",INDEX('Leads'!$AQ$8:$AQ$107,MATCH($A60,'Leads'!$AE$8:$AE$107,0)))&lt;&gt;$V60,IF(INDEX('Leads'!$AR$8:$AR$107,MATCH($A60,'Leads'!$AE$8:$AE$107,0))="","",INDEX('Leads'!$AR$8:$AR$107,MATCH($A60,'Leads'!$AE$8:$AE$107,0)))&lt;&gt;$W60,IF(INDEX('Leads'!$AS$8:$AS$107,MATCH($A60,'Leads'!$AE$8:$AE$107,0))="","",INDEX('Leads'!$AS$8:$AS$107,MATCH($A60,'Leads'!$AE$8:$AE$107,0)))&lt;&gt;$X60,IF(INDEX('Leads'!$AT$8:$AT$107,MATCH($A60,'Leads'!$AE$8:$AE$107,0))="","",INDEX('Leads'!$AT$8:$AT$107,MATCH($A60,'Leads'!$AE$8:$AE$107,0)))&lt;&gt;$Y60),"ข้อมูลรับเข้าต่าง — ตรวจเอง","ตรงกัน — ห้ามนำเข้าซ้ำ"),"ตรวจ Lead ID เดิม")))</x:f>
      </x:c>
    </x:row>
    <x:row r="61" ht="30" customHeight="1">
      <x:c r="A61" s="94"/>
      <x:c r="B61" s="94"/>
      <x:c r="C61" s="86"/>
      <x:c r="D61" s="32"/>
      <x:c r="E61" s="32"/>
      <x:c r="F61" s="32"/>
      <x:c r="G61" s="32"/>
      <x:c r="H61" s="94"/>
      <x:c r="I61" s="94"/>
      <x:c r="J61" s="94"/>
      <x:c r="K61" s="32"/>
      <x:c r="L61" s="32"/>
      <x:c r="M61" s="32"/>
      <x:c r="N61" s="32"/>
      <x:c r="O61" s="88"/>
      <x:c r="P61" s="32"/>
      <x:c r="Q61" s="32"/>
      <x:c r="R61" s="32"/>
      <x:c r="S61" s="32"/>
      <x:c r="T61" s="32"/>
      <x:c r="U61" s="32"/>
      <x:c r="V61" s="94"/>
      <x:c r="W61" s="32"/>
      <x:c r="X61" s="32"/>
      <x:c r="Y61" s="32"/>
      <x:c r="Z61" s="86"/>
      <x:c r="AA61" s="42" t="str">
        <x:f>IF(AND($A61="",$B61=""),"",IF(OR($A61="",$B61=""),"CHECK_INPUT",IF(OR($Y61="test",COUNTIF('Guide_Lists'!$AR$2:$AR$4,$B61)&gt;0),"TEST_DO_NOT_IMPORT",IF(OR(COUNTIF('Import_Staging'!$A$8:$A$107,$A61)&gt;1,COUNTIF('Import_Staging'!$B$8:$B$107,$B61)&gt;1),"DUPLICATE_IN_IMPORT",IF(COUNTIF('Leads'!$AE$8:$AE$107,$A61)&gt;0,"EXISTS",IF(COUNTIF('Leads'!$A$8:$A$107,$B61)&gt;0,"CHECK_INPUT",IF(AND($Y61="production",ISNUMBER($C61)),"NEW","CHECK_INPUT")))))))</x:f>
      </x:c>
      <x:c r="AB61" s="42" t="str">
        <x:f>IF($AA61="","",IF($AA61&lt;&gt;"EXISTS","",IFERROR(IF(OR(IF(INDEX('Leads'!$A$8:$A$107,MATCH($A61,'Leads'!$AE$8:$AE$107,0))="","",INDEX('Leads'!$A$8:$A$107,MATCH($A61,'Leads'!$AE$8:$AE$107,0)))&lt;&gt;$B61,IF(INDEX('Leads'!$AF$8:$AF$107,MATCH($A61,'Leads'!$AE$8:$AE$107,0))="","",INDEX('Leads'!$AF$8:$AF$107,MATCH($A61,'Leads'!$AE$8:$AE$107,0)))&lt;&gt;$C61,IF(INDEX('Leads'!$AG$8:$AG$107,MATCH($A61,'Leads'!$AE$8:$AE$107,0))="","",INDEX('Leads'!$AG$8:$AG$107,MATCH($A61,'Leads'!$AE$8:$AE$107,0)))&lt;&gt;$D61,IF(INDEX('Leads'!$B$8:$B$107,MATCH($A61,'Leads'!$AE$8:$AE$107,0))="","",INDEX('Leads'!$B$8:$B$107,MATCH($A61,'Leads'!$AE$8:$AE$107,0)))&lt;&gt;$E61,IF(INDEX('Leads'!$C$8:$C$107,MATCH($A61,'Leads'!$AE$8:$AE$107,0))="","",INDEX('Leads'!$C$8:$C$107,MATCH($A61,'Leads'!$AE$8:$AE$107,0)))&lt;&gt;$F61,IF(INDEX('Leads'!$K$8:$K$107,MATCH($A61,'Leads'!$AE$8:$AE$107,0))="","",INDEX('Leads'!$K$8:$K$107,MATCH($A61,'Leads'!$AE$8:$AE$107,0)))&lt;&gt;$G61,IF(INDEX('Leads'!$L$8:$L$107,MATCH($A61,'Leads'!$AE$8:$AE$107,0))="","",INDEX('Leads'!$L$8:$L$107,MATCH($A61,'Leads'!$AE$8:$AE$107,0)))&lt;&gt;$H61,IF(INDEX('Leads'!$M$8:$M$107,MATCH($A61,'Leads'!$AE$8:$AE$107,0))="","",INDEX('Leads'!$M$8:$M$107,MATCH($A61,'Leads'!$AE$8:$AE$107,0)))&lt;&gt;$I61,IF(INDEX('Leads'!$N$8:$N$107,MATCH($A61,'Leads'!$AE$8:$AE$107,0))="","",INDEX('Leads'!$N$8:$N$107,MATCH($A61,'Leads'!$AE$8:$AE$107,0)))&lt;&gt;$J61,IF(INDEX('Leads'!$AH$8:$AH$107,MATCH($A61,'Leads'!$AE$8:$AE$107,0))="","",INDEX('Leads'!$AH$8:$AH$107,MATCH($A61,'Leads'!$AE$8:$AE$107,0)))&lt;&gt;$K61,IF(INDEX('Leads'!$D$8:$D$107,MATCH($A61,'Leads'!$AE$8:$AE$107,0))="","",INDEX('Leads'!$D$8:$D$107,MATCH($A61,'Leads'!$AE$8:$AE$107,0)))&lt;&gt;$L61,IF(INDEX('Leads'!$E$8:$E$107,MATCH($A61,'Leads'!$AE$8:$AE$107,0))="","",INDEX('Leads'!$E$8:$E$107,MATCH($A61,'Leads'!$AE$8:$AE$107,0)))&lt;&gt;$M61,IF(INDEX('Leads'!$AI$8:$AI$107,MATCH($A61,'Leads'!$AE$8:$AE$107,0))="","",INDEX('Leads'!$AI$8:$AI$107,MATCH($A61,'Leads'!$AE$8:$AE$107,0)))&lt;&gt;$N61,IF(INDEX('Leads'!$AJ$8:$AJ$107,MATCH($A61,'Leads'!$AE$8:$AE$107,0))="","",INDEX('Leads'!$AJ$8:$AJ$107,MATCH($A61,'Leads'!$AE$8:$AE$107,0)))&lt;&gt;$O61,IF(INDEX('Leads'!$AK$8:$AK$107,MATCH($A61,'Leads'!$AE$8:$AE$107,0))="","",INDEX('Leads'!$AK$8:$AK$107,MATCH($A61,'Leads'!$AE$8:$AE$107,0)))&lt;&gt;$P61,IF(INDEX('Leads'!$AL$8:$AL$107,MATCH($A61,'Leads'!$AE$8:$AE$107,0))="","",INDEX('Leads'!$AL$8:$AL$107,MATCH($A61,'Leads'!$AE$8:$AE$107,0)))&lt;&gt;$Q61,IF(INDEX('Leads'!$AM$8:$AM$107,MATCH($A61,'Leads'!$AE$8:$AE$107,0))="","",INDEX('Leads'!$AM$8:$AM$107,MATCH($A61,'Leads'!$AE$8:$AE$107,0)))&lt;&gt;$R61,IF(INDEX('Leads'!$AN$8:$AN$107,MATCH($A61,'Leads'!$AE$8:$AE$107,0))="","",INDEX('Leads'!$AN$8:$AN$107,MATCH($A61,'Leads'!$AE$8:$AE$107,0)))&lt;&gt;$S61,IF(INDEX('Leads'!$AO$8:$AO$107,MATCH($A61,'Leads'!$AE$8:$AE$107,0))="","",INDEX('Leads'!$AO$8:$AO$107,MATCH($A61,'Leads'!$AE$8:$AE$107,0)))&lt;&gt;$T61,IF(INDEX('Leads'!$AP$8:$AP$107,MATCH($A61,'Leads'!$AE$8:$AE$107,0))="","",INDEX('Leads'!$AP$8:$AP$107,MATCH($A61,'Leads'!$AE$8:$AE$107,0)))&lt;&gt;$U61,IF(INDEX('Leads'!$AQ$8:$AQ$107,MATCH($A61,'Leads'!$AE$8:$AE$107,0))="","",INDEX('Leads'!$AQ$8:$AQ$107,MATCH($A61,'Leads'!$AE$8:$AE$107,0)))&lt;&gt;$V61,IF(INDEX('Leads'!$AR$8:$AR$107,MATCH($A61,'Leads'!$AE$8:$AE$107,0))="","",INDEX('Leads'!$AR$8:$AR$107,MATCH($A61,'Leads'!$AE$8:$AE$107,0)))&lt;&gt;$W61,IF(INDEX('Leads'!$AS$8:$AS$107,MATCH($A61,'Leads'!$AE$8:$AE$107,0))="","",INDEX('Leads'!$AS$8:$AS$107,MATCH($A61,'Leads'!$AE$8:$AE$107,0)))&lt;&gt;$X61,IF(INDEX('Leads'!$AT$8:$AT$107,MATCH($A61,'Leads'!$AE$8:$AE$107,0))="","",INDEX('Leads'!$AT$8:$AT$107,MATCH($A61,'Leads'!$AE$8:$AE$107,0)))&lt;&gt;$Y61),"ข้อมูลรับเข้าต่าง — ตรวจเอง","ตรงกัน — ห้ามนำเข้าซ้ำ"),"ตรวจ Lead ID เดิม")))</x:f>
      </x:c>
    </x:row>
    <x:row r="62" ht="30" customHeight="1">
      <x:c r="A62" s="94"/>
      <x:c r="B62" s="94"/>
      <x:c r="C62" s="86"/>
      <x:c r="D62" s="32"/>
      <x:c r="E62" s="32"/>
      <x:c r="F62" s="32"/>
      <x:c r="G62" s="32"/>
      <x:c r="H62" s="94"/>
      <x:c r="I62" s="94"/>
      <x:c r="J62" s="94"/>
      <x:c r="K62" s="32"/>
      <x:c r="L62" s="32"/>
      <x:c r="M62" s="32"/>
      <x:c r="N62" s="32"/>
      <x:c r="O62" s="88"/>
      <x:c r="P62" s="32"/>
      <x:c r="Q62" s="32"/>
      <x:c r="R62" s="32"/>
      <x:c r="S62" s="32"/>
      <x:c r="T62" s="32"/>
      <x:c r="U62" s="32"/>
      <x:c r="V62" s="94"/>
      <x:c r="W62" s="32"/>
      <x:c r="X62" s="32"/>
      <x:c r="Y62" s="32"/>
      <x:c r="Z62" s="86"/>
      <x:c r="AA62" s="42" t="str">
        <x:f>IF(AND($A62="",$B62=""),"",IF(OR($A62="",$B62=""),"CHECK_INPUT",IF(OR($Y62="test",COUNTIF('Guide_Lists'!$AR$2:$AR$4,$B62)&gt;0),"TEST_DO_NOT_IMPORT",IF(OR(COUNTIF('Import_Staging'!$A$8:$A$107,$A62)&gt;1,COUNTIF('Import_Staging'!$B$8:$B$107,$B62)&gt;1),"DUPLICATE_IN_IMPORT",IF(COUNTIF('Leads'!$AE$8:$AE$107,$A62)&gt;0,"EXISTS",IF(COUNTIF('Leads'!$A$8:$A$107,$B62)&gt;0,"CHECK_INPUT",IF(AND($Y62="production",ISNUMBER($C62)),"NEW","CHECK_INPUT")))))))</x:f>
      </x:c>
      <x:c r="AB62" s="42" t="str">
        <x:f>IF($AA62="","",IF($AA62&lt;&gt;"EXISTS","",IFERROR(IF(OR(IF(INDEX('Leads'!$A$8:$A$107,MATCH($A62,'Leads'!$AE$8:$AE$107,0))="","",INDEX('Leads'!$A$8:$A$107,MATCH($A62,'Leads'!$AE$8:$AE$107,0)))&lt;&gt;$B62,IF(INDEX('Leads'!$AF$8:$AF$107,MATCH($A62,'Leads'!$AE$8:$AE$107,0))="","",INDEX('Leads'!$AF$8:$AF$107,MATCH($A62,'Leads'!$AE$8:$AE$107,0)))&lt;&gt;$C62,IF(INDEX('Leads'!$AG$8:$AG$107,MATCH($A62,'Leads'!$AE$8:$AE$107,0))="","",INDEX('Leads'!$AG$8:$AG$107,MATCH($A62,'Leads'!$AE$8:$AE$107,0)))&lt;&gt;$D62,IF(INDEX('Leads'!$B$8:$B$107,MATCH($A62,'Leads'!$AE$8:$AE$107,0))="","",INDEX('Leads'!$B$8:$B$107,MATCH($A62,'Leads'!$AE$8:$AE$107,0)))&lt;&gt;$E62,IF(INDEX('Leads'!$C$8:$C$107,MATCH($A62,'Leads'!$AE$8:$AE$107,0))="","",INDEX('Leads'!$C$8:$C$107,MATCH($A62,'Leads'!$AE$8:$AE$107,0)))&lt;&gt;$F62,IF(INDEX('Leads'!$K$8:$K$107,MATCH($A62,'Leads'!$AE$8:$AE$107,0))="","",INDEX('Leads'!$K$8:$K$107,MATCH($A62,'Leads'!$AE$8:$AE$107,0)))&lt;&gt;$G62,IF(INDEX('Leads'!$L$8:$L$107,MATCH($A62,'Leads'!$AE$8:$AE$107,0))="","",INDEX('Leads'!$L$8:$L$107,MATCH($A62,'Leads'!$AE$8:$AE$107,0)))&lt;&gt;$H62,IF(INDEX('Leads'!$M$8:$M$107,MATCH($A62,'Leads'!$AE$8:$AE$107,0))="","",INDEX('Leads'!$M$8:$M$107,MATCH($A62,'Leads'!$AE$8:$AE$107,0)))&lt;&gt;$I62,IF(INDEX('Leads'!$N$8:$N$107,MATCH($A62,'Leads'!$AE$8:$AE$107,0))="","",INDEX('Leads'!$N$8:$N$107,MATCH($A62,'Leads'!$AE$8:$AE$107,0)))&lt;&gt;$J62,IF(INDEX('Leads'!$AH$8:$AH$107,MATCH($A62,'Leads'!$AE$8:$AE$107,0))="","",INDEX('Leads'!$AH$8:$AH$107,MATCH($A62,'Leads'!$AE$8:$AE$107,0)))&lt;&gt;$K62,IF(INDEX('Leads'!$D$8:$D$107,MATCH($A62,'Leads'!$AE$8:$AE$107,0))="","",INDEX('Leads'!$D$8:$D$107,MATCH($A62,'Leads'!$AE$8:$AE$107,0)))&lt;&gt;$L62,IF(INDEX('Leads'!$E$8:$E$107,MATCH($A62,'Leads'!$AE$8:$AE$107,0))="","",INDEX('Leads'!$E$8:$E$107,MATCH($A62,'Leads'!$AE$8:$AE$107,0)))&lt;&gt;$M62,IF(INDEX('Leads'!$AI$8:$AI$107,MATCH($A62,'Leads'!$AE$8:$AE$107,0))="","",INDEX('Leads'!$AI$8:$AI$107,MATCH($A62,'Leads'!$AE$8:$AE$107,0)))&lt;&gt;$N62,IF(INDEX('Leads'!$AJ$8:$AJ$107,MATCH($A62,'Leads'!$AE$8:$AE$107,0))="","",INDEX('Leads'!$AJ$8:$AJ$107,MATCH($A62,'Leads'!$AE$8:$AE$107,0)))&lt;&gt;$O62,IF(INDEX('Leads'!$AK$8:$AK$107,MATCH($A62,'Leads'!$AE$8:$AE$107,0))="","",INDEX('Leads'!$AK$8:$AK$107,MATCH($A62,'Leads'!$AE$8:$AE$107,0)))&lt;&gt;$P62,IF(INDEX('Leads'!$AL$8:$AL$107,MATCH($A62,'Leads'!$AE$8:$AE$107,0))="","",INDEX('Leads'!$AL$8:$AL$107,MATCH($A62,'Leads'!$AE$8:$AE$107,0)))&lt;&gt;$Q62,IF(INDEX('Leads'!$AM$8:$AM$107,MATCH($A62,'Leads'!$AE$8:$AE$107,0))="","",INDEX('Leads'!$AM$8:$AM$107,MATCH($A62,'Leads'!$AE$8:$AE$107,0)))&lt;&gt;$R62,IF(INDEX('Leads'!$AN$8:$AN$107,MATCH($A62,'Leads'!$AE$8:$AE$107,0))="","",INDEX('Leads'!$AN$8:$AN$107,MATCH($A62,'Leads'!$AE$8:$AE$107,0)))&lt;&gt;$S62,IF(INDEX('Leads'!$AO$8:$AO$107,MATCH($A62,'Leads'!$AE$8:$AE$107,0))="","",INDEX('Leads'!$AO$8:$AO$107,MATCH($A62,'Leads'!$AE$8:$AE$107,0)))&lt;&gt;$T62,IF(INDEX('Leads'!$AP$8:$AP$107,MATCH($A62,'Leads'!$AE$8:$AE$107,0))="","",INDEX('Leads'!$AP$8:$AP$107,MATCH($A62,'Leads'!$AE$8:$AE$107,0)))&lt;&gt;$U62,IF(INDEX('Leads'!$AQ$8:$AQ$107,MATCH($A62,'Leads'!$AE$8:$AE$107,0))="","",INDEX('Leads'!$AQ$8:$AQ$107,MATCH($A62,'Leads'!$AE$8:$AE$107,0)))&lt;&gt;$V62,IF(INDEX('Leads'!$AR$8:$AR$107,MATCH($A62,'Leads'!$AE$8:$AE$107,0))="","",INDEX('Leads'!$AR$8:$AR$107,MATCH($A62,'Leads'!$AE$8:$AE$107,0)))&lt;&gt;$W62,IF(INDEX('Leads'!$AS$8:$AS$107,MATCH($A62,'Leads'!$AE$8:$AE$107,0))="","",INDEX('Leads'!$AS$8:$AS$107,MATCH($A62,'Leads'!$AE$8:$AE$107,0)))&lt;&gt;$X62,IF(INDEX('Leads'!$AT$8:$AT$107,MATCH($A62,'Leads'!$AE$8:$AE$107,0))="","",INDEX('Leads'!$AT$8:$AT$107,MATCH($A62,'Leads'!$AE$8:$AE$107,0)))&lt;&gt;$Y62),"ข้อมูลรับเข้าต่าง — ตรวจเอง","ตรงกัน — ห้ามนำเข้าซ้ำ"),"ตรวจ Lead ID เดิม")))</x:f>
      </x:c>
    </x:row>
    <x:row r="63" ht="30" customHeight="1">
      <x:c r="A63" s="94"/>
      <x:c r="B63" s="94"/>
      <x:c r="C63" s="86"/>
      <x:c r="D63" s="32"/>
      <x:c r="E63" s="32"/>
      <x:c r="F63" s="32"/>
      <x:c r="G63" s="32"/>
      <x:c r="H63" s="94"/>
      <x:c r="I63" s="94"/>
      <x:c r="J63" s="94"/>
      <x:c r="K63" s="32"/>
      <x:c r="L63" s="32"/>
      <x:c r="M63" s="32"/>
      <x:c r="N63" s="32"/>
      <x:c r="O63" s="88"/>
      <x:c r="P63" s="32"/>
      <x:c r="Q63" s="32"/>
      <x:c r="R63" s="32"/>
      <x:c r="S63" s="32"/>
      <x:c r="T63" s="32"/>
      <x:c r="U63" s="32"/>
      <x:c r="V63" s="94"/>
      <x:c r="W63" s="32"/>
      <x:c r="X63" s="32"/>
      <x:c r="Y63" s="32"/>
      <x:c r="Z63" s="86"/>
      <x:c r="AA63" s="42" t="str">
        <x:f>IF(AND($A63="",$B63=""),"",IF(OR($A63="",$B63=""),"CHECK_INPUT",IF(OR($Y63="test",COUNTIF('Guide_Lists'!$AR$2:$AR$4,$B63)&gt;0),"TEST_DO_NOT_IMPORT",IF(OR(COUNTIF('Import_Staging'!$A$8:$A$107,$A63)&gt;1,COUNTIF('Import_Staging'!$B$8:$B$107,$B63)&gt;1),"DUPLICATE_IN_IMPORT",IF(COUNTIF('Leads'!$AE$8:$AE$107,$A63)&gt;0,"EXISTS",IF(COUNTIF('Leads'!$A$8:$A$107,$B63)&gt;0,"CHECK_INPUT",IF(AND($Y63="production",ISNUMBER($C63)),"NEW","CHECK_INPUT")))))))</x:f>
      </x:c>
      <x:c r="AB63" s="42" t="str">
        <x:f>IF($AA63="","",IF($AA63&lt;&gt;"EXISTS","",IFERROR(IF(OR(IF(INDEX('Leads'!$A$8:$A$107,MATCH($A63,'Leads'!$AE$8:$AE$107,0))="","",INDEX('Leads'!$A$8:$A$107,MATCH($A63,'Leads'!$AE$8:$AE$107,0)))&lt;&gt;$B63,IF(INDEX('Leads'!$AF$8:$AF$107,MATCH($A63,'Leads'!$AE$8:$AE$107,0))="","",INDEX('Leads'!$AF$8:$AF$107,MATCH($A63,'Leads'!$AE$8:$AE$107,0)))&lt;&gt;$C63,IF(INDEX('Leads'!$AG$8:$AG$107,MATCH($A63,'Leads'!$AE$8:$AE$107,0))="","",INDEX('Leads'!$AG$8:$AG$107,MATCH($A63,'Leads'!$AE$8:$AE$107,0)))&lt;&gt;$D63,IF(INDEX('Leads'!$B$8:$B$107,MATCH($A63,'Leads'!$AE$8:$AE$107,0))="","",INDEX('Leads'!$B$8:$B$107,MATCH($A63,'Leads'!$AE$8:$AE$107,0)))&lt;&gt;$E63,IF(INDEX('Leads'!$C$8:$C$107,MATCH($A63,'Leads'!$AE$8:$AE$107,0))="","",INDEX('Leads'!$C$8:$C$107,MATCH($A63,'Leads'!$AE$8:$AE$107,0)))&lt;&gt;$F63,IF(INDEX('Leads'!$K$8:$K$107,MATCH($A63,'Leads'!$AE$8:$AE$107,0))="","",INDEX('Leads'!$K$8:$K$107,MATCH($A63,'Leads'!$AE$8:$AE$107,0)))&lt;&gt;$G63,IF(INDEX('Leads'!$L$8:$L$107,MATCH($A63,'Leads'!$AE$8:$AE$107,0))="","",INDEX('Leads'!$L$8:$L$107,MATCH($A63,'Leads'!$AE$8:$AE$107,0)))&lt;&gt;$H63,IF(INDEX('Leads'!$M$8:$M$107,MATCH($A63,'Leads'!$AE$8:$AE$107,0))="","",INDEX('Leads'!$M$8:$M$107,MATCH($A63,'Leads'!$AE$8:$AE$107,0)))&lt;&gt;$I63,IF(INDEX('Leads'!$N$8:$N$107,MATCH($A63,'Leads'!$AE$8:$AE$107,0))="","",INDEX('Leads'!$N$8:$N$107,MATCH($A63,'Leads'!$AE$8:$AE$107,0)))&lt;&gt;$J63,IF(INDEX('Leads'!$AH$8:$AH$107,MATCH($A63,'Leads'!$AE$8:$AE$107,0))="","",INDEX('Leads'!$AH$8:$AH$107,MATCH($A63,'Leads'!$AE$8:$AE$107,0)))&lt;&gt;$K63,IF(INDEX('Leads'!$D$8:$D$107,MATCH($A63,'Leads'!$AE$8:$AE$107,0))="","",INDEX('Leads'!$D$8:$D$107,MATCH($A63,'Leads'!$AE$8:$AE$107,0)))&lt;&gt;$L63,IF(INDEX('Leads'!$E$8:$E$107,MATCH($A63,'Leads'!$AE$8:$AE$107,0))="","",INDEX('Leads'!$E$8:$E$107,MATCH($A63,'Leads'!$AE$8:$AE$107,0)))&lt;&gt;$M63,IF(INDEX('Leads'!$AI$8:$AI$107,MATCH($A63,'Leads'!$AE$8:$AE$107,0))="","",INDEX('Leads'!$AI$8:$AI$107,MATCH($A63,'Leads'!$AE$8:$AE$107,0)))&lt;&gt;$N63,IF(INDEX('Leads'!$AJ$8:$AJ$107,MATCH($A63,'Leads'!$AE$8:$AE$107,0))="","",INDEX('Leads'!$AJ$8:$AJ$107,MATCH($A63,'Leads'!$AE$8:$AE$107,0)))&lt;&gt;$O63,IF(INDEX('Leads'!$AK$8:$AK$107,MATCH($A63,'Leads'!$AE$8:$AE$107,0))="","",INDEX('Leads'!$AK$8:$AK$107,MATCH($A63,'Leads'!$AE$8:$AE$107,0)))&lt;&gt;$P63,IF(INDEX('Leads'!$AL$8:$AL$107,MATCH($A63,'Leads'!$AE$8:$AE$107,0))="","",INDEX('Leads'!$AL$8:$AL$107,MATCH($A63,'Leads'!$AE$8:$AE$107,0)))&lt;&gt;$Q63,IF(INDEX('Leads'!$AM$8:$AM$107,MATCH($A63,'Leads'!$AE$8:$AE$107,0))="","",INDEX('Leads'!$AM$8:$AM$107,MATCH($A63,'Leads'!$AE$8:$AE$107,0)))&lt;&gt;$R63,IF(INDEX('Leads'!$AN$8:$AN$107,MATCH($A63,'Leads'!$AE$8:$AE$107,0))="","",INDEX('Leads'!$AN$8:$AN$107,MATCH($A63,'Leads'!$AE$8:$AE$107,0)))&lt;&gt;$S63,IF(INDEX('Leads'!$AO$8:$AO$107,MATCH($A63,'Leads'!$AE$8:$AE$107,0))="","",INDEX('Leads'!$AO$8:$AO$107,MATCH($A63,'Leads'!$AE$8:$AE$107,0)))&lt;&gt;$T63,IF(INDEX('Leads'!$AP$8:$AP$107,MATCH($A63,'Leads'!$AE$8:$AE$107,0))="","",INDEX('Leads'!$AP$8:$AP$107,MATCH($A63,'Leads'!$AE$8:$AE$107,0)))&lt;&gt;$U63,IF(INDEX('Leads'!$AQ$8:$AQ$107,MATCH($A63,'Leads'!$AE$8:$AE$107,0))="","",INDEX('Leads'!$AQ$8:$AQ$107,MATCH($A63,'Leads'!$AE$8:$AE$107,0)))&lt;&gt;$V63,IF(INDEX('Leads'!$AR$8:$AR$107,MATCH($A63,'Leads'!$AE$8:$AE$107,0))="","",INDEX('Leads'!$AR$8:$AR$107,MATCH($A63,'Leads'!$AE$8:$AE$107,0)))&lt;&gt;$W63,IF(INDEX('Leads'!$AS$8:$AS$107,MATCH($A63,'Leads'!$AE$8:$AE$107,0))="","",INDEX('Leads'!$AS$8:$AS$107,MATCH($A63,'Leads'!$AE$8:$AE$107,0)))&lt;&gt;$X63,IF(INDEX('Leads'!$AT$8:$AT$107,MATCH($A63,'Leads'!$AE$8:$AE$107,0))="","",INDEX('Leads'!$AT$8:$AT$107,MATCH($A63,'Leads'!$AE$8:$AE$107,0)))&lt;&gt;$Y63),"ข้อมูลรับเข้าต่าง — ตรวจเอง","ตรงกัน — ห้ามนำเข้าซ้ำ"),"ตรวจ Lead ID เดิม")))</x:f>
      </x:c>
    </x:row>
    <x:row r="64" ht="30" customHeight="1">
      <x:c r="A64" s="94"/>
      <x:c r="B64" s="94"/>
      <x:c r="C64" s="86"/>
      <x:c r="D64" s="32"/>
      <x:c r="E64" s="32"/>
      <x:c r="F64" s="32"/>
      <x:c r="G64" s="32"/>
      <x:c r="H64" s="94"/>
      <x:c r="I64" s="94"/>
      <x:c r="J64" s="94"/>
      <x:c r="K64" s="32"/>
      <x:c r="L64" s="32"/>
      <x:c r="M64" s="32"/>
      <x:c r="N64" s="32"/>
      <x:c r="O64" s="88"/>
      <x:c r="P64" s="32"/>
      <x:c r="Q64" s="32"/>
      <x:c r="R64" s="32"/>
      <x:c r="S64" s="32"/>
      <x:c r="T64" s="32"/>
      <x:c r="U64" s="32"/>
      <x:c r="V64" s="94"/>
      <x:c r="W64" s="32"/>
      <x:c r="X64" s="32"/>
      <x:c r="Y64" s="32"/>
      <x:c r="Z64" s="86"/>
      <x:c r="AA64" s="42" t="str">
        <x:f>IF(AND($A64="",$B64=""),"",IF(OR($A64="",$B64=""),"CHECK_INPUT",IF(OR($Y64="test",COUNTIF('Guide_Lists'!$AR$2:$AR$4,$B64)&gt;0),"TEST_DO_NOT_IMPORT",IF(OR(COUNTIF('Import_Staging'!$A$8:$A$107,$A64)&gt;1,COUNTIF('Import_Staging'!$B$8:$B$107,$B64)&gt;1),"DUPLICATE_IN_IMPORT",IF(COUNTIF('Leads'!$AE$8:$AE$107,$A64)&gt;0,"EXISTS",IF(COUNTIF('Leads'!$A$8:$A$107,$B64)&gt;0,"CHECK_INPUT",IF(AND($Y64="production",ISNUMBER($C64)),"NEW","CHECK_INPUT")))))))</x:f>
      </x:c>
      <x:c r="AB64" s="42" t="str">
        <x:f>IF($AA64="","",IF($AA64&lt;&gt;"EXISTS","",IFERROR(IF(OR(IF(INDEX('Leads'!$A$8:$A$107,MATCH($A64,'Leads'!$AE$8:$AE$107,0))="","",INDEX('Leads'!$A$8:$A$107,MATCH($A64,'Leads'!$AE$8:$AE$107,0)))&lt;&gt;$B64,IF(INDEX('Leads'!$AF$8:$AF$107,MATCH($A64,'Leads'!$AE$8:$AE$107,0))="","",INDEX('Leads'!$AF$8:$AF$107,MATCH($A64,'Leads'!$AE$8:$AE$107,0)))&lt;&gt;$C64,IF(INDEX('Leads'!$AG$8:$AG$107,MATCH($A64,'Leads'!$AE$8:$AE$107,0))="","",INDEX('Leads'!$AG$8:$AG$107,MATCH($A64,'Leads'!$AE$8:$AE$107,0)))&lt;&gt;$D64,IF(INDEX('Leads'!$B$8:$B$107,MATCH($A64,'Leads'!$AE$8:$AE$107,0))="","",INDEX('Leads'!$B$8:$B$107,MATCH($A64,'Leads'!$AE$8:$AE$107,0)))&lt;&gt;$E64,IF(INDEX('Leads'!$C$8:$C$107,MATCH($A64,'Leads'!$AE$8:$AE$107,0))="","",INDEX('Leads'!$C$8:$C$107,MATCH($A64,'Leads'!$AE$8:$AE$107,0)))&lt;&gt;$F64,IF(INDEX('Leads'!$K$8:$K$107,MATCH($A64,'Leads'!$AE$8:$AE$107,0))="","",INDEX('Leads'!$K$8:$K$107,MATCH($A64,'Leads'!$AE$8:$AE$107,0)))&lt;&gt;$G64,IF(INDEX('Leads'!$L$8:$L$107,MATCH($A64,'Leads'!$AE$8:$AE$107,0))="","",INDEX('Leads'!$L$8:$L$107,MATCH($A64,'Leads'!$AE$8:$AE$107,0)))&lt;&gt;$H64,IF(INDEX('Leads'!$M$8:$M$107,MATCH($A64,'Leads'!$AE$8:$AE$107,0))="","",INDEX('Leads'!$M$8:$M$107,MATCH($A64,'Leads'!$AE$8:$AE$107,0)))&lt;&gt;$I64,IF(INDEX('Leads'!$N$8:$N$107,MATCH($A64,'Leads'!$AE$8:$AE$107,0))="","",INDEX('Leads'!$N$8:$N$107,MATCH($A64,'Leads'!$AE$8:$AE$107,0)))&lt;&gt;$J64,IF(INDEX('Leads'!$AH$8:$AH$107,MATCH($A64,'Leads'!$AE$8:$AE$107,0))="","",INDEX('Leads'!$AH$8:$AH$107,MATCH($A64,'Leads'!$AE$8:$AE$107,0)))&lt;&gt;$K64,IF(INDEX('Leads'!$D$8:$D$107,MATCH($A64,'Leads'!$AE$8:$AE$107,0))="","",INDEX('Leads'!$D$8:$D$107,MATCH($A64,'Leads'!$AE$8:$AE$107,0)))&lt;&gt;$L64,IF(INDEX('Leads'!$E$8:$E$107,MATCH($A64,'Leads'!$AE$8:$AE$107,0))="","",INDEX('Leads'!$E$8:$E$107,MATCH($A64,'Leads'!$AE$8:$AE$107,0)))&lt;&gt;$M64,IF(INDEX('Leads'!$AI$8:$AI$107,MATCH($A64,'Leads'!$AE$8:$AE$107,0))="","",INDEX('Leads'!$AI$8:$AI$107,MATCH($A64,'Leads'!$AE$8:$AE$107,0)))&lt;&gt;$N64,IF(INDEX('Leads'!$AJ$8:$AJ$107,MATCH($A64,'Leads'!$AE$8:$AE$107,0))="","",INDEX('Leads'!$AJ$8:$AJ$107,MATCH($A64,'Leads'!$AE$8:$AE$107,0)))&lt;&gt;$O64,IF(INDEX('Leads'!$AK$8:$AK$107,MATCH($A64,'Leads'!$AE$8:$AE$107,0))="","",INDEX('Leads'!$AK$8:$AK$107,MATCH($A64,'Leads'!$AE$8:$AE$107,0)))&lt;&gt;$P64,IF(INDEX('Leads'!$AL$8:$AL$107,MATCH($A64,'Leads'!$AE$8:$AE$107,0))="","",INDEX('Leads'!$AL$8:$AL$107,MATCH($A64,'Leads'!$AE$8:$AE$107,0)))&lt;&gt;$Q64,IF(INDEX('Leads'!$AM$8:$AM$107,MATCH($A64,'Leads'!$AE$8:$AE$107,0))="","",INDEX('Leads'!$AM$8:$AM$107,MATCH($A64,'Leads'!$AE$8:$AE$107,0)))&lt;&gt;$R64,IF(INDEX('Leads'!$AN$8:$AN$107,MATCH($A64,'Leads'!$AE$8:$AE$107,0))="","",INDEX('Leads'!$AN$8:$AN$107,MATCH($A64,'Leads'!$AE$8:$AE$107,0)))&lt;&gt;$S64,IF(INDEX('Leads'!$AO$8:$AO$107,MATCH($A64,'Leads'!$AE$8:$AE$107,0))="","",INDEX('Leads'!$AO$8:$AO$107,MATCH($A64,'Leads'!$AE$8:$AE$107,0)))&lt;&gt;$T64,IF(INDEX('Leads'!$AP$8:$AP$107,MATCH($A64,'Leads'!$AE$8:$AE$107,0))="","",INDEX('Leads'!$AP$8:$AP$107,MATCH($A64,'Leads'!$AE$8:$AE$107,0)))&lt;&gt;$U64,IF(INDEX('Leads'!$AQ$8:$AQ$107,MATCH($A64,'Leads'!$AE$8:$AE$107,0))="","",INDEX('Leads'!$AQ$8:$AQ$107,MATCH($A64,'Leads'!$AE$8:$AE$107,0)))&lt;&gt;$V64,IF(INDEX('Leads'!$AR$8:$AR$107,MATCH($A64,'Leads'!$AE$8:$AE$107,0))="","",INDEX('Leads'!$AR$8:$AR$107,MATCH($A64,'Leads'!$AE$8:$AE$107,0)))&lt;&gt;$W64,IF(INDEX('Leads'!$AS$8:$AS$107,MATCH($A64,'Leads'!$AE$8:$AE$107,0))="","",INDEX('Leads'!$AS$8:$AS$107,MATCH($A64,'Leads'!$AE$8:$AE$107,0)))&lt;&gt;$X64,IF(INDEX('Leads'!$AT$8:$AT$107,MATCH($A64,'Leads'!$AE$8:$AE$107,0))="","",INDEX('Leads'!$AT$8:$AT$107,MATCH($A64,'Leads'!$AE$8:$AE$107,0)))&lt;&gt;$Y64),"ข้อมูลรับเข้าต่าง — ตรวจเอง","ตรงกัน — ห้ามนำเข้าซ้ำ"),"ตรวจ Lead ID เดิม")))</x:f>
      </x:c>
    </x:row>
    <x:row r="65" ht="30" customHeight="1">
      <x:c r="A65" s="94"/>
      <x:c r="B65" s="94"/>
      <x:c r="C65" s="86"/>
      <x:c r="D65" s="32"/>
      <x:c r="E65" s="32"/>
      <x:c r="F65" s="32"/>
      <x:c r="G65" s="32"/>
      <x:c r="H65" s="94"/>
      <x:c r="I65" s="94"/>
      <x:c r="J65" s="94"/>
      <x:c r="K65" s="32"/>
      <x:c r="L65" s="32"/>
      <x:c r="M65" s="32"/>
      <x:c r="N65" s="32"/>
      <x:c r="O65" s="88"/>
      <x:c r="P65" s="32"/>
      <x:c r="Q65" s="32"/>
      <x:c r="R65" s="32"/>
      <x:c r="S65" s="32"/>
      <x:c r="T65" s="32"/>
      <x:c r="U65" s="32"/>
      <x:c r="V65" s="94"/>
      <x:c r="W65" s="32"/>
      <x:c r="X65" s="32"/>
      <x:c r="Y65" s="32"/>
      <x:c r="Z65" s="86"/>
      <x:c r="AA65" s="42" t="str">
        <x:f>IF(AND($A65="",$B65=""),"",IF(OR($A65="",$B65=""),"CHECK_INPUT",IF(OR($Y65="test",COUNTIF('Guide_Lists'!$AR$2:$AR$4,$B65)&gt;0),"TEST_DO_NOT_IMPORT",IF(OR(COUNTIF('Import_Staging'!$A$8:$A$107,$A65)&gt;1,COUNTIF('Import_Staging'!$B$8:$B$107,$B65)&gt;1),"DUPLICATE_IN_IMPORT",IF(COUNTIF('Leads'!$AE$8:$AE$107,$A65)&gt;0,"EXISTS",IF(COUNTIF('Leads'!$A$8:$A$107,$B65)&gt;0,"CHECK_INPUT",IF(AND($Y65="production",ISNUMBER($C65)),"NEW","CHECK_INPUT")))))))</x:f>
      </x:c>
      <x:c r="AB65" s="42" t="str">
        <x:f>IF($AA65="","",IF($AA65&lt;&gt;"EXISTS","",IFERROR(IF(OR(IF(INDEX('Leads'!$A$8:$A$107,MATCH($A65,'Leads'!$AE$8:$AE$107,0))="","",INDEX('Leads'!$A$8:$A$107,MATCH($A65,'Leads'!$AE$8:$AE$107,0)))&lt;&gt;$B65,IF(INDEX('Leads'!$AF$8:$AF$107,MATCH($A65,'Leads'!$AE$8:$AE$107,0))="","",INDEX('Leads'!$AF$8:$AF$107,MATCH($A65,'Leads'!$AE$8:$AE$107,0)))&lt;&gt;$C65,IF(INDEX('Leads'!$AG$8:$AG$107,MATCH($A65,'Leads'!$AE$8:$AE$107,0))="","",INDEX('Leads'!$AG$8:$AG$107,MATCH($A65,'Leads'!$AE$8:$AE$107,0)))&lt;&gt;$D65,IF(INDEX('Leads'!$B$8:$B$107,MATCH($A65,'Leads'!$AE$8:$AE$107,0))="","",INDEX('Leads'!$B$8:$B$107,MATCH($A65,'Leads'!$AE$8:$AE$107,0)))&lt;&gt;$E65,IF(INDEX('Leads'!$C$8:$C$107,MATCH($A65,'Leads'!$AE$8:$AE$107,0))="","",INDEX('Leads'!$C$8:$C$107,MATCH($A65,'Leads'!$AE$8:$AE$107,0)))&lt;&gt;$F65,IF(INDEX('Leads'!$K$8:$K$107,MATCH($A65,'Leads'!$AE$8:$AE$107,0))="","",INDEX('Leads'!$K$8:$K$107,MATCH($A65,'Leads'!$AE$8:$AE$107,0)))&lt;&gt;$G65,IF(INDEX('Leads'!$L$8:$L$107,MATCH($A65,'Leads'!$AE$8:$AE$107,0))="","",INDEX('Leads'!$L$8:$L$107,MATCH($A65,'Leads'!$AE$8:$AE$107,0)))&lt;&gt;$H65,IF(INDEX('Leads'!$M$8:$M$107,MATCH($A65,'Leads'!$AE$8:$AE$107,0))="","",INDEX('Leads'!$M$8:$M$107,MATCH($A65,'Leads'!$AE$8:$AE$107,0)))&lt;&gt;$I65,IF(INDEX('Leads'!$N$8:$N$107,MATCH($A65,'Leads'!$AE$8:$AE$107,0))="","",INDEX('Leads'!$N$8:$N$107,MATCH($A65,'Leads'!$AE$8:$AE$107,0)))&lt;&gt;$J65,IF(INDEX('Leads'!$AH$8:$AH$107,MATCH($A65,'Leads'!$AE$8:$AE$107,0))="","",INDEX('Leads'!$AH$8:$AH$107,MATCH($A65,'Leads'!$AE$8:$AE$107,0)))&lt;&gt;$K65,IF(INDEX('Leads'!$D$8:$D$107,MATCH($A65,'Leads'!$AE$8:$AE$107,0))="","",INDEX('Leads'!$D$8:$D$107,MATCH($A65,'Leads'!$AE$8:$AE$107,0)))&lt;&gt;$L65,IF(INDEX('Leads'!$E$8:$E$107,MATCH($A65,'Leads'!$AE$8:$AE$107,0))="","",INDEX('Leads'!$E$8:$E$107,MATCH($A65,'Leads'!$AE$8:$AE$107,0)))&lt;&gt;$M65,IF(INDEX('Leads'!$AI$8:$AI$107,MATCH($A65,'Leads'!$AE$8:$AE$107,0))="","",INDEX('Leads'!$AI$8:$AI$107,MATCH($A65,'Leads'!$AE$8:$AE$107,0)))&lt;&gt;$N65,IF(INDEX('Leads'!$AJ$8:$AJ$107,MATCH($A65,'Leads'!$AE$8:$AE$107,0))="","",INDEX('Leads'!$AJ$8:$AJ$107,MATCH($A65,'Leads'!$AE$8:$AE$107,0)))&lt;&gt;$O65,IF(INDEX('Leads'!$AK$8:$AK$107,MATCH($A65,'Leads'!$AE$8:$AE$107,0))="","",INDEX('Leads'!$AK$8:$AK$107,MATCH($A65,'Leads'!$AE$8:$AE$107,0)))&lt;&gt;$P65,IF(INDEX('Leads'!$AL$8:$AL$107,MATCH($A65,'Leads'!$AE$8:$AE$107,0))="","",INDEX('Leads'!$AL$8:$AL$107,MATCH($A65,'Leads'!$AE$8:$AE$107,0)))&lt;&gt;$Q65,IF(INDEX('Leads'!$AM$8:$AM$107,MATCH($A65,'Leads'!$AE$8:$AE$107,0))="","",INDEX('Leads'!$AM$8:$AM$107,MATCH($A65,'Leads'!$AE$8:$AE$107,0)))&lt;&gt;$R65,IF(INDEX('Leads'!$AN$8:$AN$107,MATCH($A65,'Leads'!$AE$8:$AE$107,0))="","",INDEX('Leads'!$AN$8:$AN$107,MATCH($A65,'Leads'!$AE$8:$AE$107,0)))&lt;&gt;$S65,IF(INDEX('Leads'!$AO$8:$AO$107,MATCH($A65,'Leads'!$AE$8:$AE$107,0))="","",INDEX('Leads'!$AO$8:$AO$107,MATCH($A65,'Leads'!$AE$8:$AE$107,0)))&lt;&gt;$T65,IF(INDEX('Leads'!$AP$8:$AP$107,MATCH($A65,'Leads'!$AE$8:$AE$107,0))="","",INDEX('Leads'!$AP$8:$AP$107,MATCH($A65,'Leads'!$AE$8:$AE$107,0)))&lt;&gt;$U65,IF(INDEX('Leads'!$AQ$8:$AQ$107,MATCH($A65,'Leads'!$AE$8:$AE$107,0))="","",INDEX('Leads'!$AQ$8:$AQ$107,MATCH($A65,'Leads'!$AE$8:$AE$107,0)))&lt;&gt;$V65,IF(INDEX('Leads'!$AR$8:$AR$107,MATCH($A65,'Leads'!$AE$8:$AE$107,0))="","",INDEX('Leads'!$AR$8:$AR$107,MATCH($A65,'Leads'!$AE$8:$AE$107,0)))&lt;&gt;$W65,IF(INDEX('Leads'!$AS$8:$AS$107,MATCH($A65,'Leads'!$AE$8:$AE$107,0))="","",INDEX('Leads'!$AS$8:$AS$107,MATCH($A65,'Leads'!$AE$8:$AE$107,0)))&lt;&gt;$X65,IF(INDEX('Leads'!$AT$8:$AT$107,MATCH($A65,'Leads'!$AE$8:$AE$107,0))="","",INDEX('Leads'!$AT$8:$AT$107,MATCH($A65,'Leads'!$AE$8:$AE$107,0)))&lt;&gt;$Y65),"ข้อมูลรับเข้าต่าง — ตรวจเอง","ตรงกัน — ห้ามนำเข้าซ้ำ"),"ตรวจ Lead ID เดิม")))</x:f>
      </x:c>
    </x:row>
    <x:row r="66" ht="30" customHeight="1">
      <x:c r="A66" s="94"/>
      <x:c r="B66" s="94"/>
      <x:c r="C66" s="86"/>
      <x:c r="D66" s="32"/>
      <x:c r="E66" s="32"/>
      <x:c r="F66" s="32"/>
      <x:c r="G66" s="32"/>
      <x:c r="H66" s="94"/>
      <x:c r="I66" s="94"/>
      <x:c r="J66" s="94"/>
      <x:c r="K66" s="32"/>
      <x:c r="L66" s="32"/>
      <x:c r="M66" s="32"/>
      <x:c r="N66" s="32"/>
      <x:c r="O66" s="88"/>
      <x:c r="P66" s="32"/>
      <x:c r="Q66" s="32"/>
      <x:c r="R66" s="32"/>
      <x:c r="S66" s="32"/>
      <x:c r="T66" s="32"/>
      <x:c r="U66" s="32"/>
      <x:c r="V66" s="94"/>
      <x:c r="W66" s="32"/>
      <x:c r="X66" s="32"/>
      <x:c r="Y66" s="32"/>
      <x:c r="Z66" s="86"/>
      <x:c r="AA66" s="42" t="str">
        <x:f>IF(AND($A66="",$B66=""),"",IF(OR($A66="",$B66=""),"CHECK_INPUT",IF(OR($Y66="test",COUNTIF('Guide_Lists'!$AR$2:$AR$4,$B66)&gt;0),"TEST_DO_NOT_IMPORT",IF(OR(COUNTIF('Import_Staging'!$A$8:$A$107,$A66)&gt;1,COUNTIF('Import_Staging'!$B$8:$B$107,$B66)&gt;1),"DUPLICATE_IN_IMPORT",IF(COUNTIF('Leads'!$AE$8:$AE$107,$A66)&gt;0,"EXISTS",IF(COUNTIF('Leads'!$A$8:$A$107,$B66)&gt;0,"CHECK_INPUT",IF(AND($Y66="production",ISNUMBER($C66)),"NEW","CHECK_INPUT")))))))</x:f>
      </x:c>
      <x:c r="AB66" s="42" t="str">
        <x:f>IF($AA66="","",IF($AA66&lt;&gt;"EXISTS","",IFERROR(IF(OR(IF(INDEX('Leads'!$A$8:$A$107,MATCH($A66,'Leads'!$AE$8:$AE$107,0))="","",INDEX('Leads'!$A$8:$A$107,MATCH($A66,'Leads'!$AE$8:$AE$107,0)))&lt;&gt;$B66,IF(INDEX('Leads'!$AF$8:$AF$107,MATCH($A66,'Leads'!$AE$8:$AE$107,0))="","",INDEX('Leads'!$AF$8:$AF$107,MATCH($A66,'Leads'!$AE$8:$AE$107,0)))&lt;&gt;$C66,IF(INDEX('Leads'!$AG$8:$AG$107,MATCH($A66,'Leads'!$AE$8:$AE$107,0))="","",INDEX('Leads'!$AG$8:$AG$107,MATCH($A66,'Leads'!$AE$8:$AE$107,0)))&lt;&gt;$D66,IF(INDEX('Leads'!$B$8:$B$107,MATCH($A66,'Leads'!$AE$8:$AE$107,0))="","",INDEX('Leads'!$B$8:$B$107,MATCH($A66,'Leads'!$AE$8:$AE$107,0)))&lt;&gt;$E66,IF(INDEX('Leads'!$C$8:$C$107,MATCH($A66,'Leads'!$AE$8:$AE$107,0))="","",INDEX('Leads'!$C$8:$C$107,MATCH($A66,'Leads'!$AE$8:$AE$107,0)))&lt;&gt;$F66,IF(INDEX('Leads'!$K$8:$K$107,MATCH($A66,'Leads'!$AE$8:$AE$107,0))="","",INDEX('Leads'!$K$8:$K$107,MATCH($A66,'Leads'!$AE$8:$AE$107,0)))&lt;&gt;$G66,IF(INDEX('Leads'!$L$8:$L$107,MATCH($A66,'Leads'!$AE$8:$AE$107,0))="","",INDEX('Leads'!$L$8:$L$107,MATCH($A66,'Leads'!$AE$8:$AE$107,0)))&lt;&gt;$H66,IF(INDEX('Leads'!$M$8:$M$107,MATCH($A66,'Leads'!$AE$8:$AE$107,0))="","",INDEX('Leads'!$M$8:$M$107,MATCH($A66,'Leads'!$AE$8:$AE$107,0)))&lt;&gt;$I66,IF(INDEX('Leads'!$N$8:$N$107,MATCH($A66,'Leads'!$AE$8:$AE$107,0))="","",INDEX('Leads'!$N$8:$N$107,MATCH($A66,'Leads'!$AE$8:$AE$107,0)))&lt;&gt;$J66,IF(INDEX('Leads'!$AH$8:$AH$107,MATCH($A66,'Leads'!$AE$8:$AE$107,0))="","",INDEX('Leads'!$AH$8:$AH$107,MATCH($A66,'Leads'!$AE$8:$AE$107,0)))&lt;&gt;$K66,IF(INDEX('Leads'!$D$8:$D$107,MATCH($A66,'Leads'!$AE$8:$AE$107,0))="","",INDEX('Leads'!$D$8:$D$107,MATCH($A66,'Leads'!$AE$8:$AE$107,0)))&lt;&gt;$L66,IF(INDEX('Leads'!$E$8:$E$107,MATCH($A66,'Leads'!$AE$8:$AE$107,0))="","",INDEX('Leads'!$E$8:$E$107,MATCH($A66,'Leads'!$AE$8:$AE$107,0)))&lt;&gt;$M66,IF(INDEX('Leads'!$AI$8:$AI$107,MATCH($A66,'Leads'!$AE$8:$AE$107,0))="","",INDEX('Leads'!$AI$8:$AI$107,MATCH($A66,'Leads'!$AE$8:$AE$107,0)))&lt;&gt;$N66,IF(INDEX('Leads'!$AJ$8:$AJ$107,MATCH($A66,'Leads'!$AE$8:$AE$107,0))="","",INDEX('Leads'!$AJ$8:$AJ$107,MATCH($A66,'Leads'!$AE$8:$AE$107,0)))&lt;&gt;$O66,IF(INDEX('Leads'!$AK$8:$AK$107,MATCH($A66,'Leads'!$AE$8:$AE$107,0))="","",INDEX('Leads'!$AK$8:$AK$107,MATCH($A66,'Leads'!$AE$8:$AE$107,0)))&lt;&gt;$P66,IF(INDEX('Leads'!$AL$8:$AL$107,MATCH($A66,'Leads'!$AE$8:$AE$107,0))="","",INDEX('Leads'!$AL$8:$AL$107,MATCH($A66,'Leads'!$AE$8:$AE$107,0)))&lt;&gt;$Q66,IF(INDEX('Leads'!$AM$8:$AM$107,MATCH($A66,'Leads'!$AE$8:$AE$107,0))="","",INDEX('Leads'!$AM$8:$AM$107,MATCH($A66,'Leads'!$AE$8:$AE$107,0)))&lt;&gt;$R66,IF(INDEX('Leads'!$AN$8:$AN$107,MATCH($A66,'Leads'!$AE$8:$AE$107,0))="","",INDEX('Leads'!$AN$8:$AN$107,MATCH($A66,'Leads'!$AE$8:$AE$107,0)))&lt;&gt;$S66,IF(INDEX('Leads'!$AO$8:$AO$107,MATCH($A66,'Leads'!$AE$8:$AE$107,0))="","",INDEX('Leads'!$AO$8:$AO$107,MATCH($A66,'Leads'!$AE$8:$AE$107,0)))&lt;&gt;$T66,IF(INDEX('Leads'!$AP$8:$AP$107,MATCH($A66,'Leads'!$AE$8:$AE$107,0))="","",INDEX('Leads'!$AP$8:$AP$107,MATCH($A66,'Leads'!$AE$8:$AE$107,0)))&lt;&gt;$U66,IF(INDEX('Leads'!$AQ$8:$AQ$107,MATCH($A66,'Leads'!$AE$8:$AE$107,0))="","",INDEX('Leads'!$AQ$8:$AQ$107,MATCH($A66,'Leads'!$AE$8:$AE$107,0)))&lt;&gt;$V66,IF(INDEX('Leads'!$AR$8:$AR$107,MATCH($A66,'Leads'!$AE$8:$AE$107,0))="","",INDEX('Leads'!$AR$8:$AR$107,MATCH($A66,'Leads'!$AE$8:$AE$107,0)))&lt;&gt;$W66,IF(INDEX('Leads'!$AS$8:$AS$107,MATCH($A66,'Leads'!$AE$8:$AE$107,0))="","",INDEX('Leads'!$AS$8:$AS$107,MATCH($A66,'Leads'!$AE$8:$AE$107,0)))&lt;&gt;$X66,IF(INDEX('Leads'!$AT$8:$AT$107,MATCH($A66,'Leads'!$AE$8:$AE$107,0))="","",INDEX('Leads'!$AT$8:$AT$107,MATCH($A66,'Leads'!$AE$8:$AE$107,0)))&lt;&gt;$Y66),"ข้อมูลรับเข้าต่าง — ตรวจเอง","ตรงกัน — ห้ามนำเข้าซ้ำ"),"ตรวจ Lead ID เดิม")))</x:f>
      </x:c>
    </x:row>
    <x:row r="67" ht="30" customHeight="1">
      <x:c r="A67" s="94"/>
      <x:c r="B67" s="94"/>
      <x:c r="C67" s="86"/>
      <x:c r="D67" s="32"/>
      <x:c r="E67" s="32"/>
      <x:c r="F67" s="32"/>
      <x:c r="G67" s="32"/>
      <x:c r="H67" s="94"/>
      <x:c r="I67" s="94"/>
      <x:c r="J67" s="94"/>
      <x:c r="K67" s="32"/>
      <x:c r="L67" s="32"/>
      <x:c r="M67" s="32"/>
      <x:c r="N67" s="32"/>
      <x:c r="O67" s="88"/>
      <x:c r="P67" s="32"/>
      <x:c r="Q67" s="32"/>
      <x:c r="R67" s="32"/>
      <x:c r="S67" s="32"/>
      <x:c r="T67" s="32"/>
      <x:c r="U67" s="32"/>
      <x:c r="V67" s="94"/>
      <x:c r="W67" s="32"/>
      <x:c r="X67" s="32"/>
      <x:c r="Y67" s="32"/>
      <x:c r="Z67" s="86"/>
      <x:c r="AA67" s="42" t="str">
        <x:f>IF(AND($A67="",$B67=""),"",IF(OR($A67="",$B67=""),"CHECK_INPUT",IF(OR($Y67="test",COUNTIF('Guide_Lists'!$AR$2:$AR$4,$B67)&gt;0),"TEST_DO_NOT_IMPORT",IF(OR(COUNTIF('Import_Staging'!$A$8:$A$107,$A67)&gt;1,COUNTIF('Import_Staging'!$B$8:$B$107,$B67)&gt;1),"DUPLICATE_IN_IMPORT",IF(COUNTIF('Leads'!$AE$8:$AE$107,$A67)&gt;0,"EXISTS",IF(COUNTIF('Leads'!$A$8:$A$107,$B67)&gt;0,"CHECK_INPUT",IF(AND($Y67="production",ISNUMBER($C67)),"NEW","CHECK_INPUT")))))))</x:f>
      </x:c>
      <x:c r="AB67" s="42" t="str">
        <x:f>IF($AA67="","",IF($AA67&lt;&gt;"EXISTS","",IFERROR(IF(OR(IF(INDEX('Leads'!$A$8:$A$107,MATCH($A67,'Leads'!$AE$8:$AE$107,0))="","",INDEX('Leads'!$A$8:$A$107,MATCH($A67,'Leads'!$AE$8:$AE$107,0)))&lt;&gt;$B67,IF(INDEX('Leads'!$AF$8:$AF$107,MATCH($A67,'Leads'!$AE$8:$AE$107,0))="","",INDEX('Leads'!$AF$8:$AF$107,MATCH($A67,'Leads'!$AE$8:$AE$107,0)))&lt;&gt;$C67,IF(INDEX('Leads'!$AG$8:$AG$107,MATCH($A67,'Leads'!$AE$8:$AE$107,0))="","",INDEX('Leads'!$AG$8:$AG$107,MATCH($A67,'Leads'!$AE$8:$AE$107,0)))&lt;&gt;$D67,IF(INDEX('Leads'!$B$8:$B$107,MATCH($A67,'Leads'!$AE$8:$AE$107,0))="","",INDEX('Leads'!$B$8:$B$107,MATCH($A67,'Leads'!$AE$8:$AE$107,0)))&lt;&gt;$E67,IF(INDEX('Leads'!$C$8:$C$107,MATCH($A67,'Leads'!$AE$8:$AE$107,0))="","",INDEX('Leads'!$C$8:$C$107,MATCH($A67,'Leads'!$AE$8:$AE$107,0)))&lt;&gt;$F67,IF(INDEX('Leads'!$K$8:$K$107,MATCH($A67,'Leads'!$AE$8:$AE$107,0))="","",INDEX('Leads'!$K$8:$K$107,MATCH($A67,'Leads'!$AE$8:$AE$107,0)))&lt;&gt;$G67,IF(INDEX('Leads'!$L$8:$L$107,MATCH($A67,'Leads'!$AE$8:$AE$107,0))="","",INDEX('Leads'!$L$8:$L$107,MATCH($A67,'Leads'!$AE$8:$AE$107,0)))&lt;&gt;$H67,IF(INDEX('Leads'!$M$8:$M$107,MATCH($A67,'Leads'!$AE$8:$AE$107,0))="","",INDEX('Leads'!$M$8:$M$107,MATCH($A67,'Leads'!$AE$8:$AE$107,0)))&lt;&gt;$I67,IF(INDEX('Leads'!$N$8:$N$107,MATCH($A67,'Leads'!$AE$8:$AE$107,0))="","",INDEX('Leads'!$N$8:$N$107,MATCH($A67,'Leads'!$AE$8:$AE$107,0)))&lt;&gt;$J67,IF(INDEX('Leads'!$AH$8:$AH$107,MATCH($A67,'Leads'!$AE$8:$AE$107,0))="","",INDEX('Leads'!$AH$8:$AH$107,MATCH($A67,'Leads'!$AE$8:$AE$107,0)))&lt;&gt;$K67,IF(INDEX('Leads'!$D$8:$D$107,MATCH($A67,'Leads'!$AE$8:$AE$107,0))="","",INDEX('Leads'!$D$8:$D$107,MATCH($A67,'Leads'!$AE$8:$AE$107,0)))&lt;&gt;$L67,IF(INDEX('Leads'!$E$8:$E$107,MATCH($A67,'Leads'!$AE$8:$AE$107,0))="","",INDEX('Leads'!$E$8:$E$107,MATCH($A67,'Leads'!$AE$8:$AE$107,0)))&lt;&gt;$M67,IF(INDEX('Leads'!$AI$8:$AI$107,MATCH($A67,'Leads'!$AE$8:$AE$107,0))="","",INDEX('Leads'!$AI$8:$AI$107,MATCH($A67,'Leads'!$AE$8:$AE$107,0)))&lt;&gt;$N67,IF(INDEX('Leads'!$AJ$8:$AJ$107,MATCH($A67,'Leads'!$AE$8:$AE$107,0))="","",INDEX('Leads'!$AJ$8:$AJ$107,MATCH($A67,'Leads'!$AE$8:$AE$107,0)))&lt;&gt;$O67,IF(INDEX('Leads'!$AK$8:$AK$107,MATCH($A67,'Leads'!$AE$8:$AE$107,0))="","",INDEX('Leads'!$AK$8:$AK$107,MATCH($A67,'Leads'!$AE$8:$AE$107,0)))&lt;&gt;$P67,IF(INDEX('Leads'!$AL$8:$AL$107,MATCH($A67,'Leads'!$AE$8:$AE$107,0))="","",INDEX('Leads'!$AL$8:$AL$107,MATCH($A67,'Leads'!$AE$8:$AE$107,0)))&lt;&gt;$Q67,IF(INDEX('Leads'!$AM$8:$AM$107,MATCH($A67,'Leads'!$AE$8:$AE$107,0))="","",INDEX('Leads'!$AM$8:$AM$107,MATCH($A67,'Leads'!$AE$8:$AE$107,0)))&lt;&gt;$R67,IF(INDEX('Leads'!$AN$8:$AN$107,MATCH($A67,'Leads'!$AE$8:$AE$107,0))="","",INDEX('Leads'!$AN$8:$AN$107,MATCH($A67,'Leads'!$AE$8:$AE$107,0)))&lt;&gt;$S67,IF(INDEX('Leads'!$AO$8:$AO$107,MATCH($A67,'Leads'!$AE$8:$AE$107,0))="","",INDEX('Leads'!$AO$8:$AO$107,MATCH($A67,'Leads'!$AE$8:$AE$107,0)))&lt;&gt;$T67,IF(INDEX('Leads'!$AP$8:$AP$107,MATCH($A67,'Leads'!$AE$8:$AE$107,0))="","",INDEX('Leads'!$AP$8:$AP$107,MATCH($A67,'Leads'!$AE$8:$AE$107,0)))&lt;&gt;$U67,IF(INDEX('Leads'!$AQ$8:$AQ$107,MATCH($A67,'Leads'!$AE$8:$AE$107,0))="","",INDEX('Leads'!$AQ$8:$AQ$107,MATCH($A67,'Leads'!$AE$8:$AE$107,0)))&lt;&gt;$V67,IF(INDEX('Leads'!$AR$8:$AR$107,MATCH($A67,'Leads'!$AE$8:$AE$107,0))="","",INDEX('Leads'!$AR$8:$AR$107,MATCH($A67,'Leads'!$AE$8:$AE$107,0)))&lt;&gt;$W67,IF(INDEX('Leads'!$AS$8:$AS$107,MATCH($A67,'Leads'!$AE$8:$AE$107,0))="","",INDEX('Leads'!$AS$8:$AS$107,MATCH($A67,'Leads'!$AE$8:$AE$107,0)))&lt;&gt;$X67,IF(INDEX('Leads'!$AT$8:$AT$107,MATCH($A67,'Leads'!$AE$8:$AE$107,0))="","",INDEX('Leads'!$AT$8:$AT$107,MATCH($A67,'Leads'!$AE$8:$AE$107,0)))&lt;&gt;$Y67),"ข้อมูลรับเข้าต่าง — ตรวจเอง","ตรงกัน — ห้ามนำเข้าซ้ำ"),"ตรวจ Lead ID เดิม")))</x:f>
      </x:c>
    </x:row>
    <x:row r="68" ht="30" customHeight="1">
      <x:c r="A68" s="94"/>
      <x:c r="B68" s="94"/>
      <x:c r="C68" s="86"/>
      <x:c r="D68" s="32"/>
      <x:c r="E68" s="32"/>
      <x:c r="F68" s="32"/>
      <x:c r="G68" s="32"/>
      <x:c r="H68" s="94"/>
      <x:c r="I68" s="94"/>
      <x:c r="J68" s="94"/>
      <x:c r="K68" s="32"/>
      <x:c r="L68" s="32"/>
      <x:c r="M68" s="32"/>
      <x:c r="N68" s="32"/>
      <x:c r="O68" s="88"/>
      <x:c r="P68" s="32"/>
      <x:c r="Q68" s="32"/>
      <x:c r="R68" s="32"/>
      <x:c r="S68" s="32"/>
      <x:c r="T68" s="32"/>
      <x:c r="U68" s="32"/>
      <x:c r="V68" s="94"/>
      <x:c r="W68" s="32"/>
      <x:c r="X68" s="32"/>
      <x:c r="Y68" s="32"/>
      <x:c r="Z68" s="86"/>
      <x:c r="AA68" s="42" t="str">
        <x:f>IF(AND($A68="",$B68=""),"",IF(OR($A68="",$B68=""),"CHECK_INPUT",IF(OR($Y68="test",COUNTIF('Guide_Lists'!$AR$2:$AR$4,$B68)&gt;0),"TEST_DO_NOT_IMPORT",IF(OR(COUNTIF('Import_Staging'!$A$8:$A$107,$A68)&gt;1,COUNTIF('Import_Staging'!$B$8:$B$107,$B68)&gt;1),"DUPLICATE_IN_IMPORT",IF(COUNTIF('Leads'!$AE$8:$AE$107,$A68)&gt;0,"EXISTS",IF(COUNTIF('Leads'!$A$8:$A$107,$B68)&gt;0,"CHECK_INPUT",IF(AND($Y68="production",ISNUMBER($C68)),"NEW","CHECK_INPUT")))))))</x:f>
      </x:c>
      <x:c r="AB68" s="42" t="str">
        <x:f>IF($AA68="","",IF($AA68&lt;&gt;"EXISTS","",IFERROR(IF(OR(IF(INDEX('Leads'!$A$8:$A$107,MATCH($A68,'Leads'!$AE$8:$AE$107,0))="","",INDEX('Leads'!$A$8:$A$107,MATCH($A68,'Leads'!$AE$8:$AE$107,0)))&lt;&gt;$B68,IF(INDEX('Leads'!$AF$8:$AF$107,MATCH($A68,'Leads'!$AE$8:$AE$107,0))="","",INDEX('Leads'!$AF$8:$AF$107,MATCH($A68,'Leads'!$AE$8:$AE$107,0)))&lt;&gt;$C68,IF(INDEX('Leads'!$AG$8:$AG$107,MATCH($A68,'Leads'!$AE$8:$AE$107,0))="","",INDEX('Leads'!$AG$8:$AG$107,MATCH($A68,'Leads'!$AE$8:$AE$107,0)))&lt;&gt;$D68,IF(INDEX('Leads'!$B$8:$B$107,MATCH($A68,'Leads'!$AE$8:$AE$107,0))="","",INDEX('Leads'!$B$8:$B$107,MATCH($A68,'Leads'!$AE$8:$AE$107,0)))&lt;&gt;$E68,IF(INDEX('Leads'!$C$8:$C$107,MATCH($A68,'Leads'!$AE$8:$AE$107,0))="","",INDEX('Leads'!$C$8:$C$107,MATCH($A68,'Leads'!$AE$8:$AE$107,0)))&lt;&gt;$F68,IF(INDEX('Leads'!$K$8:$K$107,MATCH($A68,'Leads'!$AE$8:$AE$107,0))="","",INDEX('Leads'!$K$8:$K$107,MATCH($A68,'Leads'!$AE$8:$AE$107,0)))&lt;&gt;$G68,IF(INDEX('Leads'!$L$8:$L$107,MATCH($A68,'Leads'!$AE$8:$AE$107,0))="","",INDEX('Leads'!$L$8:$L$107,MATCH($A68,'Leads'!$AE$8:$AE$107,0)))&lt;&gt;$H68,IF(INDEX('Leads'!$M$8:$M$107,MATCH($A68,'Leads'!$AE$8:$AE$107,0))="","",INDEX('Leads'!$M$8:$M$107,MATCH($A68,'Leads'!$AE$8:$AE$107,0)))&lt;&gt;$I68,IF(INDEX('Leads'!$N$8:$N$107,MATCH($A68,'Leads'!$AE$8:$AE$107,0))="","",INDEX('Leads'!$N$8:$N$107,MATCH($A68,'Leads'!$AE$8:$AE$107,0)))&lt;&gt;$J68,IF(INDEX('Leads'!$AH$8:$AH$107,MATCH($A68,'Leads'!$AE$8:$AE$107,0))="","",INDEX('Leads'!$AH$8:$AH$107,MATCH($A68,'Leads'!$AE$8:$AE$107,0)))&lt;&gt;$K68,IF(INDEX('Leads'!$D$8:$D$107,MATCH($A68,'Leads'!$AE$8:$AE$107,0))="","",INDEX('Leads'!$D$8:$D$107,MATCH($A68,'Leads'!$AE$8:$AE$107,0)))&lt;&gt;$L68,IF(INDEX('Leads'!$E$8:$E$107,MATCH($A68,'Leads'!$AE$8:$AE$107,0))="","",INDEX('Leads'!$E$8:$E$107,MATCH($A68,'Leads'!$AE$8:$AE$107,0)))&lt;&gt;$M68,IF(INDEX('Leads'!$AI$8:$AI$107,MATCH($A68,'Leads'!$AE$8:$AE$107,0))="","",INDEX('Leads'!$AI$8:$AI$107,MATCH($A68,'Leads'!$AE$8:$AE$107,0)))&lt;&gt;$N68,IF(INDEX('Leads'!$AJ$8:$AJ$107,MATCH($A68,'Leads'!$AE$8:$AE$107,0))="","",INDEX('Leads'!$AJ$8:$AJ$107,MATCH($A68,'Leads'!$AE$8:$AE$107,0)))&lt;&gt;$O68,IF(INDEX('Leads'!$AK$8:$AK$107,MATCH($A68,'Leads'!$AE$8:$AE$107,0))="","",INDEX('Leads'!$AK$8:$AK$107,MATCH($A68,'Leads'!$AE$8:$AE$107,0)))&lt;&gt;$P68,IF(INDEX('Leads'!$AL$8:$AL$107,MATCH($A68,'Leads'!$AE$8:$AE$107,0))="","",INDEX('Leads'!$AL$8:$AL$107,MATCH($A68,'Leads'!$AE$8:$AE$107,0)))&lt;&gt;$Q68,IF(INDEX('Leads'!$AM$8:$AM$107,MATCH($A68,'Leads'!$AE$8:$AE$107,0))="","",INDEX('Leads'!$AM$8:$AM$107,MATCH($A68,'Leads'!$AE$8:$AE$107,0)))&lt;&gt;$R68,IF(INDEX('Leads'!$AN$8:$AN$107,MATCH($A68,'Leads'!$AE$8:$AE$107,0))="","",INDEX('Leads'!$AN$8:$AN$107,MATCH($A68,'Leads'!$AE$8:$AE$107,0)))&lt;&gt;$S68,IF(INDEX('Leads'!$AO$8:$AO$107,MATCH($A68,'Leads'!$AE$8:$AE$107,0))="","",INDEX('Leads'!$AO$8:$AO$107,MATCH($A68,'Leads'!$AE$8:$AE$107,0)))&lt;&gt;$T68,IF(INDEX('Leads'!$AP$8:$AP$107,MATCH($A68,'Leads'!$AE$8:$AE$107,0))="","",INDEX('Leads'!$AP$8:$AP$107,MATCH($A68,'Leads'!$AE$8:$AE$107,0)))&lt;&gt;$U68,IF(INDEX('Leads'!$AQ$8:$AQ$107,MATCH($A68,'Leads'!$AE$8:$AE$107,0))="","",INDEX('Leads'!$AQ$8:$AQ$107,MATCH($A68,'Leads'!$AE$8:$AE$107,0)))&lt;&gt;$V68,IF(INDEX('Leads'!$AR$8:$AR$107,MATCH($A68,'Leads'!$AE$8:$AE$107,0))="","",INDEX('Leads'!$AR$8:$AR$107,MATCH($A68,'Leads'!$AE$8:$AE$107,0)))&lt;&gt;$W68,IF(INDEX('Leads'!$AS$8:$AS$107,MATCH($A68,'Leads'!$AE$8:$AE$107,0))="","",INDEX('Leads'!$AS$8:$AS$107,MATCH($A68,'Leads'!$AE$8:$AE$107,0)))&lt;&gt;$X68,IF(INDEX('Leads'!$AT$8:$AT$107,MATCH($A68,'Leads'!$AE$8:$AE$107,0))="","",INDEX('Leads'!$AT$8:$AT$107,MATCH($A68,'Leads'!$AE$8:$AE$107,0)))&lt;&gt;$Y68),"ข้อมูลรับเข้าต่าง — ตรวจเอง","ตรงกัน — ห้ามนำเข้าซ้ำ"),"ตรวจ Lead ID เดิม")))</x:f>
      </x:c>
    </x:row>
    <x:row r="69" ht="30" customHeight="1">
      <x:c r="A69" s="94"/>
      <x:c r="B69" s="94"/>
      <x:c r="C69" s="86"/>
      <x:c r="D69" s="32"/>
      <x:c r="E69" s="32"/>
      <x:c r="F69" s="32"/>
      <x:c r="G69" s="32"/>
      <x:c r="H69" s="94"/>
      <x:c r="I69" s="94"/>
      <x:c r="J69" s="94"/>
      <x:c r="K69" s="32"/>
      <x:c r="L69" s="32"/>
      <x:c r="M69" s="32"/>
      <x:c r="N69" s="32"/>
      <x:c r="O69" s="88"/>
      <x:c r="P69" s="32"/>
      <x:c r="Q69" s="32"/>
      <x:c r="R69" s="32"/>
      <x:c r="S69" s="32"/>
      <x:c r="T69" s="32"/>
      <x:c r="U69" s="32"/>
      <x:c r="V69" s="94"/>
      <x:c r="W69" s="32"/>
      <x:c r="X69" s="32"/>
      <x:c r="Y69" s="32"/>
      <x:c r="Z69" s="86"/>
      <x:c r="AA69" s="42" t="str">
        <x:f>IF(AND($A69="",$B69=""),"",IF(OR($A69="",$B69=""),"CHECK_INPUT",IF(OR($Y69="test",COUNTIF('Guide_Lists'!$AR$2:$AR$4,$B69)&gt;0),"TEST_DO_NOT_IMPORT",IF(OR(COUNTIF('Import_Staging'!$A$8:$A$107,$A69)&gt;1,COUNTIF('Import_Staging'!$B$8:$B$107,$B69)&gt;1),"DUPLICATE_IN_IMPORT",IF(COUNTIF('Leads'!$AE$8:$AE$107,$A69)&gt;0,"EXISTS",IF(COUNTIF('Leads'!$A$8:$A$107,$B69)&gt;0,"CHECK_INPUT",IF(AND($Y69="production",ISNUMBER($C69)),"NEW","CHECK_INPUT")))))))</x:f>
      </x:c>
      <x:c r="AB69" s="42" t="str">
        <x:f>IF($AA69="","",IF($AA69&lt;&gt;"EXISTS","",IFERROR(IF(OR(IF(INDEX('Leads'!$A$8:$A$107,MATCH($A69,'Leads'!$AE$8:$AE$107,0))="","",INDEX('Leads'!$A$8:$A$107,MATCH($A69,'Leads'!$AE$8:$AE$107,0)))&lt;&gt;$B69,IF(INDEX('Leads'!$AF$8:$AF$107,MATCH($A69,'Leads'!$AE$8:$AE$107,0))="","",INDEX('Leads'!$AF$8:$AF$107,MATCH($A69,'Leads'!$AE$8:$AE$107,0)))&lt;&gt;$C69,IF(INDEX('Leads'!$AG$8:$AG$107,MATCH($A69,'Leads'!$AE$8:$AE$107,0))="","",INDEX('Leads'!$AG$8:$AG$107,MATCH($A69,'Leads'!$AE$8:$AE$107,0)))&lt;&gt;$D69,IF(INDEX('Leads'!$B$8:$B$107,MATCH($A69,'Leads'!$AE$8:$AE$107,0))="","",INDEX('Leads'!$B$8:$B$107,MATCH($A69,'Leads'!$AE$8:$AE$107,0)))&lt;&gt;$E69,IF(INDEX('Leads'!$C$8:$C$107,MATCH($A69,'Leads'!$AE$8:$AE$107,0))="","",INDEX('Leads'!$C$8:$C$107,MATCH($A69,'Leads'!$AE$8:$AE$107,0)))&lt;&gt;$F69,IF(INDEX('Leads'!$K$8:$K$107,MATCH($A69,'Leads'!$AE$8:$AE$107,0))="","",INDEX('Leads'!$K$8:$K$107,MATCH($A69,'Leads'!$AE$8:$AE$107,0)))&lt;&gt;$G69,IF(INDEX('Leads'!$L$8:$L$107,MATCH($A69,'Leads'!$AE$8:$AE$107,0))="","",INDEX('Leads'!$L$8:$L$107,MATCH($A69,'Leads'!$AE$8:$AE$107,0)))&lt;&gt;$H69,IF(INDEX('Leads'!$M$8:$M$107,MATCH($A69,'Leads'!$AE$8:$AE$107,0))="","",INDEX('Leads'!$M$8:$M$107,MATCH($A69,'Leads'!$AE$8:$AE$107,0)))&lt;&gt;$I69,IF(INDEX('Leads'!$N$8:$N$107,MATCH($A69,'Leads'!$AE$8:$AE$107,0))="","",INDEX('Leads'!$N$8:$N$107,MATCH($A69,'Leads'!$AE$8:$AE$107,0)))&lt;&gt;$J69,IF(INDEX('Leads'!$AH$8:$AH$107,MATCH($A69,'Leads'!$AE$8:$AE$107,0))="","",INDEX('Leads'!$AH$8:$AH$107,MATCH($A69,'Leads'!$AE$8:$AE$107,0)))&lt;&gt;$K69,IF(INDEX('Leads'!$D$8:$D$107,MATCH($A69,'Leads'!$AE$8:$AE$107,0))="","",INDEX('Leads'!$D$8:$D$107,MATCH($A69,'Leads'!$AE$8:$AE$107,0)))&lt;&gt;$L69,IF(INDEX('Leads'!$E$8:$E$107,MATCH($A69,'Leads'!$AE$8:$AE$107,0))="","",INDEX('Leads'!$E$8:$E$107,MATCH($A69,'Leads'!$AE$8:$AE$107,0)))&lt;&gt;$M69,IF(INDEX('Leads'!$AI$8:$AI$107,MATCH($A69,'Leads'!$AE$8:$AE$107,0))="","",INDEX('Leads'!$AI$8:$AI$107,MATCH($A69,'Leads'!$AE$8:$AE$107,0)))&lt;&gt;$N69,IF(INDEX('Leads'!$AJ$8:$AJ$107,MATCH($A69,'Leads'!$AE$8:$AE$107,0))="","",INDEX('Leads'!$AJ$8:$AJ$107,MATCH($A69,'Leads'!$AE$8:$AE$107,0)))&lt;&gt;$O69,IF(INDEX('Leads'!$AK$8:$AK$107,MATCH($A69,'Leads'!$AE$8:$AE$107,0))="","",INDEX('Leads'!$AK$8:$AK$107,MATCH($A69,'Leads'!$AE$8:$AE$107,0)))&lt;&gt;$P69,IF(INDEX('Leads'!$AL$8:$AL$107,MATCH($A69,'Leads'!$AE$8:$AE$107,0))="","",INDEX('Leads'!$AL$8:$AL$107,MATCH($A69,'Leads'!$AE$8:$AE$107,0)))&lt;&gt;$Q69,IF(INDEX('Leads'!$AM$8:$AM$107,MATCH($A69,'Leads'!$AE$8:$AE$107,0))="","",INDEX('Leads'!$AM$8:$AM$107,MATCH($A69,'Leads'!$AE$8:$AE$107,0)))&lt;&gt;$R69,IF(INDEX('Leads'!$AN$8:$AN$107,MATCH($A69,'Leads'!$AE$8:$AE$107,0))="","",INDEX('Leads'!$AN$8:$AN$107,MATCH($A69,'Leads'!$AE$8:$AE$107,0)))&lt;&gt;$S69,IF(INDEX('Leads'!$AO$8:$AO$107,MATCH($A69,'Leads'!$AE$8:$AE$107,0))="","",INDEX('Leads'!$AO$8:$AO$107,MATCH($A69,'Leads'!$AE$8:$AE$107,0)))&lt;&gt;$T69,IF(INDEX('Leads'!$AP$8:$AP$107,MATCH($A69,'Leads'!$AE$8:$AE$107,0))="","",INDEX('Leads'!$AP$8:$AP$107,MATCH($A69,'Leads'!$AE$8:$AE$107,0)))&lt;&gt;$U69,IF(INDEX('Leads'!$AQ$8:$AQ$107,MATCH($A69,'Leads'!$AE$8:$AE$107,0))="","",INDEX('Leads'!$AQ$8:$AQ$107,MATCH($A69,'Leads'!$AE$8:$AE$107,0)))&lt;&gt;$V69,IF(INDEX('Leads'!$AR$8:$AR$107,MATCH($A69,'Leads'!$AE$8:$AE$107,0))="","",INDEX('Leads'!$AR$8:$AR$107,MATCH($A69,'Leads'!$AE$8:$AE$107,0)))&lt;&gt;$W69,IF(INDEX('Leads'!$AS$8:$AS$107,MATCH($A69,'Leads'!$AE$8:$AE$107,0))="","",INDEX('Leads'!$AS$8:$AS$107,MATCH($A69,'Leads'!$AE$8:$AE$107,0)))&lt;&gt;$X69,IF(INDEX('Leads'!$AT$8:$AT$107,MATCH($A69,'Leads'!$AE$8:$AE$107,0))="","",INDEX('Leads'!$AT$8:$AT$107,MATCH($A69,'Leads'!$AE$8:$AE$107,0)))&lt;&gt;$Y69),"ข้อมูลรับเข้าต่าง — ตรวจเอง","ตรงกัน — ห้ามนำเข้าซ้ำ"),"ตรวจ Lead ID เดิม")))</x:f>
      </x:c>
    </x:row>
    <x:row r="70" ht="30" customHeight="1">
      <x:c r="A70" s="94"/>
      <x:c r="B70" s="94"/>
      <x:c r="C70" s="86"/>
      <x:c r="D70" s="32"/>
      <x:c r="E70" s="32"/>
      <x:c r="F70" s="32"/>
      <x:c r="G70" s="32"/>
      <x:c r="H70" s="94"/>
      <x:c r="I70" s="94"/>
      <x:c r="J70" s="94"/>
      <x:c r="K70" s="32"/>
      <x:c r="L70" s="32"/>
      <x:c r="M70" s="32"/>
      <x:c r="N70" s="32"/>
      <x:c r="O70" s="88"/>
      <x:c r="P70" s="32"/>
      <x:c r="Q70" s="32"/>
      <x:c r="R70" s="32"/>
      <x:c r="S70" s="32"/>
      <x:c r="T70" s="32"/>
      <x:c r="U70" s="32"/>
      <x:c r="V70" s="94"/>
      <x:c r="W70" s="32"/>
      <x:c r="X70" s="32"/>
      <x:c r="Y70" s="32"/>
      <x:c r="Z70" s="86"/>
      <x:c r="AA70" s="42" t="str">
        <x:f>IF(AND($A70="",$B70=""),"",IF(OR($A70="",$B70=""),"CHECK_INPUT",IF(OR($Y70="test",COUNTIF('Guide_Lists'!$AR$2:$AR$4,$B70)&gt;0),"TEST_DO_NOT_IMPORT",IF(OR(COUNTIF('Import_Staging'!$A$8:$A$107,$A70)&gt;1,COUNTIF('Import_Staging'!$B$8:$B$107,$B70)&gt;1),"DUPLICATE_IN_IMPORT",IF(COUNTIF('Leads'!$AE$8:$AE$107,$A70)&gt;0,"EXISTS",IF(COUNTIF('Leads'!$A$8:$A$107,$B70)&gt;0,"CHECK_INPUT",IF(AND($Y70="production",ISNUMBER($C70)),"NEW","CHECK_INPUT")))))))</x:f>
      </x:c>
      <x:c r="AB70" s="42" t="str">
        <x:f>IF($AA70="","",IF($AA70&lt;&gt;"EXISTS","",IFERROR(IF(OR(IF(INDEX('Leads'!$A$8:$A$107,MATCH($A70,'Leads'!$AE$8:$AE$107,0))="","",INDEX('Leads'!$A$8:$A$107,MATCH($A70,'Leads'!$AE$8:$AE$107,0)))&lt;&gt;$B70,IF(INDEX('Leads'!$AF$8:$AF$107,MATCH($A70,'Leads'!$AE$8:$AE$107,0))="","",INDEX('Leads'!$AF$8:$AF$107,MATCH($A70,'Leads'!$AE$8:$AE$107,0)))&lt;&gt;$C70,IF(INDEX('Leads'!$AG$8:$AG$107,MATCH($A70,'Leads'!$AE$8:$AE$107,0))="","",INDEX('Leads'!$AG$8:$AG$107,MATCH($A70,'Leads'!$AE$8:$AE$107,0)))&lt;&gt;$D70,IF(INDEX('Leads'!$B$8:$B$107,MATCH($A70,'Leads'!$AE$8:$AE$107,0))="","",INDEX('Leads'!$B$8:$B$107,MATCH($A70,'Leads'!$AE$8:$AE$107,0)))&lt;&gt;$E70,IF(INDEX('Leads'!$C$8:$C$107,MATCH($A70,'Leads'!$AE$8:$AE$107,0))="","",INDEX('Leads'!$C$8:$C$107,MATCH($A70,'Leads'!$AE$8:$AE$107,0)))&lt;&gt;$F70,IF(INDEX('Leads'!$K$8:$K$107,MATCH($A70,'Leads'!$AE$8:$AE$107,0))="","",INDEX('Leads'!$K$8:$K$107,MATCH($A70,'Leads'!$AE$8:$AE$107,0)))&lt;&gt;$G70,IF(INDEX('Leads'!$L$8:$L$107,MATCH($A70,'Leads'!$AE$8:$AE$107,0))="","",INDEX('Leads'!$L$8:$L$107,MATCH($A70,'Leads'!$AE$8:$AE$107,0)))&lt;&gt;$H70,IF(INDEX('Leads'!$M$8:$M$107,MATCH($A70,'Leads'!$AE$8:$AE$107,0))="","",INDEX('Leads'!$M$8:$M$107,MATCH($A70,'Leads'!$AE$8:$AE$107,0)))&lt;&gt;$I70,IF(INDEX('Leads'!$N$8:$N$107,MATCH($A70,'Leads'!$AE$8:$AE$107,0))="","",INDEX('Leads'!$N$8:$N$107,MATCH($A70,'Leads'!$AE$8:$AE$107,0)))&lt;&gt;$J70,IF(INDEX('Leads'!$AH$8:$AH$107,MATCH($A70,'Leads'!$AE$8:$AE$107,0))="","",INDEX('Leads'!$AH$8:$AH$107,MATCH($A70,'Leads'!$AE$8:$AE$107,0)))&lt;&gt;$K70,IF(INDEX('Leads'!$D$8:$D$107,MATCH($A70,'Leads'!$AE$8:$AE$107,0))="","",INDEX('Leads'!$D$8:$D$107,MATCH($A70,'Leads'!$AE$8:$AE$107,0)))&lt;&gt;$L70,IF(INDEX('Leads'!$E$8:$E$107,MATCH($A70,'Leads'!$AE$8:$AE$107,0))="","",INDEX('Leads'!$E$8:$E$107,MATCH($A70,'Leads'!$AE$8:$AE$107,0)))&lt;&gt;$M70,IF(INDEX('Leads'!$AI$8:$AI$107,MATCH($A70,'Leads'!$AE$8:$AE$107,0))="","",INDEX('Leads'!$AI$8:$AI$107,MATCH($A70,'Leads'!$AE$8:$AE$107,0)))&lt;&gt;$N70,IF(INDEX('Leads'!$AJ$8:$AJ$107,MATCH($A70,'Leads'!$AE$8:$AE$107,0))="","",INDEX('Leads'!$AJ$8:$AJ$107,MATCH($A70,'Leads'!$AE$8:$AE$107,0)))&lt;&gt;$O70,IF(INDEX('Leads'!$AK$8:$AK$107,MATCH($A70,'Leads'!$AE$8:$AE$107,0))="","",INDEX('Leads'!$AK$8:$AK$107,MATCH($A70,'Leads'!$AE$8:$AE$107,0)))&lt;&gt;$P70,IF(INDEX('Leads'!$AL$8:$AL$107,MATCH($A70,'Leads'!$AE$8:$AE$107,0))="","",INDEX('Leads'!$AL$8:$AL$107,MATCH($A70,'Leads'!$AE$8:$AE$107,0)))&lt;&gt;$Q70,IF(INDEX('Leads'!$AM$8:$AM$107,MATCH($A70,'Leads'!$AE$8:$AE$107,0))="","",INDEX('Leads'!$AM$8:$AM$107,MATCH($A70,'Leads'!$AE$8:$AE$107,0)))&lt;&gt;$R70,IF(INDEX('Leads'!$AN$8:$AN$107,MATCH($A70,'Leads'!$AE$8:$AE$107,0))="","",INDEX('Leads'!$AN$8:$AN$107,MATCH($A70,'Leads'!$AE$8:$AE$107,0)))&lt;&gt;$S70,IF(INDEX('Leads'!$AO$8:$AO$107,MATCH($A70,'Leads'!$AE$8:$AE$107,0))="","",INDEX('Leads'!$AO$8:$AO$107,MATCH($A70,'Leads'!$AE$8:$AE$107,0)))&lt;&gt;$T70,IF(INDEX('Leads'!$AP$8:$AP$107,MATCH($A70,'Leads'!$AE$8:$AE$107,0))="","",INDEX('Leads'!$AP$8:$AP$107,MATCH($A70,'Leads'!$AE$8:$AE$107,0)))&lt;&gt;$U70,IF(INDEX('Leads'!$AQ$8:$AQ$107,MATCH($A70,'Leads'!$AE$8:$AE$107,0))="","",INDEX('Leads'!$AQ$8:$AQ$107,MATCH($A70,'Leads'!$AE$8:$AE$107,0)))&lt;&gt;$V70,IF(INDEX('Leads'!$AR$8:$AR$107,MATCH($A70,'Leads'!$AE$8:$AE$107,0))="","",INDEX('Leads'!$AR$8:$AR$107,MATCH($A70,'Leads'!$AE$8:$AE$107,0)))&lt;&gt;$W70,IF(INDEX('Leads'!$AS$8:$AS$107,MATCH($A70,'Leads'!$AE$8:$AE$107,0))="","",INDEX('Leads'!$AS$8:$AS$107,MATCH($A70,'Leads'!$AE$8:$AE$107,0)))&lt;&gt;$X70,IF(INDEX('Leads'!$AT$8:$AT$107,MATCH($A70,'Leads'!$AE$8:$AE$107,0))="","",INDEX('Leads'!$AT$8:$AT$107,MATCH($A70,'Leads'!$AE$8:$AE$107,0)))&lt;&gt;$Y70),"ข้อมูลรับเข้าต่าง — ตรวจเอง","ตรงกัน — ห้ามนำเข้าซ้ำ"),"ตรวจ Lead ID เดิม")))</x:f>
      </x:c>
    </x:row>
    <x:row r="71" ht="30" customHeight="1">
      <x:c r="A71" s="94"/>
      <x:c r="B71" s="94"/>
      <x:c r="C71" s="86"/>
      <x:c r="D71" s="32"/>
      <x:c r="E71" s="32"/>
      <x:c r="F71" s="32"/>
      <x:c r="G71" s="32"/>
      <x:c r="H71" s="94"/>
      <x:c r="I71" s="94"/>
      <x:c r="J71" s="94"/>
      <x:c r="K71" s="32"/>
      <x:c r="L71" s="32"/>
      <x:c r="M71" s="32"/>
      <x:c r="N71" s="32"/>
      <x:c r="O71" s="88"/>
      <x:c r="P71" s="32"/>
      <x:c r="Q71" s="32"/>
      <x:c r="R71" s="32"/>
      <x:c r="S71" s="32"/>
      <x:c r="T71" s="32"/>
      <x:c r="U71" s="32"/>
      <x:c r="V71" s="94"/>
      <x:c r="W71" s="32"/>
      <x:c r="X71" s="32"/>
      <x:c r="Y71" s="32"/>
      <x:c r="Z71" s="86"/>
      <x:c r="AA71" s="42" t="str">
        <x:f>IF(AND($A71="",$B71=""),"",IF(OR($A71="",$B71=""),"CHECK_INPUT",IF(OR($Y71="test",COUNTIF('Guide_Lists'!$AR$2:$AR$4,$B71)&gt;0),"TEST_DO_NOT_IMPORT",IF(OR(COUNTIF('Import_Staging'!$A$8:$A$107,$A71)&gt;1,COUNTIF('Import_Staging'!$B$8:$B$107,$B71)&gt;1),"DUPLICATE_IN_IMPORT",IF(COUNTIF('Leads'!$AE$8:$AE$107,$A71)&gt;0,"EXISTS",IF(COUNTIF('Leads'!$A$8:$A$107,$B71)&gt;0,"CHECK_INPUT",IF(AND($Y71="production",ISNUMBER($C71)),"NEW","CHECK_INPUT")))))))</x:f>
      </x:c>
      <x:c r="AB71" s="42" t="str">
        <x:f>IF($AA71="","",IF($AA71&lt;&gt;"EXISTS","",IFERROR(IF(OR(IF(INDEX('Leads'!$A$8:$A$107,MATCH($A71,'Leads'!$AE$8:$AE$107,0))="","",INDEX('Leads'!$A$8:$A$107,MATCH($A71,'Leads'!$AE$8:$AE$107,0)))&lt;&gt;$B71,IF(INDEX('Leads'!$AF$8:$AF$107,MATCH($A71,'Leads'!$AE$8:$AE$107,0))="","",INDEX('Leads'!$AF$8:$AF$107,MATCH($A71,'Leads'!$AE$8:$AE$107,0)))&lt;&gt;$C71,IF(INDEX('Leads'!$AG$8:$AG$107,MATCH($A71,'Leads'!$AE$8:$AE$107,0))="","",INDEX('Leads'!$AG$8:$AG$107,MATCH($A71,'Leads'!$AE$8:$AE$107,0)))&lt;&gt;$D71,IF(INDEX('Leads'!$B$8:$B$107,MATCH($A71,'Leads'!$AE$8:$AE$107,0))="","",INDEX('Leads'!$B$8:$B$107,MATCH($A71,'Leads'!$AE$8:$AE$107,0)))&lt;&gt;$E71,IF(INDEX('Leads'!$C$8:$C$107,MATCH($A71,'Leads'!$AE$8:$AE$107,0))="","",INDEX('Leads'!$C$8:$C$107,MATCH($A71,'Leads'!$AE$8:$AE$107,0)))&lt;&gt;$F71,IF(INDEX('Leads'!$K$8:$K$107,MATCH($A71,'Leads'!$AE$8:$AE$107,0))="","",INDEX('Leads'!$K$8:$K$107,MATCH($A71,'Leads'!$AE$8:$AE$107,0)))&lt;&gt;$G71,IF(INDEX('Leads'!$L$8:$L$107,MATCH($A71,'Leads'!$AE$8:$AE$107,0))="","",INDEX('Leads'!$L$8:$L$107,MATCH($A71,'Leads'!$AE$8:$AE$107,0)))&lt;&gt;$H71,IF(INDEX('Leads'!$M$8:$M$107,MATCH($A71,'Leads'!$AE$8:$AE$107,0))="","",INDEX('Leads'!$M$8:$M$107,MATCH($A71,'Leads'!$AE$8:$AE$107,0)))&lt;&gt;$I71,IF(INDEX('Leads'!$N$8:$N$107,MATCH($A71,'Leads'!$AE$8:$AE$107,0))="","",INDEX('Leads'!$N$8:$N$107,MATCH($A71,'Leads'!$AE$8:$AE$107,0)))&lt;&gt;$J71,IF(INDEX('Leads'!$AH$8:$AH$107,MATCH($A71,'Leads'!$AE$8:$AE$107,0))="","",INDEX('Leads'!$AH$8:$AH$107,MATCH($A71,'Leads'!$AE$8:$AE$107,0)))&lt;&gt;$K71,IF(INDEX('Leads'!$D$8:$D$107,MATCH($A71,'Leads'!$AE$8:$AE$107,0))="","",INDEX('Leads'!$D$8:$D$107,MATCH($A71,'Leads'!$AE$8:$AE$107,0)))&lt;&gt;$L71,IF(INDEX('Leads'!$E$8:$E$107,MATCH($A71,'Leads'!$AE$8:$AE$107,0))="","",INDEX('Leads'!$E$8:$E$107,MATCH($A71,'Leads'!$AE$8:$AE$107,0)))&lt;&gt;$M71,IF(INDEX('Leads'!$AI$8:$AI$107,MATCH($A71,'Leads'!$AE$8:$AE$107,0))="","",INDEX('Leads'!$AI$8:$AI$107,MATCH($A71,'Leads'!$AE$8:$AE$107,0)))&lt;&gt;$N71,IF(INDEX('Leads'!$AJ$8:$AJ$107,MATCH($A71,'Leads'!$AE$8:$AE$107,0))="","",INDEX('Leads'!$AJ$8:$AJ$107,MATCH($A71,'Leads'!$AE$8:$AE$107,0)))&lt;&gt;$O71,IF(INDEX('Leads'!$AK$8:$AK$107,MATCH($A71,'Leads'!$AE$8:$AE$107,0))="","",INDEX('Leads'!$AK$8:$AK$107,MATCH($A71,'Leads'!$AE$8:$AE$107,0)))&lt;&gt;$P71,IF(INDEX('Leads'!$AL$8:$AL$107,MATCH($A71,'Leads'!$AE$8:$AE$107,0))="","",INDEX('Leads'!$AL$8:$AL$107,MATCH($A71,'Leads'!$AE$8:$AE$107,0)))&lt;&gt;$Q71,IF(INDEX('Leads'!$AM$8:$AM$107,MATCH($A71,'Leads'!$AE$8:$AE$107,0))="","",INDEX('Leads'!$AM$8:$AM$107,MATCH($A71,'Leads'!$AE$8:$AE$107,0)))&lt;&gt;$R71,IF(INDEX('Leads'!$AN$8:$AN$107,MATCH($A71,'Leads'!$AE$8:$AE$107,0))="","",INDEX('Leads'!$AN$8:$AN$107,MATCH($A71,'Leads'!$AE$8:$AE$107,0)))&lt;&gt;$S71,IF(INDEX('Leads'!$AO$8:$AO$107,MATCH($A71,'Leads'!$AE$8:$AE$107,0))="","",INDEX('Leads'!$AO$8:$AO$107,MATCH($A71,'Leads'!$AE$8:$AE$107,0)))&lt;&gt;$T71,IF(INDEX('Leads'!$AP$8:$AP$107,MATCH($A71,'Leads'!$AE$8:$AE$107,0))="","",INDEX('Leads'!$AP$8:$AP$107,MATCH($A71,'Leads'!$AE$8:$AE$107,0)))&lt;&gt;$U71,IF(INDEX('Leads'!$AQ$8:$AQ$107,MATCH($A71,'Leads'!$AE$8:$AE$107,0))="","",INDEX('Leads'!$AQ$8:$AQ$107,MATCH($A71,'Leads'!$AE$8:$AE$107,0)))&lt;&gt;$V71,IF(INDEX('Leads'!$AR$8:$AR$107,MATCH($A71,'Leads'!$AE$8:$AE$107,0))="","",INDEX('Leads'!$AR$8:$AR$107,MATCH($A71,'Leads'!$AE$8:$AE$107,0)))&lt;&gt;$W71,IF(INDEX('Leads'!$AS$8:$AS$107,MATCH($A71,'Leads'!$AE$8:$AE$107,0))="","",INDEX('Leads'!$AS$8:$AS$107,MATCH($A71,'Leads'!$AE$8:$AE$107,0)))&lt;&gt;$X71,IF(INDEX('Leads'!$AT$8:$AT$107,MATCH($A71,'Leads'!$AE$8:$AE$107,0))="","",INDEX('Leads'!$AT$8:$AT$107,MATCH($A71,'Leads'!$AE$8:$AE$107,0)))&lt;&gt;$Y71),"ข้อมูลรับเข้าต่าง — ตรวจเอง","ตรงกัน — ห้ามนำเข้าซ้ำ"),"ตรวจ Lead ID เดิม")))</x:f>
      </x:c>
    </x:row>
    <x:row r="72" ht="30" customHeight="1">
      <x:c r="A72" s="94"/>
      <x:c r="B72" s="94"/>
      <x:c r="C72" s="86"/>
      <x:c r="D72" s="32"/>
      <x:c r="E72" s="32"/>
      <x:c r="F72" s="32"/>
      <x:c r="G72" s="32"/>
      <x:c r="H72" s="94"/>
      <x:c r="I72" s="94"/>
      <x:c r="J72" s="94"/>
      <x:c r="K72" s="32"/>
      <x:c r="L72" s="32"/>
      <x:c r="M72" s="32"/>
      <x:c r="N72" s="32"/>
      <x:c r="O72" s="88"/>
      <x:c r="P72" s="32"/>
      <x:c r="Q72" s="32"/>
      <x:c r="R72" s="32"/>
      <x:c r="S72" s="32"/>
      <x:c r="T72" s="32"/>
      <x:c r="U72" s="32"/>
      <x:c r="V72" s="94"/>
      <x:c r="W72" s="32"/>
      <x:c r="X72" s="32"/>
      <x:c r="Y72" s="32"/>
      <x:c r="Z72" s="86"/>
      <x:c r="AA72" s="42" t="str">
        <x:f>IF(AND($A72="",$B72=""),"",IF(OR($A72="",$B72=""),"CHECK_INPUT",IF(OR($Y72="test",COUNTIF('Guide_Lists'!$AR$2:$AR$4,$B72)&gt;0),"TEST_DO_NOT_IMPORT",IF(OR(COUNTIF('Import_Staging'!$A$8:$A$107,$A72)&gt;1,COUNTIF('Import_Staging'!$B$8:$B$107,$B72)&gt;1),"DUPLICATE_IN_IMPORT",IF(COUNTIF('Leads'!$AE$8:$AE$107,$A72)&gt;0,"EXISTS",IF(COUNTIF('Leads'!$A$8:$A$107,$B72)&gt;0,"CHECK_INPUT",IF(AND($Y72="production",ISNUMBER($C72)),"NEW","CHECK_INPUT")))))))</x:f>
      </x:c>
      <x:c r="AB72" s="42" t="str">
        <x:f>IF($AA72="","",IF($AA72&lt;&gt;"EXISTS","",IFERROR(IF(OR(IF(INDEX('Leads'!$A$8:$A$107,MATCH($A72,'Leads'!$AE$8:$AE$107,0))="","",INDEX('Leads'!$A$8:$A$107,MATCH($A72,'Leads'!$AE$8:$AE$107,0)))&lt;&gt;$B72,IF(INDEX('Leads'!$AF$8:$AF$107,MATCH($A72,'Leads'!$AE$8:$AE$107,0))="","",INDEX('Leads'!$AF$8:$AF$107,MATCH($A72,'Leads'!$AE$8:$AE$107,0)))&lt;&gt;$C72,IF(INDEX('Leads'!$AG$8:$AG$107,MATCH($A72,'Leads'!$AE$8:$AE$107,0))="","",INDEX('Leads'!$AG$8:$AG$107,MATCH($A72,'Leads'!$AE$8:$AE$107,0)))&lt;&gt;$D72,IF(INDEX('Leads'!$B$8:$B$107,MATCH($A72,'Leads'!$AE$8:$AE$107,0))="","",INDEX('Leads'!$B$8:$B$107,MATCH($A72,'Leads'!$AE$8:$AE$107,0)))&lt;&gt;$E72,IF(INDEX('Leads'!$C$8:$C$107,MATCH($A72,'Leads'!$AE$8:$AE$107,0))="","",INDEX('Leads'!$C$8:$C$107,MATCH($A72,'Leads'!$AE$8:$AE$107,0)))&lt;&gt;$F72,IF(INDEX('Leads'!$K$8:$K$107,MATCH($A72,'Leads'!$AE$8:$AE$107,0))="","",INDEX('Leads'!$K$8:$K$107,MATCH($A72,'Leads'!$AE$8:$AE$107,0)))&lt;&gt;$G72,IF(INDEX('Leads'!$L$8:$L$107,MATCH($A72,'Leads'!$AE$8:$AE$107,0))="","",INDEX('Leads'!$L$8:$L$107,MATCH($A72,'Leads'!$AE$8:$AE$107,0)))&lt;&gt;$H72,IF(INDEX('Leads'!$M$8:$M$107,MATCH($A72,'Leads'!$AE$8:$AE$107,0))="","",INDEX('Leads'!$M$8:$M$107,MATCH($A72,'Leads'!$AE$8:$AE$107,0)))&lt;&gt;$I72,IF(INDEX('Leads'!$N$8:$N$107,MATCH($A72,'Leads'!$AE$8:$AE$107,0))="","",INDEX('Leads'!$N$8:$N$107,MATCH($A72,'Leads'!$AE$8:$AE$107,0)))&lt;&gt;$J72,IF(INDEX('Leads'!$AH$8:$AH$107,MATCH($A72,'Leads'!$AE$8:$AE$107,0))="","",INDEX('Leads'!$AH$8:$AH$107,MATCH($A72,'Leads'!$AE$8:$AE$107,0)))&lt;&gt;$K72,IF(INDEX('Leads'!$D$8:$D$107,MATCH($A72,'Leads'!$AE$8:$AE$107,0))="","",INDEX('Leads'!$D$8:$D$107,MATCH($A72,'Leads'!$AE$8:$AE$107,0)))&lt;&gt;$L72,IF(INDEX('Leads'!$E$8:$E$107,MATCH($A72,'Leads'!$AE$8:$AE$107,0))="","",INDEX('Leads'!$E$8:$E$107,MATCH($A72,'Leads'!$AE$8:$AE$107,0)))&lt;&gt;$M72,IF(INDEX('Leads'!$AI$8:$AI$107,MATCH($A72,'Leads'!$AE$8:$AE$107,0))="","",INDEX('Leads'!$AI$8:$AI$107,MATCH($A72,'Leads'!$AE$8:$AE$107,0)))&lt;&gt;$N72,IF(INDEX('Leads'!$AJ$8:$AJ$107,MATCH($A72,'Leads'!$AE$8:$AE$107,0))="","",INDEX('Leads'!$AJ$8:$AJ$107,MATCH($A72,'Leads'!$AE$8:$AE$107,0)))&lt;&gt;$O72,IF(INDEX('Leads'!$AK$8:$AK$107,MATCH($A72,'Leads'!$AE$8:$AE$107,0))="","",INDEX('Leads'!$AK$8:$AK$107,MATCH($A72,'Leads'!$AE$8:$AE$107,0)))&lt;&gt;$P72,IF(INDEX('Leads'!$AL$8:$AL$107,MATCH($A72,'Leads'!$AE$8:$AE$107,0))="","",INDEX('Leads'!$AL$8:$AL$107,MATCH($A72,'Leads'!$AE$8:$AE$107,0)))&lt;&gt;$Q72,IF(INDEX('Leads'!$AM$8:$AM$107,MATCH($A72,'Leads'!$AE$8:$AE$107,0))="","",INDEX('Leads'!$AM$8:$AM$107,MATCH($A72,'Leads'!$AE$8:$AE$107,0)))&lt;&gt;$R72,IF(INDEX('Leads'!$AN$8:$AN$107,MATCH($A72,'Leads'!$AE$8:$AE$107,0))="","",INDEX('Leads'!$AN$8:$AN$107,MATCH($A72,'Leads'!$AE$8:$AE$107,0)))&lt;&gt;$S72,IF(INDEX('Leads'!$AO$8:$AO$107,MATCH($A72,'Leads'!$AE$8:$AE$107,0))="","",INDEX('Leads'!$AO$8:$AO$107,MATCH($A72,'Leads'!$AE$8:$AE$107,0)))&lt;&gt;$T72,IF(INDEX('Leads'!$AP$8:$AP$107,MATCH($A72,'Leads'!$AE$8:$AE$107,0))="","",INDEX('Leads'!$AP$8:$AP$107,MATCH($A72,'Leads'!$AE$8:$AE$107,0)))&lt;&gt;$U72,IF(INDEX('Leads'!$AQ$8:$AQ$107,MATCH($A72,'Leads'!$AE$8:$AE$107,0))="","",INDEX('Leads'!$AQ$8:$AQ$107,MATCH($A72,'Leads'!$AE$8:$AE$107,0)))&lt;&gt;$V72,IF(INDEX('Leads'!$AR$8:$AR$107,MATCH($A72,'Leads'!$AE$8:$AE$107,0))="","",INDEX('Leads'!$AR$8:$AR$107,MATCH($A72,'Leads'!$AE$8:$AE$107,0)))&lt;&gt;$W72,IF(INDEX('Leads'!$AS$8:$AS$107,MATCH($A72,'Leads'!$AE$8:$AE$107,0))="","",INDEX('Leads'!$AS$8:$AS$107,MATCH($A72,'Leads'!$AE$8:$AE$107,0)))&lt;&gt;$X72,IF(INDEX('Leads'!$AT$8:$AT$107,MATCH($A72,'Leads'!$AE$8:$AE$107,0))="","",INDEX('Leads'!$AT$8:$AT$107,MATCH($A72,'Leads'!$AE$8:$AE$107,0)))&lt;&gt;$Y72),"ข้อมูลรับเข้าต่าง — ตรวจเอง","ตรงกัน — ห้ามนำเข้าซ้ำ"),"ตรวจ Lead ID เดิม")))</x:f>
      </x:c>
    </x:row>
    <x:row r="73" ht="30" customHeight="1">
      <x:c r="A73" s="94"/>
      <x:c r="B73" s="94"/>
      <x:c r="C73" s="86"/>
      <x:c r="D73" s="32"/>
      <x:c r="E73" s="32"/>
      <x:c r="F73" s="32"/>
      <x:c r="G73" s="32"/>
      <x:c r="H73" s="94"/>
      <x:c r="I73" s="94"/>
      <x:c r="J73" s="94"/>
      <x:c r="K73" s="32"/>
      <x:c r="L73" s="32"/>
      <x:c r="M73" s="32"/>
      <x:c r="N73" s="32"/>
      <x:c r="O73" s="88"/>
      <x:c r="P73" s="32"/>
      <x:c r="Q73" s="32"/>
      <x:c r="R73" s="32"/>
      <x:c r="S73" s="32"/>
      <x:c r="T73" s="32"/>
      <x:c r="U73" s="32"/>
      <x:c r="V73" s="94"/>
      <x:c r="W73" s="32"/>
      <x:c r="X73" s="32"/>
      <x:c r="Y73" s="32"/>
      <x:c r="Z73" s="86"/>
      <x:c r="AA73" s="42" t="str">
        <x:f>IF(AND($A73="",$B73=""),"",IF(OR($A73="",$B73=""),"CHECK_INPUT",IF(OR($Y73="test",COUNTIF('Guide_Lists'!$AR$2:$AR$4,$B73)&gt;0),"TEST_DO_NOT_IMPORT",IF(OR(COUNTIF('Import_Staging'!$A$8:$A$107,$A73)&gt;1,COUNTIF('Import_Staging'!$B$8:$B$107,$B73)&gt;1),"DUPLICATE_IN_IMPORT",IF(COUNTIF('Leads'!$AE$8:$AE$107,$A73)&gt;0,"EXISTS",IF(COUNTIF('Leads'!$A$8:$A$107,$B73)&gt;0,"CHECK_INPUT",IF(AND($Y73="production",ISNUMBER($C73)),"NEW","CHECK_INPUT")))))))</x:f>
      </x:c>
      <x:c r="AB73" s="42" t="str">
        <x:f>IF($AA73="","",IF($AA73&lt;&gt;"EXISTS","",IFERROR(IF(OR(IF(INDEX('Leads'!$A$8:$A$107,MATCH($A73,'Leads'!$AE$8:$AE$107,0))="","",INDEX('Leads'!$A$8:$A$107,MATCH($A73,'Leads'!$AE$8:$AE$107,0)))&lt;&gt;$B73,IF(INDEX('Leads'!$AF$8:$AF$107,MATCH($A73,'Leads'!$AE$8:$AE$107,0))="","",INDEX('Leads'!$AF$8:$AF$107,MATCH($A73,'Leads'!$AE$8:$AE$107,0)))&lt;&gt;$C73,IF(INDEX('Leads'!$AG$8:$AG$107,MATCH($A73,'Leads'!$AE$8:$AE$107,0))="","",INDEX('Leads'!$AG$8:$AG$107,MATCH($A73,'Leads'!$AE$8:$AE$107,0)))&lt;&gt;$D73,IF(INDEX('Leads'!$B$8:$B$107,MATCH($A73,'Leads'!$AE$8:$AE$107,0))="","",INDEX('Leads'!$B$8:$B$107,MATCH($A73,'Leads'!$AE$8:$AE$107,0)))&lt;&gt;$E73,IF(INDEX('Leads'!$C$8:$C$107,MATCH($A73,'Leads'!$AE$8:$AE$107,0))="","",INDEX('Leads'!$C$8:$C$107,MATCH($A73,'Leads'!$AE$8:$AE$107,0)))&lt;&gt;$F73,IF(INDEX('Leads'!$K$8:$K$107,MATCH($A73,'Leads'!$AE$8:$AE$107,0))="","",INDEX('Leads'!$K$8:$K$107,MATCH($A73,'Leads'!$AE$8:$AE$107,0)))&lt;&gt;$G73,IF(INDEX('Leads'!$L$8:$L$107,MATCH($A73,'Leads'!$AE$8:$AE$107,0))="","",INDEX('Leads'!$L$8:$L$107,MATCH($A73,'Leads'!$AE$8:$AE$107,0)))&lt;&gt;$H73,IF(INDEX('Leads'!$M$8:$M$107,MATCH($A73,'Leads'!$AE$8:$AE$107,0))="","",INDEX('Leads'!$M$8:$M$107,MATCH($A73,'Leads'!$AE$8:$AE$107,0)))&lt;&gt;$I73,IF(INDEX('Leads'!$N$8:$N$107,MATCH($A73,'Leads'!$AE$8:$AE$107,0))="","",INDEX('Leads'!$N$8:$N$107,MATCH($A73,'Leads'!$AE$8:$AE$107,0)))&lt;&gt;$J73,IF(INDEX('Leads'!$AH$8:$AH$107,MATCH($A73,'Leads'!$AE$8:$AE$107,0))="","",INDEX('Leads'!$AH$8:$AH$107,MATCH($A73,'Leads'!$AE$8:$AE$107,0)))&lt;&gt;$K73,IF(INDEX('Leads'!$D$8:$D$107,MATCH($A73,'Leads'!$AE$8:$AE$107,0))="","",INDEX('Leads'!$D$8:$D$107,MATCH($A73,'Leads'!$AE$8:$AE$107,0)))&lt;&gt;$L73,IF(INDEX('Leads'!$E$8:$E$107,MATCH($A73,'Leads'!$AE$8:$AE$107,0))="","",INDEX('Leads'!$E$8:$E$107,MATCH($A73,'Leads'!$AE$8:$AE$107,0)))&lt;&gt;$M73,IF(INDEX('Leads'!$AI$8:$AI$107,MATCH($A73,'Leads'!$AE$8:$AE$107,0))="","",INDEX('Leads'!$AI$8:$AI$107,MATCH($A73,'Leads'!$AE$8:$AE$107,0)))&lt;&gt;$N73,IF(INDEX('Leads'!$AJ$8:$AJ$107,MATCH($A73,'Leads'!$AE$8:$AE$107,0))="","",INDEX('Leads'!$AJ$8:$AJ$107,MATCH($A73,'Leads'!$AE$8:$AE$107,0)))&lt;&gt;$O73,IF(INDEX('Leads'!$AK$8:$AK$107,MATCH($A73,'Leads'!$AE$8:$AE$107,0))="","",INDEX('Leads'!$AK$8:$AK$107,MATCH($A73,'Leads'!$AE$8:$AE$107,0)))&lt;&gt;$P73,IF(INDEX('Leads'!$AL$8:$AL$107,MATCH($A73,'Leads'!$AE$8:$AE$107,0))="","",INDEX('Leads'!$AL$8:$AL$107,MATCH($A73,'Leads'!$AE$8:$AE$107,0)))&lt;&gt;$Q73,IF(INDEX('Leads'!$AM$8:$AM$107,MATCH($A73,'Leads'!$AE$8:$AE$107,0))="","",INDEX('Leads'!$AM$8:$AM$107,MATCH($A73,'Leads'!$AE$8:$AE$107,0)))&lt;&gt;$R73,IF(INDEX('Leads'!$AN$8:$AN$107,MATCH($A73,'Leads'!$AE$8:$AE$107,0))="","",INDEX('Leads'!$AN$8:$AN$107,MATCH($A73,'Leads'!$AE$8:$AE$107,0)))&lt;&gt;$S73,IF(INDEX('Leads'!$AO$8:$AO$107,MATCH($A73,'Leads'!$AE$8:$AE$107,0))="","",INDEX('Leads'!$AO$8:$AO$107,MATCH($A73,'Leads'!$AE$8:$AE$107,0)))&lt;&gt;$T73,IF(INDEX('Leads'!$AP$8:$AP$107,MATCH($A73,'Leads'!$AE$8:$AE$107,0))="","",INDEX('Leads'!$AP$8:$AP$107,MATCH($A73,'Leads'!$AE$8:$AE$107,0)))&lt;&gt;$U73,IF(INDEX('Leads'!$AQ$8:$AQ$107,MATCH($A73,'Leads'!$AE$8:$AE$107,0))="","",INDEX('Leads'!$AQ$8:$AQ$107,MATCH($A73,'Leads'!$AE$8:$AE$107,0)))&lt;&gt;$V73,IF(INDEX('Leads'!$AR$8:$AR$107,MATCH($A73,'Leads'!$AE$8:$AE$107,0))="","",INDEX('Leads'!$AR$8:$AR$107,MATCH($A73,'Leads'!$AE$8:$AE$107,0)))&lt;&gt;$W73,IF(INDEX('Leads'!$AS$8:$AS$107,MATCH($A73,'Leads'!$AE$8:$AE$107,0))="","",INDEX('Leads'!$AS$8:$AS$107,MATCH($A73,'Leads'!$AE$8:$AE$107,0)))&lt;&gt;$X73,IF(INDEX('Leads'!$AT$8:$AT$107,MATCH($A73,'Leads'!$AE$8:$AE$107,0))="","",INDEX('Leads'!$AT$8:$AT$107,MATCH($A73,'Leads'!$AE$8:$AE$107,0)))&lt;&gt;$Y73),"ข้อมูลรับเข้าต่าง — ตรวจเอง","ตรงกัน — ห้ามนำเข้าซ้ำ"),"ตรวจ Lead ID เดิม")))</x:f>
      </x:c>
    </x:row>
    <x:row r="74" ht="30" customHeight="1">
      <x:c r="A74" s="94"/>
      <x:c r="B74" s="94"/>
      <x:c r="C74" s="86"/>
      <x:c r="D74" s="32"/>
      <x:c r="E74" s="32"/>
      <x:c r="F74" s="32"/>
      <x:c r="G74" s="32"/>
      <x:c r="H74" s="94"/>
      <x:c r="I74" s="94"/>
      <x:c r="J74" s="94"/>
      <x:c r="K74" s="32"/>
      <x:c r="L74" s="32"/>
      <x:c r="M74" s="32"/>
      <x:c r="N74" s="32"/>
      <x:c r="O74" s="88"/>
      <x:c r="P74" s="32"/>
      <x:c r="Q74" s="32"/>
      <x:c r="R74" s="32"/>
      <x:c r="S74" s="32"/>
      <x:c r="T74" s="32"/>
      <x:c r="U74" s="32"/>
      <x:c r="V74" s="94"/>
      <x:c r="W74" s="32"/>
      <x:c r="X74" s="32"/>
      <x:c r="Y74" s="32"/>
      <x:c r="Z74" s="86"/>
      <x:c r="AA74" s="42" t="str">
        <x:f>IF(AND($A74="",$B74=""),"",IF(OR($A74="",$B74=""),"CHECK_INPUT",IF(OR($Y74="test",COUNTIF('Guide_Lists'!$AR$2:$AR$4,$B74)&gt;0),"TEST_DO_NOT_IMPORT",IF(OR(COUNTIF('Import_Staging'!$A$8:$A$107,$A74)&gt;1,COUNTIF('Import_Staging'!$B$8:$B$107,$B74)&gt;1),"DUPLICATE_IN_IMPORT",IF(COUNTIF('Leads'!$AE$8:$AE$107,$A74)&gt;0,"EXISTS",IF(COUNTIF('Leads'!$A$8:$A$107,$B74)&gt;0,"CHECK_INPUT",IF(AND($Y74="production",ISNUMBER($C74)),"NEW","CHECK_INPUT")))))))</x:f>
      </x:c>
      <x:c r="AB74" s="42" t="str">
        <x:f>IF($AA74="","",IF($AA74&lt;&gt;"EXISTS","",IFERROR(IF(OR(IF(INDEX('Leads'!$A$8:$A$107,MATCH($A74,'Leads'!$AE$8:$AE$107,0))="","",INDEX('Leads'!$A$8:$A$107,MATCH($A74,'Leads'!$AE$8:$AE$107,0)))&lt;&gt;$B74,IF(INDEX('Leads'!$AF$8:$AF$107,MATCH($A74,'Leads'!$AE$8:$AE$107,0))="","",INDEX('Leads'!$AF$8:$AF$107,MATCH($A74,'Leads'!$AE$8:$AE$107,0)))&lt;&gt;$C74,IF(INDEX('Leads'!$AG$8:$AG$107,MATCH($A74,'Leads'!$AE$8:$AE$107,0))="","",INDEX('Leads'!$AG$8:$AG$107,MATCH($A74,'Leads'!$AE$8:$AE$107,0)))&lt;&gt;$D74,IF(INDEX('Leads'!$B$8:$B$107,MATCH($A74,'Leads'!$AE$8:$AE$107,0))="","",INDEX('Leads'!$B$8:$B$107,MATCH($A74,'Leads'!$AE$8:$AE$107,0)))&lt;&gt;$E74,IF(INDEX('Leads'!$C$8:$C$107,MATCH($A74,'Leads'!$AE$8:$AE$107,0))="","",INDEX('Leads'!$C$8:$C$107,MATCH($A74,'Leads'!$AE$8:$AE$107,0)))&lt;&gt;$F74,IF(INDEX('Leads'!$K$8:$K$107,MATCH($A74,'Leads'!$AE$8:$AE$107,0))="","",INDEX('Leads'!$K$8:$K$107,MATCH($A74,'Leads'!$AE$8:$AE$107,0)))&lt;&gt;$G74,IF(INDEX('Leads'!$L$8:$L$107,MATCH($A74,'Leads'!$AE$8:$AE$107,0))="","",INDEX('Leads'!$L$8:$L$107,MATCH($A74,'Leads'!$AE$8:$AE$107,0)))&lt;&gt;$H74,IF(INDEX('Leads'!$M$8:$M$107,MATCH($A74,'Leads'!$AE$8:$AE$107,0))="","",INDEX('Leads'!$M$8:$M$107,MATCH($A74,'Leads'!$AE$8:$AE$107,0)))&lt;&gt;$I74,IF(INDEX('Leads'!$N$8:$N$107,MATCH($A74,'Leads'!$AE$8:$AE$107,0))="","",INDEX('Leads'!$N$8:$N$107,MATCH($A74,'Leads'!$AE$8:$AE$107,0)))&lt;&gt;$J74,IF(INDEX('Leads'!$AH$8:$AH$107,MATCH($A74,'Leads'!$AE$8:$AE$107,0))="","",INDEX('Leads'!$AH$8:$AH$107,MATCH($A74,'Leads'!$AE$8:$AE$107,0)))&lt;&gt;$K74,IF(INDEX('Leads'!$D$8:$D$107,MATCH($A74,'Leads'!$AE$8:$AE$107,0))="","",INDEX('Leads'!$D$8:$D$107,MATCH($A74,'Leads'!$AE$8:$AE$107,0)))&lt;&gt;$L74,IF(INDEX('Leads'!$E$8:$E$107,MATCH($A74,'Leads'!$AE$8:$AE$107,0))="","",INDEX('Leads'!$E$8:$E$107,MATCH($A74,'Leads'!$AE$8:$AE$107,0)))&lt;&gt;$M74,IF(INDEX('Leads'!$AI$8:$AI$107,MATCH($A74,'Leads'!$AE$8:$AE$107,0))="","",INDEX('Leads'!$AI$8:$AI$107,MATCH($A74,'Leads'!$AE$8:$AE$107,0)))&lt;&gt;$N74,IF(INDEX('Leads'!$AJ$8:$AJ$107,MATCH($A74,'Leads'!$AE$8:$AE$107,0))="","",INDEX('Leads'!$AJ$8:$AJ$107,MATCH($A74,'Leads'!$AE$8:$AE$107,0)))&lt;&gt;$O74,IF(INDEX('Leads'!$AK$8:$AK$107,MATCH($A74,'Leads'!$AE$8:$AE$107,0))="","",INDEX('Leads'!$AK$8:$AK$107,MATCH($A74,'Leads'!$AE$8:$AE$107,0)))&lt;&gt;$P74,IF(INDEX('Leads'!$AL$8:$AL$107,MATCH($A74,'Leads'!$AE$8:$AE$107,0))="","",INDEX('Leads'!$AL$8:$AL$107,MATCH($A74,'Leads'!$AE$8:$AE$107,0)))&lt;&gt;$Q74,IF(INDEX('Leads'!$AM$8:$AM$107,MATCH($A74,'Leads'!$AE$8:$AE$107,0))="","",INDEX('Leads'!$AM$8:$AM$107,MATCH($A74,'Leads'!$AE$8:$AE$107,0)))&lt;&gt;$R74,IF(INDEX('Leads'!$AN$8:$AN$107,MATCH($A74,'Leads'!$AE$8:$AE$107,0))="","",INDEX('Leads'!$AN$8:$AN$107,MATCH($A74,'Leads'!$AE$8:$AE$107,0)))&lt;&gt;$S74,IF(INDEX('Leads'!$AO$8:$AO$107,MATCH($A74,'Leads'!$AE$8:$AE$107,0))="","",INDEX('Leads'!$AO$8:$AO$107,MATCH($A74,'Leads'!$AE$8:$AE$107,0)))&lt;&gt;$T74,IF(INDEX('Leads'!$AP$8:$AP$107,MATCH($A74,'Leads'!$AE$8:$AE$107,0))="","",INDEX('Leads'!$AP$8:$AP$107,MATCH($A74,'Leads'!$AE$8:$AE$107,0)))&lt;&gt;$U74,IF(INDEX('Leads'!$AQ$8:$AQ$107,MATCH($A74,'Leads'!$AE$8:$AE$107,0))="","",INDEX('Leads'!$AQ$8:$AQ$107,MATCH($A74,'Leads'!$AE$8:$AE$107,0)))&lt;&gt;$V74,IF(INDEX('Leads'!$AR$8:$AR$107,MATCH($A74,'Leads'!$AE$8:$AE$107,0))="","",INDEX('Leads'!$AR$8:$AR$107,MATCH($A74,'Leads'!$AE$8:$AE$107,0)))&lt;&gt;$W74,IF(INDEX('Leads'!$AS$8:$AS$107,MATCH($A74,'Leads'!$AE$8:$AE$107,0))="","",INDEX('Leads'!$AS$8:$AS$107,MATCH($A74,'Leads'!$AE$8:$AE$107,0)))&lt;&gt;$X74,IF(INDEX('Leads'!$AT$8:$AT$107,MATCH($A74,'Leads'!$AE$8:$AE$107,0))="","",INDEX('Leads'!$AT$8:$AT$107,MATCH($A74,'Leads'!$AE$8:$AE$107,0)))&lt;&gt;$Y74),"ข้อมูลรับเข้าต่าง — ตรวจเอง","ตรงกัน — ห้ามนำเข้าซ้ำ"),"ตรวจ Lead ID เดิม")))</x:f>
      </x:c>
    </x:row>
    <x:row r="75" ht="30" customHeight="1">
      <x:c r="A75" s="94"/>
      <x:c r="B75" s="94"/>
      <x:c r="C75" s="86"/>
      <x:c r="D75" s="32"/>
      <x:c r="E75" s="32"/>
      <x:c r="F75" s="32"/>
      <x:c r="G75" s="32"/>
      <x:c r="H75" s="94"/>
      <x:c r="I75" s="94"/>
      <x:c r="J75" s="94"/>
      <x:c r="K75" s="32"/>
      <x:c r="L75" s="32"/>
      <x:c r="M75" s="32"/>
      <x:c r="N75" s="32"/>
      <x:c r="O75" s="88"/>
      <x:c r="P75" s="32"/>
      <x:c r="Q75" s="32"/>
      <x:c r="R75" s="32"/>
      <x:c r="S75" s="32"/>
      <x:c r="T75" s="32"/>
      <x:c r="U75" s="32"/>
      <x:c r="V75" s="94"/>
      <x:c r="W75" s="32"/>
      <x:c r="X75" s="32"/>
      <x:c r="Y75" s="32"/>
      <x:c r="Z75" s="86"/>
      <x:c r="AA75" s="42" t="str">
        <x:f>IF(AND($A75="",$B75=""),"",IF(OR($A75="",$B75=""),"CHECK_INPUT",IF(OR($Y75="test",COUNTIF('Guide_Lists'!$AR$2:$AR$4,$B75)&gt;0),"TEST_DO_NOT_IMPORT",IF(OR(COUNTIF('Import_Staging'!$A$8:$A$107,$A75)&gt;1,COUNTIF('Import_Staging'!$B$8:$B$107,$B75)&gt;1),"DUPLICATE_IN_IMPORT",IF(COUNTIF('Leads'!$AE$8:$AE$107,$A75)&gt;0,"EXISTS",IF(COUNTIF('Leads'!$A$8:$A$107,$B75)&gt;0,"CHECK_INPUT",IF(AND($Y75="production",ISNUMBER($C75)),"NEW","CHECK_INPUT")))))))</x:f>
      </x:c>
      <x:c r="AB75" s="42" t="str">
        <x:f>IF($AA75="","",IF($AA75&lt;&gt;"EXISTS","",IFERROR(IF(OR(IF(INDEX('Leads'!$A$8:$A$107,MATCH($A75,'Leads'!$AE$8:$AE$107,0))="","",INDEX('Leads'!$A$8:$A$107,MATCH($A75,'Leads'!$AE$8:$AE$107,0)))&lt;&gt;$B75,IF(INDEX('Leads'!$AF$8:$AF$107,MATCH($A75,'Leads'!$AE$8:$AE$107,0))="","",INDEX('Leads'!$AF$8:$AF$107,MATCH($A75,'Leads'!$AE$8:$AE$107,0)))&lt;&gt;$C75,IF(INDEX('Leads'!$AG$8:$AG$107,MATCH($A75,'Leads'!$AE$8:$AE$107,0))="","",INDEX('Leads'!$AG$8:$AG$107,MATCH($A75,'Leads'!$AE$8:$AE$107,0)))&lt;&gt;$D75,IF(INDEX('Leads'!$B$8:$B$107,MATCH($A75,'Leads'!$AE$8:$AE$107,0))="","",INDEX('Leads'!$B$8:$B$107,MATCH($A75,'Leads'!$AE$8:$AE$107,0)))&lt;&gt;$E75,IF(INDEX('Leads'!$C$8:$C$107,MATCH($A75,'Leads'!$AE$8:$AE$107,0))="","",INDEX('Leads'!$C$8:$C$107,MATCH($A75,'Leads'!$AE$8:$AE$107,0)))&lt;&gt;$F75,IF(INDEX('Leads'!$K$8:$K$107,MATCH($A75,'Leads'!$AE$8:$AE$107,0))="","",INDEX('Leads'!$K$8:$K$107,MATCH($A75,'Leads'!$AE$8:$AE$107,0)))&lt;&gt;$G75,IF(INDEX('Leads'!$L$8:$L$107,MATCH($A75,'Leads'!$AE$8:$AE$107,0))="","",INDEX('Leads'!$L$8:$L$107,MATCH($A75,'Leads'!$AE$8:$AE$107,0)))&lt;&gt;$H75,IF(INDEX('Leads'!$M$8:$M$107,MATCH($A75,'Leads'!$AE$8:$AE$107,0))="","",INDEX('Leads'!$M$8:$M$107,MATCH($A75,'Leads'!$AE$8:$AE$107,0)))&lt;&gt;$I75,IF(INDEX('Leads'!$N$8:$N$107,MATCH($A75,'Leads'!$AE$8:$AE$107,0))="","",INDEX('Leads'!$N$8:$N$107,MATCH($A75,'Leads'!$AE$8:$AE$107,0)))&lt;&gt;$J75,IF(INDEX('Leads'!$AH$8:$AH$107,MATCH($A75,'Leads'!$AE$8:$AE$107,0))="","",INDEX('Leads'!$AH$8:$AH$107,MATCH($A75,'Leads'!$AE$8:$AE$107,0)))&lt;&gt;$K75,IF(INDEX('Leads'!$D$8:$D$107,MATCH($A75,'Leads'!$AE$8:$AE$107,0))="","",INDEX('Leads'!$D$8:$D$107,MATCH($A75,'Leads'!$AE$8:$AE$107,0)))&lt;&gt;$L75,IF(INDEX('Leads'!$E$8:$E$107,MATCH($A75,'Leads'!$AE$8:$AE$107,0))="","",INDEX('Leads'!$E$8:$E$107,MATCH($A75,'Leads'!$AE$8:$AE$107,0)))&lt;&gt;$M75,IF(INDEX('Leads'!$AI$8:$AI$107,MATCH($A75,'Leads'!$AE$8:$AE$107,0))="","",INDEX('Leads'!$AI$8:$AI$107,MATCH($A75,'Leads'!$AE$8:$AE$107,0)))&lt;&gt;$N75,IF(INDEX('Leads'!$AJ$8:$AJ$107,MATCH($A75,'Leads'!$AE$8:$AE$107,0))="","",INDEX('Leads'!$AJ$8:$AJ$107,MATCH($A75,'Leads'!$AE$8:$AE$107,0)))&lt;&gt;$O75,IF(INDEX('Leads'!$AK$8:$AK$107,MATCH($A75,'Leads'!$AE$8:$AE$107,0))="","",INDEX('Leads'!$AK$8:$AK$107,MATCH($A75,'Leads'!$AE$8:$AE$107,0)))&lt;&gt;$P75,IF(INDEX('Leads'!$AL$8:$AL$107,MATCH($A75,'Leads'!$AE$8:$AE$107,0))="","",INDEX('Leads'!$AL$8:$AL$107,MATCH($A75,'Leads'!$AE$8:$AE$107,0)))&lt;&gt;$Q75,IF(INDEX('Leads'!$AM$8:$AM$107,MATCH($A75,'Leads'!$AE$8:$AE$107,0))="","",INDEX('Leads'!$AM$8:$AM$107,MATCH($A75,'Leads'!$AE$8:$AE$107,0)))&lt;&gt;$R75,IF(INDEX('Leads'!$AN$8:$AN$107,MATCH($A75,'Leads'!$AE$8:$AE$107,0))="","",INDEX('Leads'!$AN$8:$AN$107,MATCH($A75,'Leads'!$AE$8:$AE$107,0)))&lt;&gt;$S75,IF(INDEX('Leads'!$AO$8:$AO$107,MATCH($A75,'Leads'!$AE$8:$AE$107,0))="","",INDEX('Leads'!$AO$8:$AO$107,MATCH($A75,'Leads'!$AE$8:$AE$107,0)))&lt;&gt;$T75,IF(INDEX('Leads'!$AP$8:$AP$107,MATCH($A75,'Leads'!$AE$8:$AE$107,0))="","",INDEX('Leads'!$AP$8:$AP$107,MATCH($A75,'Leads'!$AE$8:$AE$107,0)))&lt;&gt;$U75,IF(INDEX('Leads'!$AQ$8:$AQ$107,MATCH($A75,'Leads'!$AE$8:$AE$107,0))="","",INDEX('Leads'!$AQ$8:$AQ$107,MATCH($A75,'Leads'!$AE$8:$AE$107,0)))&lt;&gt;$V75,IF(INDEX('Leads'!$AR$8:$AR$107,MATCH($A75,'Leads'!$AE$8:$AE$107,0))="","",INDEX('Leads'!$AR$8:$AR$107,MATCH($A75,'Leads'!$AE$8:$AE$107,0)))&lt;&gt;$W75,IF(INDEX('Leads'!$AS$8:$AS$107,MATCH($A75,'Leads'!$AE$8:$AE$107,0))="","",INDEX('Leads'!$AS$8:$AS$107,MATCH($A75,'Leads'!$AE$8:$AE$107,0)))&lt;&gt;$X75,IF(INDEX('Leads'!$AT$8:$AT$107,MATCH($A75,'Leads'!$AE$8:$AE$107,0))="","",INDEX('Leads'!$AT$8:$AT$107,MATCH($A75,'Leads'!$AE$8:$AE$107,0)))&lt;&gt;$Y75),"ข้อมูลรับเข้าต่าง — ตรวจเอง","ตรงกัน — ห้ามนำเข้าซ้ำ"),"ตรวจ Lead ID เดิม")))</x:f>
      </x:c>
    </x:row>
    <x:row r="76" ht="30" customHeight="1">
      <x:c r="A76" s="94"/>
      <x:c r="B76" s="94"/>
      <x:c r="C76" s="86"/>
      <x:c r="D76" s="32"/>
      <x:c r="E76" s="32"/>
      <x:c r="F76" s="32"/>
      <x:c r="G76" s="32"/>
      <x:c r="H76" s="94"/>
      <x:c r="I76" s="94"/>
      <x:c r="J76" s="94"/>
      <x:c r="K76" s="32"/>
      <x:c r="L76" s="32"/>
      <x:c r="M76" s="32"/>
      <x:c r="N76" s="32"/>
      <x:c r="O76" s="88"/>
      <x:c r="P76" s="32"/>
      <x:c r="Q76" s="32"/>
      <x:c r="R76" s="32"/>
      <x:c r="S76" s="32"/>
      <x:c r="T76" s="32"/>
      <x:c r="U76" s="32"/>
      <x:c r="V76" s="94"/>
      <x:c r="W76" s="32"/>
      <x:c r="X76" s="32"/>
      <x:c r="Y76" s="32"/>
      <x:c r="Z76" s="86"/>
      <x:c r="AA76" s="42" t="str">
        <x:f>IF(AND($A76="",$B76=""),"",IF(OR($A76="",$B76=""),"CHECK_INPUT",IF(OR($Y76="test",COUNTIF('Guide_Lists'!$AR$2:$AR$4,$B76)&gt;0),"TEST_DO_NOT_IMPORT",IF(OR(COUNTIF('Import_Staging'!$A$8:$A$107,$A76)&gt;1,COUNTIF('Import_Staging'!$B$8:$B$107,$B76)&gt;1),"DUPLICATE_IN_IMPORT",IF(COUNTIF('Leads'!$AE$8:$AE$107,$A76)&gt;0,"EXISTS",IF(COUNTIF('Leads'!$A$8:$A$107,$B76)&gt;0,"CHECK_INPUT",IF(AND($Y76="production",ISNUMBER($C76)),"NEW","CHECK_INPUT")))))))</x:f>
      </x:c>
      <x:c r="AB76" s="42" t="str">
        <x:f>IF($AA76="","",IF($AA76&lt;&gt;"EXISTS","",IFERROR(IF(OR(IF(INDEX('Leads'!$A$8:$A$107,MATCH($A76,'Leads'!$AE$8:$AE$107,0))="","",INDEX('Leads'!$A$8:$A$107,MATCH($A76,'Leads'!$AE$8:$AE$107,0)))&lt;&gt;$B76,IF(INDEX('Leads'!$AF$8:$AF$107,MATCH($A76,'Leads'!$AE$8:$AE$107,0))="","",INDEX('Leads'!$AF$8:$AF$107,MATCH($A76,'Leads'!$AE$8:$AE$107,0)))&lt;&gt;$C76,IF(INDEX('Leads'!$AG$8:$AG$107,MATCH($A76,'Leads'!$AE$8:$AE$107,0))="","",INDEX('Leads'!$AG$8:$AG$107,MATCH($A76,'Leads'!$AE$8:$AE$107,0)))&lt;&gt;$D76,IF(INDEX('Leads'!$B$8:$B$107,MATCH($A76,'Leads'!$AE$8:$AE$107,0))="","",INDEX('Leads'!$B$8:$B$107,MATCH($A76,'Leads'!$AE$8:$AE$107,0)))&lt;&gt;$E76,IF(INDEX('Leads'!$C$8:$C$107,MATCH($A76,'Leads'!$AE$8:$AE$107,0))="","",INDEX('Leads'!$C$8:$C$107,MATCH($A76,'Leads'!$AE$8:$AE$107,0)))&lt;&gt;$F76,IF(INDEX('Leads'!$K$8:$K$107,MATCH($A76,'Leads'!$AE$8:$AE$107,0))="","",INDEX('Leads'!$K$8:$K$107,MATCH($A76,'Leads'!$AE$8:$AE$107,0)))&lt;&gt;$G76,IF(INDEX('Leads'!$L$8:$L$107,MATCH($A76,'Leads'!$AE$8:$AE$107,0))="","",INDEX('Leads'!$L$8:$L$107,MATCH($A76,'Leads'!$AE$8:$AE$107,0)))&lt;&gt;$H76,IF(INDEX('Leads'!$M$8:$M$107,MATCH($A76,'Leads'!$AE$8:$AE$107,0))="","",INDEX('Leads'!$M$8:$M$107,MATCH($A76,'Leads'!$AE$8:$AE$107,0)))&lt;&gt;$I76,IF(INDEX('Leads'!$N$8:$N$107,MATCH($A76,'Leads'!$AE$8:$AE$107,0))="","",INDEX('Leads'!$N$8:$N$107,MATCH($A76,'Leads'!$AE$8:$AE$107,0)))&lt;&gt;$J76,IF(INDEX('Leads'!$AH$8:$AH$107,MATCH($A76,'Leads'!$AE$8:$AE$107,0))="","",INDEX('Leads'!$AH$8:$AH$107,MATCH($A76,'Leads'!$AE$8:$AE$107,0)))&lt;&gt;$K76,IF(INDEX('Leads'!$D$8:$D$107,MATCH($A76,'Leads'!$AE$8:$AE$107,0))="","",INDEX('Leads'!$D$8:$D$107,MATCH($A76,'Leads'!$AE$8:$AE$107,0)))&lt;&gt;$L76,IF(INDEX('Leads'!$E$8:$E$107,MATCH($A76,'Leads'!$AE$8:$AE$107,0))="","",INDEX('Leads'!$E$8:$E$107,MATCH($A76,'Leads'!$AE$8:$AE$107,0)))&lt;&gt;$M76,IF(INDEX('Leads'!$AI$8:$AI$107,MATCH($A76,'Leads'!$AE$8:$AE$107,0))="","",INDEX('Leads'!$AI$8:$AI$107,MATCH($A76,'Leads'!$AE$8:$AE$107,0)))&lt;&gt;$N76,IF(INDEX('Leads'!$AJ$8:$AJ$107,MATCH($A76,'Leads'!$AE$8:$AE$107,0))="","",INDEX('Leads'!$AJ$8:$AJ$107,MATCH($A76,'Leads'!$AE$8:$AE$107,0)))&lt;&gt;$O76,IF(INDEX('Leads'!$AK$8:$AK$107,MATCH($A76,'Leads'!$AE$8:$AE$107,0))="","",INDEX('Leads'!$AK$8:$AK$107,MATCH($A76,'Leads'!$AE$8:$AE$107,0)))&lt;&gt;$P76,IF(INDEX('Leads'!$AL$8:$AL$107,MATCH($A76,'Leads'!$AE$8:$AE$107,0))="","",INDEX('Leads'!$AL$8:$AL$107,MATCH($A76,'Leads'!$AE$8:$AE$107,0)))&lt;&gt;$Q76,IF(INDEX('Leads'!$AM$8:$AM$107,MATCH($A76,'Leads'!$AE$8:$AE$107,0))="","",INDEX('Leads'!$AM$8:$AM$107,MATCH($A76,'Leads'!$AE$8:$AE$107,0)))&lt;&gt;$R76,IF(INDEX('Leads'!$AN$8:$AN$107,MATCH($A76,'Leads'!$AE$8:$AE$107,0))="","",INDEX('Leads'!$AN$8:$AN$107,MATCH($A76,'Leads'!$AE$8:$AE$107,0)))&lt;&gt;$S76,IF(INDEX('Leads'!$AO$8:$AO$107,MATCH($A76,'Leads'!$AE$8:$AE$107,0))="","",INDEX('Leads'!$AO$8:$AO$107,MATCH($A76,'Leads'!$AE$8:$AE$107,0)))&lt;&gt;$T76,IF(INDEX('Leads'!$AP$8:$AP$107,MATCH($A76,'Leads'!$AE$8:$AE$107,0))="","",INDEX('Leads'!$AP$8:$AP$107,MATCH($A76,'Leads'!$AE$8:$AE$107,0)))&lt;&gt;$U76,IF(INDEX('Leads'!$AQ$8:$AQ$107,MATCH($A76,'Leads'!$AE$8:$AE$107,0))="","",INDEX('Leads'!$AQ$8:$AQ$107,MATCH($A76,'Leads'!$AE$8:$AE$107,0)))&lt;&gt;$V76,IF(INDEX('Leads'!$AR$8:$AR$107,MATCH($A76,'Leads'!$AE$8:$AE$107,0))="","",INDEX('Leads'!$AR$8:$AR$107,MATCH($A76,'Leads'!$AE$8:$AE$107,0)))&lt;&gt;$W76,IF(INDEX('Leads'!$AS$8:$AS$107,MATCH($A76,'Leads'!$AE$8:$AE$107,0))="","",INDEX('Leads'!$AS$8:$AS$107,MATCH($A76,'Leads'!$AE$8:$AE$107,0)))&lt;&gt;$X76,IF(INDEX('Leads'!$AT$8:$AT$107,MATCH($A76,'Leads'!$AE$8:$AE$107,0))="","",INDEX('Leads'!$AT$8:$AT$107,MATCH($A76,'Leads'!$AE$8:$AE$107,0)))&lt;&gt;$Y76),"ข้อมูลรับเข้าต่าง — ตรวจเอง","ตรงกัน — ห้ามนำเข้าซ้ำ"),"ตรวจ Lead ID เดิม")))</x:f>
      </x:c>
    </x:row>
    <x:row r="77" ht="30" customHeight="1">
      <x:c r="A77" s="94"/>
      <x:c r="B77" s="94"/>
      <x:c r="C77" s="86"/>
      <x:c r="D77" s="32"/>
      <x:c r="E77" s="32"/>
      <x:c r="F77" s="32"/>
      <x:c r="G77" s="32"/>
      <x:c r="H77" s="94"/>
      <x:c r="I77" s="94"/>
      <x:c r="J77" s="94"/>
      <x:c r="K77" s="32"/>
      <x:c r="L77" s="32"/>
      <x:c r="M77" s="32"/>
      <x:c r="N77" s="32"/>
      <x:c r="O77" s="88"/>
      <x:c r="P77" s="32"/>
      <x:c r="Q77" s="32"/>
      <x:c r="R77" s="32"/>
      <x:c r="S77" s="32"/>
      <x:c r="T77" s="32"/>
      <x:c r="U77" s="32"/>
      <x:c r="V77" s="94"/>
      <x:c r="W77" s="32"/>
      <x:c r="X77" s="32"/>
      <x:c r="Y77" s="32"/>
      <x:c r="Z77" s="86"/>
      <x:c r="AA77" s="42" t="str">
        <x:f>IF(AND($A77="",$B77=""),"",IF(OR($A77="",$B77=""),"CHECK_INPUT",IF(OR($Y77="test",COUNTIF('Guide_Lists'!$AR$2:$AR$4,$B77)&gt;0),"TEST_DO_NOT_IMPORT",IF(OR(COUNTIF('Import_Staging'!$A$8:$A$107,$A77)&gt;1,COUNTIF('Import_Staging'!$B$8:$B$107,$B77)&gt;1),"DUPLICATE_IN_IMPORT",IF(COUNTIF('Leads'!$AE$8:$AE$107,$A77)&gt;0,"EXISTS",IF(COUNTIF('Leads'!$A$8:$A$107,$B77)&gt;0,"CHECK_INPUT",IF(AND($Y77="production",ISNUMBER($C77)),"NEW","CHECK_INPUT")))))))</x:f>
      </x:c>
      <x:c r="AB77" s="42" t="str">
        <x:f>IF($AA77="","",IF($AA77&lt;&gt;"EXISTS","",IFERROR(IF(OR(IF(INDEX('Leads'!$A$8:$A$107,MATCH($A77,'Leads'!$AE$8:$AE$107,0))="","",INDEX('Leads'!$A$8:$A$107,MATCH($A77,'Leads'!$AE$8:$AE$107,0)))&lt;&gt;$B77,IF(INDEX('Leads'!$AF$8:$AF$107,MATCH($A77,'Leads'!$AE$8:$AE$107,0))="","",INDEX('Leads'!$AF$8:$AF$107,MATCH($A77,'Leads'!$AE$8:$AE$107,0)))&lt;&gt;$C77,IF(INDEX('Leads'!$AG$8:$AG$107,MATCH($A77,'Leads'!$AE$8:$AE$107,0))="","",INDEX('Leads'!$AG$8:$AG$107,MATCH($A77,'Leads'!$AE$8:$AE$107,0)))&lt;&gt;$D77,IF(INDEX('Leads'!$B$8:$B$107,MATCH($A77,'Leads'!$AE$8:$AE$107,0))="","",INDEX('Leads'!$B$8:$B$107,MATCH($A77,'Leads'!$AE$8:$AE$107,0)))&lt;&gt;$E77,IF(INDEX('Leads'!$C$8:$C$107,MATCH($A77,'Leads'!$AE$8:$AE$107,0))="","",INDEX('Leads'!$C$8:$C$107,MATCH($A77,'Leads'!$AE$8:$AE$107,0)))&lt;&gt;$F77,IF(INDEX('Leads'!$K$8:$K$107,MATCH($A77,'Leads'!$AE$8:$AE$107,0))="","",INDEX('Leads'!$K$8:$K$107,MATCH($A77,'Leads'!$AE$8:$AE$107,0)))&lt;&gt;$G77,IF(INDEX('Leads'!$L$8:$L$107,MATCH($A77,'Leads'!$AE$8:$AE$107,0))="","",INDEX('Leads'!$L$8:$L$107,MATCH($A77,'Leads'!$AE$8:$AE$107,0)))&lt;&gt;$H77,IF(INDEX('Leads'!$M$8:$M$107,MATCH($A77,'Leads'!$AE$8:$AE$107,0))="","",INDEX('Leads'!$M$8:$M$107,MATCH($A77,'Leads'!$AE$8:$AE$107,0)))&lt;&gt;$I77,IF(INDEX('Leads'!$N$8:$N$107,MATCH($A77,'Leads'!$AE$8:$AE$107,0))="","",INDEX('Leads'!$N$8:$N$107,MATCH($A77,'Leads'!$AE$8:$AE$107,0)))&lt;&gt;$J77,IF(INDEX('Leads'!$AH$8:$AH$107,MATCH($A77,'Leads'!$AE$8:$AE$107,0))="","",INDEX('Leads'!$AH$8:$AH$107,MATCH($A77,'Leads'!$AE$8:$AE$107,0)))&lt;&gt;$K77,IF(INDEX('Leads'!$D$8:$D$107,MATCH($A77,'Leads'!$AE$8:$AE$107,0))="","",INDEX('Leads'!$D$8:$D$107,MATCH($A77,'Leads'!$AE$8:$AE$107,0)))&lt;&gt;$L77,IF(INDEX('Leads'!$E$8:$E$107,MATCH($A77,'Leads'!$AE$8:$AE$107,0))="","",INDEX('Leads'!$E$8:$E$107,MATCH($A77,'Leads'!$AE$8:$AE$107,0)))&lt;&gt;$M77,IF(INDEX('Leads'!$AI$8:$AI$107,MATCH($A77,'Leads'!$AE$8:$AE$107,0))="","",INDEX('Leads'!$AI$8:$AI$107,MATCH($A77,'Leads'!$AE$8:$AE$107,0)))&lt;&gt;$N77,IF(INDEX('Leads'!$AJ$8:$AJ$107,MATCH($A77,'Leads'!$AE$8:$AE$107,0))="","",INDEX('Leads'!$AJ$8:$AJ$107,MATCH($A77,'Leads'!$AE$8:$AE$107,0)))&lt;&gt;$O77,IF(INDEX('Leads'!$AK$8:$AK$107,MATCH($A77,'Leads'!$AE$8:$AE$107,0))="","",INDEX('Leads'!$AK$8:$AK$107,MATCH($A77,'Leads'!$AE$8:$AE$107,0)))&lt;&gt;$P77,IF(INDEX('Leads'!$AL$8:$AL$107,MATCH($A77,'Leads'!$AE$8:$AE$107,0))="","",INDEX('Leads'!$AL$8:$AL$107,MATCH($A77,'Leads'!$AE$8:$AE$107,0)))&lt;&gt;$Q77,IF(INDEX('Leads'!$AM$8:$AM$107,MATCH($A77,'Leads'!$AE$8:$AE$107,0))="","",INDEX('Leads'!$AM$8:$AM$107,MATCH($A77,'Leads'!$AE$8:$AE$107,0)))&lt;&gt;$R77,IF(INDEX('Leads'!$AN$8:$AN$107,MATCH($A77,'Leads'!$AE$8:$AE$107,0))="","",INDEX('Leads'!$AN$8:$AN$107,MATCH($A77,'Leads'!$AE$8:$AE$107,0)))&lt;&gt;$S77,IF(INDEX('Leads'!$AO$8:$AO$107,MATCH($A77,'Leads'!$AE$8:$AE$107,0))="","",INDEX('Leads'!$AO$8:$AO$107,MATCH($A77,'Leads'!$AE$8:$AE$107,0)))&lt;&gt;$T77,IF(INDEX('Leads'!$AP$8:$AP$107,MATCH($A77,'Leads'!$AE$8:$AE$107,0))="","",INDEX('Leads'!$AP$8:$AP$107,MATCH($A77,'Leads'!$AE$8:$AE$107,0)))&lt;&gt;$U77,IF(INDEX('Leads'!$AQ$8:$AQ$107,MATCH($A77,'Leads'!$AE$8:$AE$107,0))="","",INDEX('Leads'!$AQ$8:$AQ$107,MATCH($A77,'Leads'!$AE$8:$AE$107,0)))&lt;&gt;$V77,IF(INDEX('Leads'!$AR$8:$AR$107,MATCH($A77,'Leads'!$AE$8:$AE$107,0))="","",INDEX('Leads'!$AR$8:$AR$107,MATCH($A77,'Leads'!$AE$8:$AE$107,0)))&lt;&gt;$W77,IF(INDEX('Leads'!$AS$8:$AS$107,MATCH($A77,'Leads'!$AE$8:$AE$107,0))="","",INDEX('Leads'!$AS$8:$AS$107,MATCH($A77,'Leads'!$AE$8:$AE$107,0)))&lt;&gt;$X77,IF(INDEX('Leads'!$AT$8:$AT$107,MATCH($A77,'Leads'!$AE$8:$AE$107,0))="","",INDEX('Leads'!$AT$8:$AT$107,MATCH($A77,'Leads'!$AE$8:$AE$107,0)))&lt;&gt;$Y77),"ข้อมูลรับเข้าต่าง — ตรวจเอง","ตรงกัน — ห้ามนำเข้าซ้ำ"),"ตรวจ Lead ID เดิม")))</x:f>
      </x:c>
    </x:row>
    <x:row r="78" ht="30" customHeight="1">
      <x:c r="A78" s="94"/>
      <x:c r="B78" s="94"/>
      <x:c r="C78" s="86"/>
      <x:c r="D78" s="32"/>
      <x:c r="E78" s="32"/>
      <x:c r="F78" s="32"/>
      <x:c r="G78" s="32"/>
      <x:c r="H78" s="94"/>
      <x:c r="I78" s="94"/>
      <x:c r="J78" s="94"/>
      <x:c r="K78" s="32"/>
      <x:c r="L78" s="32"/>
      <x:c r="M78" s="32"/>
      <x:c r="N78" s="32"/>
      <x:c r="O78" s="88"/>
      <x:c r="P78" s="32"/>
      <x:c r="Q78" s="32"/>
      <x:c r="R78" s="32"/>
      <x:c r="S78" s="32"/>
      <x:c r="T78" s="32"/>
      <x:c r="U78" s="32"/>
      <x:c r="V78" s="94"/>
      <x:c r="W78" s="32"/>
      <x:c r="X78" s="32"/>
      <x:c r="Y78" s="32"/>
      <x:c r="Z78" s="86"/>
      <x:c r="AA78" s="42" t="str">
        <x:f>IF(AND($A78="",$B78=""),"",IF(OR($A78="",$B78=""),"CHECK_INPUT",IF(OR($Y78="test",COUNTIF('Guide_Lists'!$AR$2:$AR$4,$B78)&gt;0),"TEST_DO_NOT_IMPORT",IF(OR(COUNTIF('Import_Staging'!$A$8:$A$107,$A78)&gt;1,COUNTIF('Import_Staging'!$B$8:$B$107,$B78)&gt;1),"DUPLICATE_IN_IMPORT",IF(COUNTIF('Leads'!$AE$8:$AE$107,$A78)&gt;0,"EXISTS",IF(COUNTIF('Leads'!$A$8:$A$107,$B78)&gt;0,"CHECK_INPUT",IF(AND($Y78="production",ISNUMBER($C78)),"NEW","CHECK_INPUT")))))))</x:f>
      </x:c>
      <x:c r="AB78" s="42" t="str">
        <x:f>IF($AA78="","",IF($AA78&lt;&gt;"EXISTS","",IFERROR(IF(OR(IF(INDEX('Leads'!$A$8:$A$107,MATCH($A78,'Leads'!$AE$8:$AE$107,0))="","",INDEX('Leads'!$A$8:$A$107,MATCH($A78,'Leads'!$AE$8:$AE$107,0)))&lt;&gt;$B78,IF(INDEX('Leads'!$AF$8:$AF$107,MATCH($A78,'Leads'!$AE$8:$AE$107,0))="","",INDEX('Leads'!$AF$8:$AF$107,MATCH($A78,'Leads'!$AE$8:$AE$107,0)))&lt;&gt;$C78,IF(INDEX('Leads'!$AG$8:$AG$107,MATCH($A78,'Leads'!$AE$8:$AE$107,0))="","",INDEX('Leads'!$AG$8:$AG$107,MATCH($A78,'Leads'!$AE$8:$AE$107,0)))&lt;&gt;$D78,IF(INDEX('Leads'!$B$8:$B$107,MATCH($A78,'Leads'!$AE$8:$AE$107,0))="","",INDEX('Leads'!$B$8:$B$107,MATCH($A78,'Leads'!$AE$8:$AE$107,0)))&lt;&gt;$E78,IF(INDEX('Leads'!$C$8:$C$107,MATCH($A78,'Leads'!$AE$8:$AE$107,0))="","",INDEX('Leads'!$C$8:$C$107,MATCH($A78,'Leads'!$AE$8:$AE$107,0)))&lt;&gt;$F78,IF(INDEX('Leads'!$K$8:$K$107,MATCH($A78,'Leads'!$AE$8:$AE$107,0))="","",INDEX('Leads'!$K$8:$K$107,MATCH($A78,'Leads'!$AE$8:$AE$107,0)))&lt;&gt;$G78,IF(INDEX('Leads'!$L$8:$L$107,MATCH($A78,'Leads'!$AE$8:$AE$107,0))="","",INDEX('Leads'!$L$8:$L$107,MATCH($A78,'Leads'!$AE$8:$AE$107,0)))&lt;&gt;$H78,IF(INDEX('Leads'!$M$8:$M$107,MATCH($A78,'Leads'!$AE$8:$AE$107,0))="","",INDEX('Leads'!$M$8:$M$107,MATCH($A78,'Leads'!$AE$8:$AE$107,0)))&lt;&gt;$I78,IF(INDEX('Leads'!$N$8:$N$107,MATCH($A78,'Leads'!$AE$8:$AE$107,0))="","",INDEX('Leads'!$N$8:$N$107,MATCH($A78,'Leads'!$AE$8:$AE$107,0)))&lt;&gt;$J78,IF(INDEX('Leads'!$AH$8:$AH$107,MATCH($A78,'Leads'!$AE$8:$AE$107,0))="","",INDEX('Leads'!$AH$8:$AH$107,MATCH($A78,'Leads'!$AE$8:$AE$107,0)))&lt;&gt;$K78,IF(INDEX('Leads'!$D$8:$D$107,MATCH($A78,'Leads'!$AE$8:$AE$107,0))="","",INDEX('Leads'!$D$8:$D$107,MATCH($A78,'Leads'!$AE$8:$AE$107,0)))&lt;&gt;$L78,IF(INDEX('Leads'!$E$8:$E$107,MATCH($A78,'Leads'!$AE$8:$AE$107,0))="","",INDEX('Leads'!$E$8:$E$107,MATCH($A78,'Leads'!$AE$8:$AE$107,0)))&lt;&gt;$M78,IF(INDEX('Leads'!$AI$8:$AI$107,MATCH($A78,'Leads'!$AE$8:$AE$107,0))="","",INDEX('Leads'!$AI$8:$AI$107,MATCH($A78,'Leads'!$AE$8:$AE$107,0)))&lt;&gt;$N78,IF(INDEX('Leads'!$AJ$8:$AJ$107,MATCH($A78,'Leads'!$AE$8:$AE$107,0))="","",INDEX('Leads'!$AJ$8:$AJ$107,MATCH($A78,'Leads'!$AE$8:$AE$107,0)))&lt;&gt;$O78,IF(INDEX('Leads'!$AK$8:$AK$107,MATCH($A78,'Leads'!$AE$8:$AE$107,0))="","",INDEX('Leads'!$AK$8:$AK$107,MATCH($A78,'Leads'!$AE$8:$AE$107,0)))&lt;&gt;$P78,IF(INDEX('Leads'!$AL$8:$AL$107,MATCH($A78,'Leads'!$AE$8:$AE$107,0))="","",INDEX('Leads'!$AL$8:$AL$107,MATCH($A78,'Leads'!$AE$8:$AE$107,0)))&lt;&gt;$Q78,IF(INDEX('Leads'!$AM$8:$AM$107,MATCH($A78,'Leads'!$AE$8:$AE$107,0))="","",INDEX('Leads'!$AM$8:$AM$107,MATCH($A78,'Leads'!$AE$8:$AE$107,0)))&lt;&gt;$R78,IF(INDEX('Leads'!$AN$8:$AN$107,MATCH($A78,'Leads'!$AE$8:$AE$107,0))="","",INDEX('Leads'!$AN$8:$AN$107,MATCH($A78,'Leads'!$AE$8:$AE$107,0)))&lt;&gt;$S78,IF(INDEX('Leads'!$AO$8:$AO$107,MATCH($A78,'Leads'!$AE$8:$AE$107,0))="","",INDEX('Leads'!$AO$8:$AO$107,MATCH($A78,'Leads'!$AE$8:$AE$107,0)))&lt;&gt;$T78,IF(INDEX('Leads'!$AP$8:$AP$107,MATCH($A78,'Leads'!$AE$8:$AE$107,0))="","",INDEX('Leads'!$AP$8:$AP$107,MATCH($A78,'Leads'!$AE$8:$AE$107,0)))&lt;&gt;$U78,IF(INDEX('Leads'!$AQ$8:$AQ$107,MATCH($A78,'Leads'!$AE$8:$AE$107,0))="","",INDEX('Leads'!$AQ$8:$AQ$107,MATCH($A78,'Leads'!$AE$8:$AE$107,0)))&lt;&gt;$V78,IF(INDEX('Leads'!$AR$8:$AR$107,MATCH($A78,'Leads'!$AE$8:$AE$107,0))="","",INDEX('Leads'!$AR$8:$AR$107,MATCH($A78,'Leads'!$AE$8:$AE$107,0)))&lt;&gt;$W78,IF(INDEX('Leads'!$AS$8:$AS$107,MATCH($A78,'Leads'!$AE$8:$AE$107,0))="","",INDEX('Leads'!$AS$8:$AS$107,MATCH($A78,'Leads'!$AE$8:$AE$107,0)))&lt;&gt;$X78,IF(INDEX('Leads'!$AT$8:$AT$107,MATCH($A78,'Leads'!$AE$8:$AE$107,0))="","",INDEX('Leads'!$AT$8:$AT$107,MATCH($A78,'Leads'!$AE$8:$AE$107,0)))&lt;&gt;$Y78),"ข้อมูลรับเข้าต่าง — ตรวจเอง","ตรงกัน — ห้ามนำเข้าซ้ำ"),"ตรวจ Lead ID เดิม")))</x:f>
      </x:c>
    </x:row>
    <x:row r="79" ht="30" customHeight="1">
      <x:c r="A79" s="94"/>
      <x:c r="B79" s="94"/>
      <x:c r="C79" s="86"/>
      <x:c r="D79" s="32"/>
      <x:c r="E79" s="32"/>
      <x:c r="F79" s="32"/>
      <x:c r="G79" s="32"/>
      <x:c r="H79" s="94"/>
      <x:c r="I79" s="94"/>
      <x:c r="J79" s="94"/>
      <x:c r="K79" s="32"/>
      <x:c r="L79" s="32"/>
      <x:c r="M79" s="32"/>
      <x:c r="N79" s="32"/>
      <x:c r="O79" s="88"/>
      <x:c r="P79" s="32"/>
      <x:c r="Q79" s="32"/>
      <x:c r="R79" s="32"/>
      <x:c r="S79" s="32"/>
      <x:c r="T79" s="32"/>
      <x:c r="U79" s="32"/>
      <x:c r="V79" s="94"/>
      <x:c r="W79" s="32"/>
      <x:c r="X79" s="32"/>
      <x:c r="Y79" s="32"/>
      <x:c r="Z79" s="86"/>
      <x:c r="AA79" s="42" t="str">
        <x:f>IF(AND($A79="",$B79=""),"",IF(OR($A79="",$B79=""),"CHECK_INPUT",IF(OR($Y79="test",COUNTIF('Guide_Lists'!$AR$2:$AR$4,$B79)&gt;0),"TEST_DO_NOT_IMPORT",IF(OR(COUNTIF('Import_Staging'!$A$8:$A$107,$A79)&gt;1,COUNTIF('Import_Staging'!$B$8:$B$107,$B79)&gt;1),"DUPLICATE_IN_IMPORT",IF(COUNTIF('Leads'!$AE$8:$AE$107,$A79)&gt;0,"EXISTS",IF(COUNTIF('Leads'!$A$8:$A$107,$B79)&gt;0,"CHECK_INPUT",IF(AND($Y79="production",ISNUMBER($C79)),"NEW","CHECK_INPUT")))))))</x:f>
      </x:c>
      <x:c r="AB79" s="42" t="str">
        <x:f>IF($AA79="","",IF($AA79&lt;&gt;"EXISTS","",IFERROR(IF(OR(IF(INDEX('Leads'!$A$8:$A$107,MATCH($A79,'Leads'!$AE$8:$AE$107,0))="","",INDEX('Leads'!$A$8:$A$107,MATCH($A79,'Leads'!$AE$8:$AE$107,0)))&lt;&gt;$B79,IF(INDEX('Leads'!$AF$8:$AF$107,MATCH($A79,'Leads'!$AE$8:$AE$107,0))="","",INDEX('Leads'!$AF$8:$AF$107,MATCH($A79,'Leads'!$AE$8:$AE$107,0)))&lt;&gt;$C79,IF(INDEX('Leads'!$AG$8:$AG$107,MATCH($A79,'Leads'!$AE$8:$AE$107,0))="","",INDEX('Leads'!$AG$8:$AG$107,MATCH($A79,'Leads'!$AE$8:$AE$107,0)))&lt;&gt;$D79,IF(INDEX('Leads'!$B$8:$B$107,MATCH($A79,'Leads'!$AE$8:$AE$107,0))="","",INDEX('Leads'!$B$8:$B$107,MATCH($A79,'Leads'!$AE$8:$AE$107,0)))&lt;&gt;$E79,IF(INDEX('Leads'!$C$8:$C$107,MATCH($A79,'Leads'!$AE$8:$AE$107,0))="","",INDEX('Leads'!$C$8:$C$107,MATCH($A79,'Leads'!$AE$8:$AE$107,0)))&lt;&gt;$F79,IF(INDEX('Leads'!$K$8:$K$107,MATCH($A79,'Leads'!$AE$8:$AE$107,0))="","",INDEX('Leads'!$K$8:$K$107,MATCH($A79,'Leads'!$AE$8:$AE$107,0)))&lt;&gt;$G79,IF(INDEX('Leads'!$L$8:$L$107,MATCH($A79,'Leads'!$AE$8:$AE$107,0))="","",INDEX('Leads'!$L$8:$L$107,MATCH($A79,'Leads'!$AE$8:$AE$107,0)))&lt;&gt;$H79,IF(INDEX('Leads'!$M$8:$M$107,MATCH($A79,'Leads'!$AE$8:$AE$107,0))="","",INDEX('Leads'!$M$8:$M$107,MATCH($A79,'Leads'!$AE$8:$AE$107,0)))&lt;&gt;$I79,IF(INDEX('Leads'!$N$8:$N$107,MATCH($A79,'Leads'!$AE$8:$AE$107,0))="","",INDEX('Leads'!$N$8:$N$107,MATCH($A79,'Leads'!$AE$8:$AE$107,0)))&lt;&gt;$J79,IF(INDEX('Leads'!$AH$8:$AH$107,MATCH($A79,'Leads'!$AE$8:$AE$107,0))="","",INDEX('Leads'!$AH$8:$AH$107,MATCH($A79,'Leads'!$AE$8:$AE$107,0)))&lt;&gt;$K79,IF(INDEX('Leads'!$D$8:$D$107,MATCH($A79,'Leads'!$AE$8:$AE$107,0))="","",INDEX('Leads'!$D$8:$D$107,MATCH($A79,'Leads'!$AE$8:$AE$107,0)))&lt;&gt;$L79,IF(INDEX('Leads'!$E$8:$E$107,MATCH($A79,'Leads'!$AE$8:$AE$107,0))="","",INDEX('Leads'!$E$8:$E$107,MATCH($A79,'Leads'!$AE$8:$AE$107,0)))&lt;&gt;$M79,IF(INDEX('Leads'!$AI$8:$AI$107,MATCH($A79,'Leads'!$AE$8:$AE$107,0))="","",INDEX('Leads'!$AI$8:$AI$107,MATCH($A79,'Leads'!$AE$8:$AE$107,0)))&lt;&gt;$N79,IF(INDEX('Leads'!$AJ$8:$AJ$107,MATCH($A79,'Leads'!$AE$8:$AE$107,0))="","",INDEX('Leads'!$AJ$8:$AJ$107,MATCH($A79,'Leads'!$AE$8:$AE$107,0)))&lt;&gt;$O79,IF(INDEX('Leads'!$AK$8:$AK$107,MATCH($A79,'Leads'!$AE$8:$AE$107,0))="","",INDEX('Leads'!$AK$8:$AK$107,MATCH($A79,'Leads'!$AE$8:$AE$107,0)))&lt;&gt;$P79,IF(INDEX('Leads'!$AL$8:$AL$107,MATCH($A79,'Leads'!$AE$8:$AE$107,0))="","",INDEX('Leads'!$AL$8:$AL$107,MATCH($A79,'Leads'!$AE$8:$AE$107,0)))&lt;&gt;$Q79,IF(INDEX('Leads'!$AM$8:$AM$107,MATCH($A79,'Leads'!$AE$8:$AE$107,0))="","",INDEX('Leads'!$AM$8:$AM$107,MATCH($A79,'Leads'!$AE$8:$AE$107,0)))&lt;&gt;$R79,IF(INDEX('Leads'!$AN$8:$AN$107,MATCH($A79,'Leads'!$AE$8:$AE$107,0))="","",INDEX('Leads'!$AN$8:$AN$107,MATCH($A79,'Leads'!$AE$8:$AE$107,0)))&lt;&gt;$S79,IF(INDEX('Leads'!$AO$8:$AO$107,MATCH($A79,'Leads'!$AE$8:$AE$107,0))="","",INDEX('Leads'!$AO$8:$AO$107,MATCH($A79,'Leads'!$AE$8:$AE$107,0)))&lt;&gt;$T79,IF(INDEX('Leads'!$AP$8:$AP$107,MATCH($A79,'Leads'!$AE$8:$AE$107,0))="","",INDEX('Leads'!$AP$8:$AP$107,MATCH($A79,'Leads'!$AE$8:$AE$107,0)))&lt;&gt;$U79,IF(INDEX('Leads'!$AQ$8:$AQ$107,MATCH($A79,'Leads'!$AE$8:$AE$107,0))="","",INDEX('Leads'!$AQ$8:$AQ$107,MATCH($A79,'Leads'!$AE$8:$AE$107,0)))&lt;&gt;$V79,IF(INDEX('Leads'!$AR$8:$AR$107,MATCH($A79,'Leads'!$AE$8:$AE$107,0))="","",INDEX('Leads'!$AR$8:$AR$107,MATCH($A79,'Leads'!$AE$8:$AE$107,0)))&lt;&gt;$W79,IF(INDEX('Leads'!$AS$8:$AS$107,MATCH($A79,'Leads'!$AE$8:$AE$107,0))="","",INDEX('Leads'!$AS$8:$AS$107,MATCH($A79,'Leads'!$AE$8:$AE$107,0)))&lt;&gt;$X79,IF(INDEX('Leads'!$AT$8:$AT$107,MATCH($A79,'Leads'!$AE$8:$AE$107,0))="","",INDEX('Leads'!$AT$8:$AT$107,MATCH($A79,'Leads'!$AE$8:$AE$107,0)))&lt;&gt;$Y79),"ข้อมูลรับเข้าต่าง — ตรวจเอง","ตรงกัน — ห้ามนำเข้าซ้ำ"),"ตรวจ Lead ID เดิม")))</x:f>
      </x:c>
    </x:row>
    <x:row r="80" ht="30" customHeight="1">
      <x:c r="A80" s="94"/>
      <x:c r="B80" s="94"/>
      <x:c r="C80" s="86"/>
      <x:c r="D80" s="32"/>
      <x:c r="E80" s="32"/>
      <x:c r="F80" s="32"/>
      <x:c r="G80" s="32"/>
      <x:c r="H80" s="94"/>
      <x:c r="I80" s="94"/>
      <x:c r="J80" s="94"/>
      <x:c r="K80" s="32"/>
      <x:c r="L80" s="32"/>
      <x:c r="M80" s="32"/>
      <x:c r="N80" s="32"/>
      <x:c r="O80" s="88"/>
      <x:c r="P80" s="32"/>
      <x:c r="Q80" s="32"/>
      <x:c r="R80" s="32"/>
      <x:c r="S80" s="32"/>
      <x:c r="T80" s="32"/>
      <x:c r="U80" s="32"/>
      <x:c r="V80" s="94"/>
      <x:c r="W80" s="32"/>
      <x:c r="X80" s="32"/>
      <x:c r="Y80" s="32"/>
      <x:c r="Z80" s="86"/>
      <x:c r="AA80" s="42" t="str">
        <x:f>IF(AND($A80="",$B80=""),"",IF(OR($A80="",$B80=""),"CHECK_INPUT",IF(OR($Y80="test",COUNTIF('Guide_Lists'!$AR$2:$AR$4,$B80)&gt;0),"TEST_DO_NOT_IMPORT",IF(OR(COUNTIF('Import_Staging'!$A$8:$A$107,$A80)&gt;1,COUNTIF('Import_Staging'!$B$8:$B$107,$B80)&gt;1),"DUPLICATE_IN_IMPORT",IF(COUNTIF('Leads'!$AE$8:$AE$107,$A80)&gt;0,"EXISTS",IF(COUNTIF('Leads'!$A$8:$A$107,$B80)&gt;0,"CHECK_INPUT",IF(AND($Y80="production",ISNUMBER($C80)),"NEW","CHECK_INPUT")))))))</x:f>
      </x:c>
      <x:c r="AB80" s="42" t="str">
        <x:f>IF($AA80="","",IF($AA80&lt;&gt;"EXISTS","",IFERROR(IF(OR(IF(INDEX('Leads'!$A$8:$A$107,MATCH($A80,'Leads'!$AE$8:$AE$107,0))="","",INDEX('Leads'!$A$8:$A$107,MATCH($A80,'Leads'!$AE$8:$AE$107,0)))&lt;&gt;$B80,IF(INDEX('Leads'!$AF$8:$AF$107,MATCH($A80,'Leads'!$AE$8:$AE$107,0))="","",INDEX('Leads'!$AF$8:$AF$107,MATCH($A80,'Leads'!$AE$8:$AE$107,0)))&lt;&gt;$C80,IF(INDEX('Leads'!$AG$8:$AG$107,MATCH($A80,'Leads'!$AE$8:$AE$107,0))="","",INDEX('Leads'!$AG$8:$AG$107,MATCH($A80,'Leads'!$AE$8:$AE$107,0)))&lt;&gt;$D80,IF(INDEX('Leads'!$B$8:$B$107,MATCH($A80,'Leads'!$AE$8:$AE$107,0))="","",INDEX('Leads'!$B$8:$B$107,MATCH($A80,'Leads'!$AE$8:$AE$107,0)))&lt;&gt;$E80,IF(INDEX('Leads'!$C$8:$C$107,MATCH($A80,'Leads'!$AE$8:$AE$107,0))="","",INDEX('Leads'!$C$8:$C$107,MATCH($A80,'Leads'!$AE$8:$AE$107,0)))&lt;&gt;$F80,IF(INDEX('Leads'!$K$8:$K$107,MATCH($A80,'Leads'!$AE$8:$AE$107,0))="","",INDEX('Leads'!$K$8:$K$107,MATCH($A80,'Leads'!$AE$8:$AE$107,0)))&lt;&gt;$G80,IF(INDEX('Leads'!$L$8:$L$107,MATCH($A80,'Leads'!$AE$8:$AE$107,0))="","",INDEX('Leads'!$L$8:$L$107,MATCH($A80,'Leads'!$AE$8:$AE$107,0)))&lt;&gt;$H80,IF(INDEX('Leads'!$M$8:$M$107,MATCH($A80,'Leads'!$AE$8:$AE$107,0))="","",INDEX('Leads'!$M$8:$M$107,MATCH($A80,'Leads'!$AE$8:$AE$107,0)))&lt;&gt;$I80,IF(INDEX('Leads'!$N$8:$N$107,MATCH($A80,'Leads'!$AE$8:$AE$107,0))="","",INDEX('Leads'!$N$8:$N$107,MATCH($A80,'Leads'!$AE$8:$AE$107,0)))&lt;&gt;$J80,IF(INDEX('Leads'!$AH$8:$AH$107,MATCH($A80,'Leads'!$AE$8:$AE$107,0))="","",INDEX('Leads'!$AH$8:$AH$107,MATCH($A80,'Leads'!$AE$8:$AE$107,0)))&lt;&gt;$K80,IF(INDEX('Leads'!$D$8:$D$107,MATCH($A80,'Leads'!$AE$8:$AE$107,0))="","",INDEX('Leads'!$D$8:$D$107,MATCH($A80,'Leads'!$AE$8:$AE$107,0)))&lt;&gt;$L80,IF(INDEX('Leads'!$E$8:$E$107,MATCH($A80,'Leads'!$AE$8:$AE$107,0))="","",INDEX('Leads'!$E$8:$E$107,MATCH($A80,'Leads'!$AE$8:$AE$107,0)))&lt;&gt;$M80,IF(INDEX('Leads'!$AI$8:$AI$107,MATCH($A80,'Leads'!$AE$8:$AE$107,0))="","",INDEX('Leads'!$AI$8:$AI$107,MATCH($A80,'Leads'!$AE$8:$AE$107,0)))&lt;&gt;$N80,IF(INDEX('Leads'!$AJ$8:$AJ$107,MATCH($A80,'Leads'!$AE$8:$AE$107,0))="","",INDEX('Leads'!$AJ$8:$AJ$107,MATCH($A80,'Leads'!$AE$8:$AE$107,0)))&lt;&gt;$O80,IF(INDEX('Leads'!$AK$8:$AK$107,MATCH($A80,'Leads'!$AE$8:$AE$107,0))="","",INDEX('Leads'!$AK$8:$AK$107,MATCH($A80,'Leads'!$AE$8:$AE$107,0)))&lt;&gt;$P80,IF(INDEX('Leads'!$AL$8:$AL$107,MATCH($A80,'Leads'!$AE$8:$AE$107,0))="","",INDEX('Leads'!$AL$8:$AL$107,MATCH($A80,'Leads'!$AE$8:$AE$107,0)))&lt;&gt;$Q80,IF(INDEX('Leads'!$AM$8:$AM$107,MATCH($A80,'Leads'!$AE$8:$AE$107,0))="","",INDEX('Leads'!$AM$8:$AM$107,MATCH($A80,'Leads'!$AE$8:$AE$107,0)))&lt;&gt;$R80,IF(INDEX('Leads'!$AN$8:$AN$107,MATCH($A80,'Leads'!$AE$8:$AE$107,0))="","",INDEX('Leads'!$AN$8:$AN$107,MATCH($A80,'Leads'!$AE$8:$AE$107,0)))&lt;&gt;$S80,IF(INDEX('Leads'!$AO$8:$AO$107,MATCH($A80,'Leads'!$AE$8:$AE$107,0))="","",INDEX('Leads'!$AO$8:$AO$107,MATCH($A80,'Leads'!$AE$8:$AE$107,0)))&lt;&gt;$T80,IF(INDEX('Leads'!$AP$8:$AP$107,MATCH($A80,'Leads'!$AE$8:$AE$107,0))="","",INDEX('Leads'!$AP$8:$AP$107,MATCH($A80,'Leads'!$AE$8:$AE$107,0)))&lt;&gt;$U80,IF(INDEX('Leads'!$AQ$8:$AQ$107,MATCH($A80,'Leads'!$AE$8:$AE$107,0))="","",INDEX('Leads'!$AQ$8:$AQ$107,MATCH($A80,'Leads'!$AE$8:$AE$107,0)))&lt;&gt;$V80,IF(INDEX('Leads'!$AR$8:$AR$107,MATCH($A80,'Leads'!$AE$8:$AE$107,0))="","",INDEX('Leads'!$AR$8:$AR$107,MATCH($A80,'Leads'!$AE$8:$AE$107,0)))&lt;&gt;$W80,IF(INDEX('Leads'!$AS$8:$AS$107,MATCH($A80,'Leads'!$AE$8:$AE$107,0))="","",INDEX('Leads'!$AS$8:$AS$107,MATCH($A80,'Leads'!$AE$8:$AE$107,0)))&lt;&gt;$X80,IF(INDEX('Leads'!$AT$8:$AT$107,MATCH($A80,'Leads'!$AE$8:$AE$107,0))="","",INDEX('Leads'!$AT$8:$AT$107,MATCH($A80,'Leads'!$AE$8:$AE$107,0)))&lt;&gt;$Y80),"ข้อมูลรับเข้าต่าง — ตรวจเอง","ตรงกัน — ห้ามนำเข้าซ้ำ"),"ตรวจ Lead ID เดิม")))</x:f>
      </x:c>
    </x:row>
    <x:row r="81" ht="30" customHeight="1">
      <x:c r="A81" s="94"/>
      <x:c r="B81" s="94"/>
      <x:c r="C81" s="86"/>
      <x:c r="D81" s="32"/>
      <x:c r="E81" s="32"/>
      <x:c r="F81" s="32"/>
      <x:c r="G81" s="32"/>
      <x:c r="H81" s="94"/>
      <x:c r="I81" s="94"/>
      <x:c r="J81" s="94"/>
      <x:c r="K81" s="32"/>
      <x:c r="L81" s="32"/>
      <x:c r="M81" s="32"/>
      <x:c r="N81" s="32"/>
      <x:c r="O81" s="88"/>
      <x:c r="P81" s="32"/>
      <x:c r="Q81" s="32"/>
      <x:c r="R81" s="32"/>
      <x:c r="S81" s="32"/>
      <x:c r="T81" s="32"/>
      <x:c r="U81" s="32"/>
      <x:c r="V81" s="94"/>
      <x:c r="W81" s="32"/>
      <x:c r="X81" s="32"/>
      <x:c r="Y81" s="32"/>
      <x:c r="Z81" s="86"/>
      <x:c r="AA81" s="42" t="str">
        <x:f>IF(AND($A81="",$B81=""),"",IF(OR($A81="",$B81=""),"CHECK_INPUT",IF(OR($Y81="test",COUNTIF('Guide_Lists'!$AR$2:$AR$4,$B81)&gt;0),"TEST_DO_NOT_IMPORT",IF(OR(COUNTIF('Import_Staging'!$A$8:$A$107,$A81)&gt;1,COUNTIF('Import_Staging'!$B$8:$B$107,$B81)&gt;1),"DUPLICATE_IN_IMPORT",IF(COUNTIF('Leads'!$AE$8:$AE$107,$A81)&gt;0,"EXISTS",IF(COUNTIF('Leads'!$A$8:$A$107,$B81)&gt;0,"CHECK_INPUT",IF(AND($Y81="production",ISNUMBER($C81)),"NEW","CHECK_INPUT")))))))</x:f>
      </x:c>
      <x:c r="AB81" s="42" t="str">
        <x:f>IF($AA81="","",IF($AA81&lt;&gt;"EXISTS","",IFERROR(IF(OR(IF(INDEX('Leads'!$A$8:$A$107,MATCH($A81,'Leads'!$AE$8:$AE$107,0))="","",INDEX('Leads'!$A$8:$A$107,MATCH($A81,'Leads'!$AE$8:$AE$107,0)))&lt;&gt;$B81,IF(INDEX('Leads'!$AF$8:$AF$107,MATCH($A81,'Leads'!$AE$8:$AE$107,0))="","",INDEX('Leads'!$AF$8:$AF$107,MATCH($A81,'Leads'!$AE$8:$AE$107,0)))&lt;&gt;$C81,IF(INDEX('Leads'!$AG$8:$AG$107,MATCH($A81,'Leads'!$AE$8:$AE$107,0))="","",INDEX('Leads'!$AG$8:$AG$107,MATCH($A81,'Leads'!$AE$8:$AE$107,0)))&lt;&gt;$D81,IF(INDEX('Leads'!$B$8:$B$107,MATCH($A81,'Leads'!$AE$8:$AE$107,0))="","",INDEX('Leads'!$B$8:$B$107,MATCH($A81,'Leads'!$AE$8:$AE$107,0)))&lt;&gt;$E81,IF(INDEX('Leads'!$C$8:$C$107,MATCH($A81,'Leads'!$AE$8:$AE$107,0))="","",INDEX('Leads'!$C$8:$C$107,MATCH($A81,'Leads'!$AE$8:$AE$107,0)))&lt;&gt;$F81,IF(INDEX('Leads'!$K$8:$K$107,MATCH($A81,'Leads'!$AE$8:$AE$107,0))="","",INDEX('Leads'!$K$8:$K$107,MATCH($A81,'Leads'!$AE$8:$AE$107,0)))&lt;&gt;$G81,IF(INDEX('Leads'!$L$8:$L$107,MATCH($A81,'Leads'!$AE$8:$AE$107,0))="","",INDEX('Leads'!$L$8:$L$107,MATCH($A81,'Leads'!$AE$8:$AE$107,0)))&lt;&gt;$H81,IF(INDEX('Leads'!$M$8:$M$107,MATCH($A81,'Leads'!$AE$8:$AE$107,0))="","",INDEX('Leads'!$M$8:$M$107,MATCH($A81,'Leads'!$AE$8:$AE$107,0)))&lt;&gt;$I81,IF(INDEX('Leads'!$N$8:$N$107,MATCH($A81,'Leads'!$AE$8:$AE$107,0))="","",INDEX('Leads'!$N$8:$N$107,MATCH($A81,'Leads'!$AE$8:$AE$107,0)))&lt;&gt;$J81,IF(INDEX('Leads'!$AH$8:$AH$107,MATCH($A81,'Leads'!$AE$8:$AE$107,0))="","",INDEX('Leads'!$AH$8:$AH$107,MATCH($A81,'Leads'!$AE$8:$AE$107,0)))&lt;&gt;$K81,IF(INDEX('Leads'!$D$8:$D$107,MATCH($A81,'Leads'!$AE$8:$AE$107,0))="","",INDEX('Leads'!$D$8:$D$107,MATCH($A81,'Leads'!$AE$8:$AE$107,0)))&lt;&gt;$L81,IF(INDEX('Leads'!$E$8:$E$107,MATCH($A81,'Leads'!$AE$8:$AE$107,0))="","",INDEX('Leads'!$E$8:$E$107,MATCH($A81,'Leads'!$AE$8:$AE$107,0)))&lt;&gt;$M81,IF(INDEX('Leads'!$AI$8:$AI$107,MATCH($A81,'Leads'!$AE$8:$AE$107,0))="","",INDEX('Leads'!$AI$8:$AI$107,MATCH($A81,'Leads'!$AE$8:$AE$107,0)))&lt;&gt;$N81,IF(INDEX('Leads'!$AJ$8:$AJ$107,MATCH($A81,'Leads'!$AE$8:$AE$107,0))="","",INDEX('Leads'!$AJ$8:$AJ$107,MATCH($A81,'Leads'!$AE$8:$AE$107,0)))&lt;&gt;$O81,IF(INDEX('Leads'!$AK$8:$AK$107,MATCH($A81,'Leads'!$AE$8:$AE$107,0))="","",INDEX('Leads'!$AK$8:$AK$107,MATCH($A81,'Leads'!$AE$8:$AE$107,0)))&lt;&gt;$P81,IF(INDEX('Leads'!$AL$8:$AL$107,MATCH($A81,'Leads'!$AE$8:$AE$107,0))="","",INDEX('Leads'!$AL$8:$AL$107,MATCH($A81,'Leads'!$AE$8:$AE$107,0)))&lt;&gt;$Q81,IF(INDEX('Leads'!$AM$8:$AM$107,MATCH($A81,'Leads'!$AE$8:$AE$107,0))="","",INDEX('Leads'!$AM$8:$AM$107,MATCH($A81,'Leads'!$AE$8:$AE$107,0)))&lt;&gt;$R81,IF(INDEX('Leads'!$AN$8:$AN$107,MATCH($A81,'Leads'!$AE$8:$AE$107,0))="","",INDEX('Leads'!$AN$8:$AN$107,MATCH($A81,'Leads'!$AE$8:$AE$107,0)))&lt;&gt;$S81,IF(INDEX('Leads'!$AO$8:$AO$107,MATCH($A81,'Leads'!$AE$8:$AE$107,0))="","",INDEX('Leads'!$AO$8:$AO$107,MATCH($A81,'Leads'!$AE$8:$AE$107,0)))&lt;&gt;$T81,IF(INDEX('Leads'!$AP$8:$AP$107,MATCH($A81,'Leads'!$AE$8:$AE$107,0))="","",INDEX('Leads'!$AP$8:$AP$107,MATCH($A81,'Leads'!$AE$8:$AE$107,0)))&lt;&gt;$U81,IF(INDEX('Leads'!$AQ$8:$AQ$107,MATCH($A81,'Leads'!$AE$8:$AE$107,0))="","",INDEX('Leads'!$AQ$8:$AQ$107,MATCH($A81,'Leads'!$AE$8:$AE$107,0)))&lt;&gt;$V81,IF(INDEX('Leads'!$AR$8:$AR$107,MATCH($A81,'Leads'!$AE$8:$AE$107,0))="","",INDEX('Leads'!$AR$8:$AR$107,MATCH($A81,'Leads'!$AE$8:$AE$107,0)))&lt;&gt;$W81,IF(INDEX('Leads'!$AS$8:$AS$107,MATCH($A81,'Leads'!$AE$8:$AE$107,0))="","",INDEX('Leads'!$AS$8:$AS$107,MATCH($A81,'Leads'!$AE$8:$AE$107,0)))&lt;&gt;$X81,IF(INDEX('Leads'!$AT$8:$AT$107,MATCH($A81,'Leads'!$AE$8:$AE$107,0))="","",INDEX('Leads'!$AT$8:$AT$107,MATCH($A81,'Leads'!$AE$8:$AE$107,0)))&lt;&gt;$Y81),"ข้อมูลรับเข้าต่าง — ตรวจเอง","ตรงกัน — ห้ามนำเข้าซ้ำ"),"ตรวจ Lead ID เดิม")))</x:f>
      </x:c>
    </x:row>
    <x:row r="82" ht="30" customHeight="1">
      <x:c r="A82" s="94"/>
      <x:c r="B82" s="94"/>
      <x:c r="C82" s="86"/>
      <x:c r="D82" s="32"/>
      <x:c r="E82" s="32"/>
      <x:c r="F82" s="32"/>
      <x:c r="G82" s="32"/>
      <x:c r="H82" s="94"/>
      <x:c r="I82" s="94"/>
      <x:c r="J82" s="94"/>
      <x:c r="K82" s="32"/>
      <x:c r="L82" s="32"/>
      <x:c r="M82" s="32"/>
      <x:c r="N82" s="32"/>
      <x:c r="O82" s="88"/>
      <x:c r="P82" s="32"/>
      <x:c r="Q82" s="32"/>
      <x:c r="R82" s="32"/>
      <x:c r="S82" s="32"/>
      <x:c r="T82" s="32"/>
      <x:c r="U82" s="32"/>
      <x:c r="V82" s="94"/>
      <x:c r="W82" s="32"/>
      <x:c r="X82" s="32"/>
      <x:c r="Y82" s="32"/>
      <x:c r="Z82" s="86"/>
      <x:c r="AA82" s="42" t="str">
        <x:f>IF(AND($A82="",$B82=""),"",IF(OR($A82="",$B82=""),"CHECK_INPUT",IF(OR($Y82="test",COUNTIF('Guide_Lists'!$AR$2:$AR$4,$B82)&gt;0),"TEST_DO_NOT_IMPORT",IF(OR(COUNTIF('Import_Staging'!$A$8:$A$107,$A82)&gt;1,COUNTIF('Import_Staging'!$B$8:$B$107,$B82)&gt;1),"DUPLICATE_IN_IMPORT",IF(COUNTIF('Leads'!$AE$8:$AE$107,$A82)&gt;0,"EXISTS",IF(COUNTIF('Leads'!$A$8:$A$107,$B82)&gt;0,"CHECK_INPUT",IF(AND($Y82="production",ISNUMBER($C82)),"NEW","CHECK_INPUT")))))))</x:f>
      </x:c>
      <x:c r="AB82" s="42" t="str">
        <x:f>IF($AA82="","",IF($AA82&lt;&gt;"EXISTS","",IFERROR(IF(OR(IF(INDEX('Leads'!$A$8:$A$107,MATCH($A82,'Leads'!$AE$8:$AE$107,0))="","",INDEX('Leads'!$A$8:$A$107,MATCH($A82,'Leads'!$AE$8:$AE$107,0)))&lt;&gt;$B82,IF(INDEX('Leads'!$AF$8:$AF$107,MATCH($A82,'Leads'!$AE$8:$AE$107,0))="","",INDEX('Leads'!$AF$8:$AF$107,MATCH($A82,'Leads'!$AE$8:$AE$107,0)))&lt;&gt;$C82,IF(INDEX('Leads'!$AG$8:$AG$107,MATCH($A82,'Leads'!$AE$8:$AE$107,0))="","",INDEX('Leads'!$AG$8:$AG$107,MATCH($A82,'Leads'!$AE$8:$AE$107,0)))&lt;&gt;$D82,IF(INDEX('Leads'!$B$8:$B$107,MATCH($A82,'Leads'!$AE$8:$AE$107,0))="","",INDEX('Leads'!$B$8:$B$107,MATCH($A82,'Leads'!$AE$8:$AE$107,0)))&lt;&gt;$E82,IF(INDEX('Leads'!$C$8:$C$107,MATCH($A82,'Leads'!$AE$8:$AE$107,0))="","",INDEX('Leads'!$C$8:$C$107,MATCH($A82,'Leads'!$AE$8:$AE$107,0)))&lt;&gt;$F82,IF(INDEX('Leads'!$K$8:$K$107,MATCH($A82,'Leads'!$AE$8:$AE$107,0))="","",INDEX('Leads'!$K$8:$K$107,MATCH($A82,'Leads'!$AE$8:$AE$107,0)))&lt;&gt;$G82,IF(INDEX('Leads'!$L$8:$L$107,MATCH($A82,'Leads'!$AE$8:$AE$107,0))="","",INDEX('Leads'!$L$8:$L$107,MATCH($A82,'Leads'!$AE$8:$AE$107,0)))&lt;&gt;$H82,IF(INDEX('Leads'!$M$8:$M$107,MATCH($A82,'Leads'!$AE$8:$AE$107,0))="","",INDEX('Leads'!$M$8:$M$107,MATCH($A82,'Leads'!$AE$8:$AE$107,0)))&lt;&gt;$I82,IF(INDEX('Leads'!$N$8:$N$107,MATCH($A82,'Leads'!$AE$8:$AE$107,0))="","",INDEX('Leads'!$N$8:$N$107,MATCH($A82,'Leads'!$AE$8:$AE$107,0)))&lt;&gt;$J82,IF(INDEX('Leads'!$AH$8:$AH$107,MATCH($A82,'Leads'!$AE$8:$AE$107,0))="","",INDEX('Leads'!$AH$8:$AH$107,MATCH($A82,'Leads'!$AE$8:$AE$107,0)))&lt;&gt;$K82,IF(INDEX('Leads'!$D$8:$D$107,MATCH($A82,'Leads'!$AE$8:$AE$107,0))="","",INDEX('Leads'!$D$8:$D$107,MATCH($A82,'Leads'!$AE$8:$AE$107,0)))&lt;&gt;$L82,IF(INDEX('Leads'!$E$8:$E$107,MATCH($A82,'Leads'!$AE$8:$AE$107,0))="","",INDEX('Leads'!$E$8:$E$107,MATCH($A82,'Leads'!$AE$8:$AE$107,0)))&lt;&gt;$M82,IF(INDEX('Leads'!$AI$8:$AI$107,MATCH($A82,'Leads'!$AE$8:$AE$107,0))="","",INDEX('Leads'!$AI$8:$AI$107,MATCH($A82,'Leads'!$AE$8:$AE$107,0)))&lt;&gt;$N82,IF(INDEX('Leads'!$AJ$8:$AJ$107,MATCH($A82,'Leads'!$AE$8:$AE$107,0))="","",INDEX('Leads'!$AJ$8:$AJ$107,MATCH($A82,'Leads'!$AE$8:$AE$107,0)))&lt;&gt;$O82,IF(INDEX('Leads'!$AK$8:$AK$107,MATCH($A82,'Leads'!$AE$8:$AE$107,0))="","",INDEX('Leads'!$AK$8:$AK$107,MATCH($A82,'Leads'!$AE$8:$AE$107,0)))&lt;&gt;$P82,IF(INDEX('Leads'!$AL$8:$AL$107,MATCH($A82,'Leads'!$AE$8:$AE$107,0))="","",INDEX('Leads'!$AL$8:$AL$107,MATCH($A82,'Leads'!$AE$8:$AE$107,0)))&lt;&gt;$Q82,IF(INDEX('Leads'!$AM$8:$AM$107,MATCH($A82,'Leads'!$AE$8:$AE$107,0))="","",INDEX('Leads'!$AM$8:$AM$107,MATCH($A82,'Leads'!$AE$8:$AE$107,0)))&lt;&gt;$R82,IF(INDEX('Leads'!$AN$8:$AN$107,MATCH($A82,'Leads'!$AE$8:$AE$107,0))="","",INDEX('Leads'!$AN$8:$AN$107,MATCH($A82,'Leads'!$AE$8:$AE$107,0)))&lt;&gt;$S82,IF(INDEX('Leads'!$AO$8:$AO$107,MATCH($A82,'Leads'!$AE$8:$AE$107,0))="","",INDEX('Leads'!$AO$8:$AO$107,MATCH($A82,'Leads'!$AE$8:$AE$107,0)))&lt;&gt;$T82,IF(INDEX('Leads'!$AP$8:$AP$107,MATCH($A82,'Leads'!$AE$8:$AE$107,0))="","",INDEX('Leads'!$AP$8:$AP$107,MATCH($A82,'Leads'!$AE$8:$AE$107,0)))&lt;&gt;$U82,IF(INDEX('Leads'!$AQ$8:$AQ$107,MATCH($A82,'Leads'!$AE$8:$AE$107,0))="","",INDEX('Leads'!$AQ$8:$AQ$107,MATCH($A82,'Leads'!$AE$8:$AE$107,0)))&lt;&gt;$V82,IF(INDEX('Leads'!$AR$8:$AR$107,MATCH($A82,'Leads'!$AE$8:$AE$107,0))="","",INDEX('Leads'!$AR$8:$AR$107,MATCH($A82,'Leads'!$AE$8:$AE$107,0)))&lt;&gt;$W82,IF(INDEX('Leads'!$AS$8:$AS$107,MATCH($A82,'Leads'!$AE$8:$AE$107,0))="","",INDEX('Leads'!$AS$8:$AS$107,MATCH($A82,'Leads'!$AE$8:$AE$107,0)))&lt;&gt;$X82,IF(INDEX('Leads'!$AT$8:$AT$107,MATCH($A82,'Leads'!$AE$8:$AE$107,0))="","",INDEX('Leads'!$AT$8:$AT$107,MATCH($A82,'Leads'!$AE$8:$AE$107,0)))&lt;&gt;$Y82),"ข้อมูลรับเข้าต่าง — ตรวจเอง","ตรงกัน — ห้ามนำเข้าซ้ำ"),"ตรวจ Lead ID เดิม")))</x:f>
      </x:c>
    </x:row>
    <x:row r="83" ht="30" customHeight="1">
      <x:c r="A83" s="94"/>
      <x:c r="B83" s="94"/>
      <x:c r="C83" s="86"/>
      <x:c r="D83" s="32"/>
      <x:c r="E83" s="32"/>
      <x:c r="F83" s="32"/>
      <x:c r="G83" s="32"/>
      <x:c r="H83" s="94"/>
      <x:c r="I83" s="94"/>
      <x:c r="J83" s="94"/>
      <x:c r="K83" s="32"/>
      <x:c r="L83" s="32"/>
      <x:c r="M83" s="32"/>
      <x:c r="N83" s="32"/>
      <x:c r="O83" s="88"/>
      <x:c r="P83" s="32"/>
      <x:c r="Q83" s="32"/>
      <x:c r="R83" s="32"/>
      <x:c r="S83" s="32"/>
      <x:c r="T83" s="32"/>
      <x:c r="U83" s="32"/>
      <x:c r="V83" s="94"/>
      <x:c r="W83" s="32"/>
      <x:c r="X83" s="32"/>
      <x:c r="Y83" s="32"/>
      <x:c r="Z83" s="86"/>
      <x:c r="AA83" s="42" t="str">
        <x:f>IF(AND($A83="",$B83=""),"",IF(OR($A83="",$B83=""),"CHECK_INPUT",IF(OR($Y83="test",COUNTIF('Guide_Lists'!$AR$2:$AR$4,$B83)&gt;0),"TEST_DO_NOT_IMPORT",IF(OR(COUNTIF('Import_Staging'!$A$8:$A$107,$A83)&gt;1,COUNTIF('Import_Staging'!$B$8:$B$107,$B83)&gt;1),"DUPLICATE_IN_IMPORT",IF(COUNTIF('Leads'!$AE$8:$AE$107,$A83)&gt;0,"EXISTS",IF(COUNTIF('Leads'!$A$8:$A$107,$B83)&gt;0,"CHECK_INPUT",IF(AND($Y83="production",ISNUMBER($C83)),"NEW","CHECK_INPUT")))))))</x:f>
      </x:c>
      <x:c r="AB83" s="42" t="str">
        <x:f>IF($AA83="","",IF($AA83&lt;&gt;"EXISTS","",IFERROR(IF(OR(IF(INDEX('Leads'!$A$8:$A$107,MATCH($A83,'Leads'!$AE$8:$AE$107,0))="","",INDEX('Leads'!$A$8:$A$107,MATCH($A83,'Leads'!$AE$8:$AE$107,0)))&lt;&gt;$B83,IF(INDEX('Leads'!$AF$8:$AF$107,MATCH($A83,'Leads'!$AE$8:$AE$107,0))="","",INDEX('Leads'!$AF$8:$AF$107,MATCH($A83,'Leads'!$AE$8:$AE$107,0)))&lt;&gt;$C83,IF(INDEX('Leads'!$AG$8:$AG$107,MATCH($A83,'Leads'!$AE$8:$AE$107,0))="","",INDEX('Leads'!$AG$8:$AG$107,MATCH($A83,'Leads'!$AE$8:$AE$107,0)))&lt;&gt;$D83,IF(INDEX('Leads'!$B$8:$B$107,MATCH($A83,'Leads'!$AE$8:$AE$107,0))="","",INDEX('Leads'!$B$8:$B$107,MATCH($A83,'Leads'!$AE$8:$AE$107,0)))&lt;&gt;$E83,IF(INDEX('Leads'!$C$8:$C$107,MATCH($A83,'Leads'!$AE$8:$AE$107,0))="","",INDEX('Leads'!$C$8:$C$107,MATCH($A83,'Leads'!$AE$8:$AE$107,0)))&lt;&gt;$F83,IF(INDEX('Leads'!$K$8:$K$107,MATCH($A83,'Leads'!$AE$8:$AE$107,0))="","",INDEX('Leads'!$K$8:$K$107,MATCH($A83,'Leads'!$AE$8:$AE$107,0)))&lt;&gt;$G83,IF(INDEX('Leads'!$L$8:$L$107,MATCH($A83,'Leads'!$AE$8:$AE$107,0))="","",INDEX('Leads'!$L$8:$L$107,MATCH($A83,'Leads'!$AE$8:$AE$107,0)))&lt;&gt;$H83,IF(INDEX('Leads'!$M$8:$M$107,MATCH($A83,'Leads'!$AE$8:$AE$107,0))="","",INDEX('Leads'!$M$8:$M$107,MATCH($A83,'Leads'!$AE$8:$AE$107,0)))&lt;&gt;$I83,IF(INDEX('Leads'!$N$8:$N$107,MATCH($A83,'Leads'!$AE$8:$AE$107,0))="","",INDEX('Leads'!$N$8:$N$107,MATCH($A83,'Leads'!$AE$8:$AE$107,0)))&lt;&gt;$J83,IF(INDEX('Leads'!$AH$8:$AH$107,MATCH($A83,'Leads'!$AE$8:$AE$107,0))="","",INDEX('Leads'!$AH$8:$AH$107,MATCH($A83,'Leads'!$AE$8:$AE$107,0)))&lt;&gt;$K83,IF(INDEX('Leads'!$D$8:$D$107,MATCH($A83,'Leads'!$AE$8:$AE$107,0))="","",INDEX('Leads'!$D$8:$D$107,MATCH($A83,'Leads'!$AE$8:$AE$107,0)))&lt;&gt;$L83,IF(INDEX('Leads'!$E$8:$E$107,MATCH($A83,'Leads'!$AE$8:$AE$107,0))="","",INDEX('Leads'!$E$8:$E$107,MATCH($A83,'Leads'!$AE$8:$AE$107,0)))&lt;&gt;$M83,IF(INDEX('Leads'!$AI$8:$AI$107,MATCH($A83,'Leads'!$AE$8:$AE$107,0))="","",INDEX('Leads'!$AI$8:$AI$107,MATCH($A83,'Leads'!$AE$8:$AE$107,0)))&lt;&gt;$N83,IF(INDEX('Leads'!$AJ$8:$AJ$107,MATCH($A83,'Leads'!$AE$8:$AE$107,0))="","",INDEX('Leads'!$AJ$8:$AJ$107,MATCH($A83,'Leads'!$AE$8:$AE$107,0)))&lt;&gt;$O83,IF(INDEX('Leads'!$AK$8:$AK$107,MATCH($A83,'Leads'!$AE$8:$AE$107,0))="","",INDEX('Leads'!$AK$8:$AK$107,MATCH($A83,'Leads'!$AE$8:$AE$107,0)))&lt;&gt;$P83,IF(INDEX('Leads'!$AL$8:$AL$107,MATCH($A83,'Leads'!$AE$8:$AE$107,0))="","",INDEX('Leads'!$AL$8:$AL$107,MATCH($A83,'Leads'!$AE$8:$AE$107,0)))&lt;&gt;$Q83,IF(INDEX('Leads'!$AM$8:$AM$107,MATCH($A83,'Leads'!$AE$8:$AE$107,0))="","",INDEX('Leads'!$AM$8:$AM$107,MATCH($A83,'Leads'!$AE$8:$AE$107,0)))&lt;&gt;$R83,IF(INDEX('Leads'!$AN$8:$AN$107,MATCH($A83,'Leads'!$AE$8:$AE$107,0))="","",INDEX('Leads'!$AN$8:$AN$107,MATCH($A83,'Leads'!$AE$8:$AE$107,0)))&lt;&gt;$S83,IF(INDEX('Leads'!$AO$8:$AO$107,MATCH($A83,'Leads'!$AE$8:$AE$107,0))="","",INDEX('Leads'!$AO$8:$AO$107,MATCH($A83,'Leads'!$AE$8:$AE$107,0)))&lt;&gt;$T83,IF(INDEX('Leads'!$AP$8:$AP$107,MATCH($A83,'Leads'!$AE$8:$AE$107,0))="","",INDEX('Leads'!$AP$8:$AP$107,MATCH($A83,'Leads'!$AE$8:$AE$107,0)))&lt;&gt;$U83,IF(INDEX('Leads'!$AQ$8:$AQ$107,MATCH($A83,'Leads'!$AE$8:$AE$107,0))="","",INDEX('Leads'!$AQ$8:$AQ$107,MATCH($A83,'Leads'!$AE$8:$AE$107,0)))&lt;&gt;$V83,IF(INDEX('Leads'!$AR$8:$AR$107,MATCH($A83,'Leads'!$AE$8:$AE$107,0))="","",INDEX('Leads'!$AR$8:$AR$107,MATCH($A83,'Leads'!$AE$8:$AE$107,0)))&lt;&gt;$W83,IF(INDEX('Leads'!$AS$8:$AS$107,MATCH($A83,'Leads'!$AE$8:$AE$107,0))="","",INDEX('Leads'!$AS$8:$AS$107,MATCH($A83,'Leads'!$AE$8:$AE$107,0)))&lt;&gt;$X83,IF(INDEX('Leads'!$AT$8:$AT$107,MATCH($A83,'Leads'!$AE$8:$AE$107,0))="","",INDEX('Leads'!$AT$8:$AT$107,MATCH($A83,'Leads'!$AE$8:$AE$107,0)))&lt;&gt;$Y83),"ข้อมูลรับเข้าต่าง — ตรวจเอง","ตรงกัน — ห้ามนำเข้าซ้ำ"),"ตรวจ Lead ID เดิม")))</x:f>
      </x:c>
    </x:row>
    <x:row r="84" ht="30" customHeight="1">
      <x:c r="A84" s="94"/>
      <x:c r="B84" s="94"/>
      <x:c r="C84" s="86"/>
      <x:c r="D84" s="32"/>
      <x:c r="E84" s="32"/>
      <x:c r="F84" s="32"/>
      <x:c r="G84" s="32"/>
      <x:c r="H84" s="94"/>
      <x:c r="I84" s="94"/>
      <x:c r="J84" s="94"/>
      <x:c r="K84" s="32"/>
      <x:c r="L84" s="32"/>
      <x:c r="M84" s="32"/>
      <x:c r="N84" s="32"/>
      <x:c r="O84" s="88"/>
      <x:c r="P84" s="32"/>
      <x:c r="Q84" s="32"/>
      <x:c r="R84" s="32"/>
      <x:c r="S84" s="32"/>
      <x:c r="T84" s="32"/>
      <x:c r="U84" s="32"/>
      <x:c r="V84" s="94"/>
      <x:c r="W84" s="32"/>
      <x:c r="X84" s="32"/>
      <x:c r="Y84" s="32"/>
      <x:c r="Z84" s="86"/>
      <x:c r="AA84" s="42" t="str">
        <x:f>IF(AND($A84="",$B84=""),"",IF(OR($A84="",$B84=""),"CHECK_INPUT",IF(OR($Y84="test",COUNTIF('Guide_Lists'!$AR$2:$AR$4,$B84)&gt;0),"TEST_DO_NOT_IMPORT",IF(OR(COUNTIF('Import_Staging'!$A$8:$A$107,$A84)&gt;1,COUNTIF('Import_Staging'!$B$8:$B$107,$B84)&gt;1),"DUPLICATE_IN_IMPORT",IF(COUNTIF('Leads'!$AE$8:$AE$107,$A84)&gt;0,"EXISTS",IF(COUNTIF('Leads'!$A$8:$A$107,$B84)&gt;0,"CHECK_INPUT",IF(AND($Y84="production",ISNUMBER($C84)),"NEW","CHECK_INPUT")))))))</x:f>
      </x:c>
      <x:c r="AB84" s="42" t="str">
        <x:f>IF($AA84="","",IF($AA84&lt;&gt;"EXISTS","",IFERROR(IF(OR(IF(INDEX('Leads'!$A$8:$A$107,MATCH($A84,'Leads'!$AE$8:$AE$107,0))="","",INDEX('Leads'!$A$8:$A$107,MATCH($A84,'Leads'!$AE$8:$AE$107,0)))&lt;&gt;$B84,IF(INDEX('Leads'!$AF$8:$AF$107,MATCH($A84,'Leads'!$AE$8:$AE$107,0))="","",INDEX('Leads'!$AF$8:$AF$107,MATCH($A84,'Leads'!$AE$8:$AE$107,0)))&lt;&gt;$C84,IF(INDEX('Leads'!$AG$8:$AG$107,MATCH($A84,'Leads'!$AE$8:$AE$107,0))="","",INDEX('Leads'!$AG$8:$AG$107,MATCH($A84,'Leads'!$AE$8:$AE$107,0)))&lt;&gt;$D84,IF(INDEX('Leads'!$B$8:$B$107,MATCH($A84,'Leads'!$AE$8:$AE$107,0))="","",INDEX('Leads'!$B$8:$B$107,MATCH($A84,'Leads'!$AE$8:$AE$107,0)))&lt;&gt;$E84,IF(INDEX('Leads'!$C$8:$C$107,MATCH($A84,'Leads'!$AE$8:$AE$107,0))="","",INDEX('Leads'!$C$8:$C$107,MATCH($A84,'Leads'!$AE$8:$AE$107,0)))&lt;&gt;$F84,IF(INDEX('Leads'!$K$8:$K$107,MATCH($A84,'Leads'!$AE$8:$AE$107,0))="","",INDEX('Leads'!$K$8:$K$107,MATCH($A84,'Leads'!$AE$8:$AE$107,0)))&lt;&gt;$G84,IF(INDEX('Leads'!$L$8:$L$107,MATCH($A84,'Leads'!$AE$8:$AE$107,0))="","",INDEX('Leads'!$L$8:$L$107,MATCH($A84,'Leads'!$AE$8:$AE$107,0)))&lt;&gt;$H84,IF(INDEX('Leads'!$M$8:$M$107,MATCH($A84,'Leads'!$AE$8:$AE$107,0))="","",INDEX('Leads'!$M$8:$M$107,MATCH($A84,'Leads'!$AE$8:$AE$107,0)))&lt;&gt;$I84,IF(INDEX('Leads'!$N$8:$N$107,MATCH($A84,'Leads'!$AE$8:$AE$107,0))="","",INDEX('Leads'!$N$8:$N$107,MATCH($A84,'Leads'!$AE$8:$AE$107,0)))&lt;&gt;$J84,IF(INDEX('Leads'!$AH$8:$AH$107,MATCH($A84,'Leads'!$AE$8:$AE$107,0))="","",INDEX('Leads'!$AH$8:$AH$107,MATCH($A84,'Leads'!$AE$8:$AE$107,0)))&lt;&gt;$K84,IF(INDEX('Leads'!$D$8:$D$107,MATCH($A84,'Leads'!$AE$8:$AE$107,0))="","",INDEX('Leads'!$D$8:$D$107,MATCH($A84,'Leads'!$AE$8:$AE$107,0)))&lt;&gt;$L84,IF(INDEX('Leads'!$E$8:$E$107,MATCH($A84,'Leads'!$AE$8:$AE$107,0))="","",INDEX('Leads'!$E$8:$E$107,MATCH($A84,'Leads'!$AE$8:$AE$107,0)))&lt;&gt;$M84,IF(INDEX('Leads'!$AI$8:$AI$107,MATCH($A84,'Leads'!$AE$8:$AE$107,0))="","",INDEX('Leads'!$AI$8:$AI$107,MATCH($A84,'Leads'!$AE$8:$AE$107,0)))&lt;&gt;$N84,IF(INDEX('Leads'!$AJ$8:$AJ$107,MATCH($A84,'Leads'!$AE$8:$AE$107,0))="","",INDEX('Leads'!$AJ$8:$AJ$107,MATCH($A84,'Leads'!$AE$8:$AE$107,0)))&lt;&gt;$O84,IF(INDEX('Leads'!$AK$8:$AK$107,MATCH($A84,'Leads'!$AE$8:$AE$107,0))="","",INDEX('Leads'!$AK$8:$AK$107,MATCH($A84,'Leads'!$AE$8:$AE$107,0)))&lt;&gt;$P84,IF(INDEX('Leads'!$AL$8:$AL$107,MATCH($A84,'Leads'!$AE$8:$AE$107,0))="","",INDEX('Leads'!$AL$8:$AL$107,MATCH($A84,'Leads'!$AE$8:$AE$107,0)))&lt;&gt;$Q84,IF(INDEX('Leads'!$AM$8:$AM$107,MATCH($A84,'Leads'!$AE$8:$AE$107,0))="","",INDEX('Leads'!$AM$8:$AM$107,MATCH($A84,'Leads'!$AE$8:$AE$107,0)))&lt;&gt;$R84,IF(INDEX('Leads'!$AN$8:$AN$107,MATCH($A84,'Leads'!$AE$8:$AE$107,0))="","",INDEX('Leads'!$AN$8:$AN$107,MATCH($A84,'Leads'!$AE$8:$AE$107,0)))&lt;&gt;$S84,IF(INDEX('Leads'!$AO$8:$AO$107,MATCH($A84,'Leads'!$AE$8:$AE$107,0))="","",INDEX('Leads'!$AO$8:$AO$107,MATCH($A84,'Leads'!$AE$8:$AE$107,0)))&lt;&gt;$T84,IF(INDEX('Leads'!$AP$8:$AP$107,MATCH($A84,'Leads'!$AE$8:$AE$107,0))="","",INDEX('Leads'!$AP$8:$AP$107,MATCH($A84,'Leads'!$AE$8:$AE$107,0)))&lt;&gt;$U84,IF(INDEX('Leads'!$AQ$8:$AQ$107,MATCH($A84,'Leads'!$AE$8:$AE$107,0))="","",INDEX('Leads'!$AQ$8:$AQ$107,MATCH($A84,'Leads'!$AE$8:$AE$107,0)))&lt;&gt;$V84,IF(INDEX('Leads'!$AR$8:$AR$107,MATCH($A84,'Leads'!$AE$8:$AE$107,0))="","",INDEX('Leads'!$AR$8:$AR$107,MATCH($A84,'Leads'!$AE$8:$AE$107,0)))&lt;&gt;$W84,IF(INDEX('Leads'!$AS$8:$AS$107,MATCH($A84,'Leads'!$AE$8:$AE$107,0))="","",INDEX('Leads'!$AS$8:$AS$107,MATCH($A84,'Leads'!$AE$8:$AE$107,0)))&lt;&gt;$X84,IF(INDEX('Leads'!$AT$8:$AT$107,MATCH($A84,'Leads'!$AE$8:$AE$107,0))="","",INDEX('Leads'!$AT$8:$AT$107,MATCH($A84,'Leads'!$AE$8:$AE$107,0)))&lt;&gt;$Y84),"ข้อมูลรับเข้าต่าง — ตรวจเอง","ตรงกัน — ห้ามนำเข้าซ้ำ"),"ตรวจ Lead ID เดิม")))</x:f>
      </x:c>
    </x:row>
    <x:row r="85" ht="30" customHeight="1">
      <x:c r="A85" s="94"/>
      <x:c r="B85" s="94"/>
      <x:c r="C85" s="86"/>
      <x:c r="D85" s="32"/>
      <x:c r="E85" s="32"/>
      <x:c r="F85" s="32"/>
      <x:c r="G85" s="32"/>
      <x:c r="H85" s="94"/>
      <x:c r="I85" s="94"/>
      <x:c r="J85" s="94"/>
      <x:c r="K85" s="32"/>
      <x:c r="L85" s="32"/>
      <x:c r="M85" s="32"/>
      <x:c r="N85" s="32"/>
      <x:c r="O85" s="88"/>
      <x:c r="P85" s="32"/>
      <x:c r="Q85" s="32"/>
      <x:c r="R85" s="32"/>
      <x:c r="S85" s="32"/>
      <x:c r="T85" s="32"/>
      <x:c r="U85" s="32"/>
      <x:c r="V85" s="94"/>
      <x:c r="W85" s="32"/>
      <x:c r="X85" s="32"/>
      <x:c r="Y85" s="32"/>
      <x:c r="Z85" s="86"/>
      <x:c r="AA85" s="42" t="str">
        <x:f>IF(AND($A85="",$B85=""),"",IF(OR($A85="",$B85=""),"CHECK_INPUT",IF(OR($Y85="test",COUNTIF('Guide_Lists'!$AR$2:$AR$4,$B85)&gt;0),"TEST_DO_NOT_IMPORT",IF(OR(COUNTIF('Import_Staging'!$A$8:$A$107,$A85)&gt;1,COUNTIF('Import_Staging'!$B$8:$B$107,$B85)&gt;1),"DUPLICATE_IN_IMPORT",IF(COUNTIF('Leads'!$AE$8:$AE$107,$A85)&gt;0,"EXISTS",IF(COUNTIF('Leads'!$A$8:$A$107,$B85)&gt;0,"CHECK_INPUT",IF(AND($Y85="production",ISNUMBER($C85)),"NEW","CHECK_INPUT")))))))</x:f>
      </x:c>
      <x:c r="AB85" s="42" t="str">
        <x:f>IF($AA85="","",IF($AA85&lt;&gt;"EXISTS","",IFERROR(IF(OR(IF(INDEX('Leads'!$A$8:$A$107,MATCH($A85,'Leads'!$AE$8:$AE$107,0))="","",INDEX('Leads'!$A$8:$A$107,MATCH($A85,'Leads'!$AE$8:$AE$107,0)))&lt;&gt;$B85,IF(INDEX('Leads'!$AF$8:$AF$107,MATCH($A85,'Leads'!$AE$8:$AE$107,0))="","",INDEX('Leads'!$AF$8:$AF$107,MATCH($A85,'Leads'!$AE$8:$AE$107,0)))&lt;&gt;$C85,IF(INDEX('Leads'!$AG$8:$AG$107,MATCH($A85,'Leads'!$AE$8:$AE$107,0))="","",INDEX('Leads'!$AG$8:$AG$107,MATCH($A85,'Leads'!$AE$8:$AE$107,0)))&lt;&gt;$D85,IF(INDEX('Leads'!$B$8:$B$107,MATCH($A85,'Leads'!$AE$8:$AE$107,0))="","",INDEX('Leads'!$B$8:$B$107,MATCH($A85,'Leads'!$AE$8:$AE$107,0)))&lt;&gt;$E85,IF(INDEX('Leads'!$C$8:$C$107,MATCH($A85,'Leads'!$AE$8:$AE$107,0))="","",INDEX('Leads'!$C$8:$C$107,MATCH($A85,'Leads'!$AE$8:$AE$107,0)))&lt;&gt;$F85,IF(INDEX('Leads'!$K$8:$K$107,MATCH($A85,'Leads'!$AE$8:$AE$107,0))="","",INDEX('Leads'!$K$8:$K$107,MATCH($A85,'Leads'!$AE$8:$AE$107,0)))&lt;&gt;$G85,IF(INDEX('Leads'!$L$8:$L$107,MATCH($A85,'Leads'!$AE$8:$AE$107,0))="","",INDEX('Leads'!$L$8:$L$107,MATCH($A85,'Leads'!$AE$8:$AE$107,0)))&lt;&gt;$H85,IF(INDEX('Leads'!$M$8:$M$107,MATCH($A85,'Leads'!$AE$8:$AE$107,0))="","",INDEX('Leads'!$M$8:$M$107,MATCH($A85,'Leads'!$AE$8:$AE$107,0)))&lt;&gt;$I85,IF(INDEX('Leads'!$N$8:$N$107,MATCH($A85,'Leads'!$AE$8:$AE$107,0))="","",INDEX('Leads'!$N$8:$N$107,MATCH($A85,'Leads'!$AE$8:$AE$107,0)))&lt;&gt;$J85,IF(INDEX('Leads'!$AH$8:$AH$107,MATCH($A85,'Leads'!$AE$8:$AE$107,0))="","",INDEX('Leads'!$AH$8:$AH$107,MATCH($A85,'Leads'!$AE$8:$AE$107,0)))&lt;&gt;$K85,IF(INDEX('Leads'!$D$8:$D$107,MATCH($A85,'Leads'!$AE$8:$AE$107,0))="","",INDEX('Leads'!$D$8:$D$107,MATCH($A85,'Leads'!$AE$8:$AE$107,0)))&lt;&gt;$L85,IF(INDEX('Leads'!$E$8:$E$107,MATCH($A85,'Leads'!$AE$8:$AE$107,0))="","",INDEX('Leads'!$E$8:$E$107,MATCH($A85,'Leads'!$AE$8:$AE$107,0)))&lt;&gt;$M85,IF(INDEX('Leads'!$AI$8:$AI$107,MATCH($A85,'Leads'!$AE$8:$AE$107,0))="","",INDEX('Leads'!$AI$8:$AI$107,MATCH($A85,'Leads'!$AE$8:$AE$107,0)))&lt;&gt;$N85,IF(INDEX('Leads'!$AJ$8:$AJ$107,MATCH($A85,'Leads'!$AE$8:$AE$107,0))="","",INDEX('Leads'!$AJ$8:$AJ$107,MATCH($A85,'Leads'!$AE$8:$AE$107,0)))&lt;&gt;$O85,IF(INDEX('Leads'!$AK$8:$AK$107,MATCH($A85,'Leads'!$AE$8:$AE$107,0))="","",INDEX('Leads'!$AK$8:$AK$107,MATCH($A85,'Leads'!$AE$8:$AE$107,0)))&lt;&gt;$P85,IF(INDEX('Leads'!$AL$8:$AL$107,MATCH($A85,'Leads'!$AE$8:$AE$107,0))="","",INDEX('Leads'!$AL$8:$AL$107,MATCH($A85,'Leads'!$AE$8:$AE$107,0)))&lt;&gt;$Q85,IF(INDEX('Leads'!$AM$8:$AM$107,MATCH($A85,'Leads'!$AE$8:$AE$107,0))="","",INDEX('Leads'!$AM$8:$AM$107,MATCH($A85,'Leads'!$AE$8:$AE$107,0)))&lt;&gt;$R85,IF(INDEX('Leads'!$AN$8:$AN$107,MATCH($A85,'Leads'!$AE$8:$AE$107,0))="","",INDEX('Leads'!$AN$8:$AN$107,MATCH($A85,'Leads'!$AE$8:$AE$107,0)))&lt;&gt;$S85,IF(INDEX('Leads'!$AO$8:$AO$107,MATCH($A85,'Leads'!$AE$8:$AE$107,0))="","",INDEX('Leads'!$AO$8:$AO$107,MATCH($A85,'Leads'!$AE$8:$AE$107,0)))&lt;&gt;$T85,IF(INDEX('Leads'!$AP$8:$AP$107,MATCH($A85,'Leads'!$AE$8:$AE$107,0))="","",INDEX('Leads'!$AP$8:$AP$107,MATCH($A85,'Leads'!$AE$8:$AE$107,0)))&lt;&gt;$U85,IF(INDEX('Leads'!$AQ$8:$AQ$107,MATCH($A85,'Leads'!$AE$8:$AE$107,0))="","",INDEX('Leads'!$AQ$8:$AQ$107,MATCH($A85,'Leads'!$AE$8:$AE$107,0)))&lt;&gt;$V85,IF(INDEX('Leads'!$AR$8:$AR$107,MATCH($A85,'Leads'!$AE$8:$AE$107,0))="","",INDEX('Leads'!$AR$8:$AR$107,MATCH($A85,'Leads'!$AE$8:$AE$107,0)))&lt;&gt;$W85,IF(INDEX('Leads'!$AS$8:$AS$107,MATCH($A85,'Leads'!$AE$8:$AE$107,0))="","",INDEX('Leads'!$AS$8:$AS$107,MATCH($A85,'Leads'!$AE$8:$AE$107,0)))&lt;&gt;$X85,IF(INDEX('Leads'!$AT$8:$AT$107,MATCH($A85,'Leads'!$AE$8:$AE$107,0))="","",INDEX('Leads'!$AT$8:$AT$107,MATCH($A85,'Leads'!$AE$8:$AE$107,0)))&lt;&gt;$Y85),"ข้อมูลรับเข้าต่าง — ตรวจเอง","ตรงกัน — ห้ามนำเข้าซ้ำ"),"ตรวจ Lead ID เดิม")))</x:f>
      </x:c>
    </x:row>
    <x:row r="86" ht="30" customHeight="1">
      <x:c r="A86" s="94"/>
      <x:c r="B86" s="94"/>
      <x:c r="C86" s="86"/>
      <x:c r="D86" s="32"/>
      <x:c r="E86" s="32"/>
      <x:c r="F86" s="32"/>
      <x:c r="G86" s="32"/>
      <x:c r="H86" s="94"/>
      <x:c r="I86" s="94"/>
      <x:c r="J86" s="94"/>
      <x:c r="K86" s="32"/>
      <x:c r="L86" s="32"/>
      <x:c r="M86" s="32"/>
      <x:c r="N86" s="32"/>
      <x:c r="O86" s="88"/>
      <x:c r="P86" s="32"/>
      <x:c r="Q86" s="32"/>
      <x:c r="R86" s="32"/>
      <x:c r="S86" s="32"/>
      <x:c r="T86" s="32"/>
      <x:c r="U86" s="32"/>
      <x:c r="V86" s="94"/>
      <x:c r="W86" s="32"/>
      <x:c r="X86" s="32"/>
      <x:c r="Y86" s="32"/>
      <x:c r="Z86" s="86"/>
      <x:c r="AA86" s="42" t="str">
        <x:f>IF(AND($A86="",$B86=""),"",IF(OR($A86="",$B86=""),"CHECK_INPUT",IF(OR($Y86="test",COUNTIF('Guide_Lists'!$AR$2:$AR$4,$B86)&gt;0),"TEST_DO_NOT_IMPORT",IF(OR(COUNTIF('Import_Staging'!$A$8:$A$107,$A86)&gt;1,COUNTIF('Import_Staging'!$B$8:$B$107,$B86)&gt;1),"DUPLICATE_IN_IMPORT",IF(COUNTIF('Leads'!$AE$8:$AE$107,$A86)&gt;0,"EXISTS",IF(COUNTIF('Leads'!$A$8:$A$107,$B86)&gt;0,"CHECK_INPUT",IF(AND($Y86="production",ISNUMBER($C86)),"NEW","CHECK_INPUT")))))))</x:f>
      </x:c>
      <x:c r="AB86" s="42" t="str">
        <x:f>IF($AA86="","",IF($AA86&lt;&gt;"EXISTS","",IFERROR(IF(OR(IF(INDEX('Leads'!$A$8:$A$107,MATCH($A86,'Leads'!$AE$8:$AE$107,0))="","",INDEX('Leads'!$A$8:$A$107,MATCH($A86,'Leads'!$AE$8:$AE$107,0)))&lt;&gt;$B86,IF(INDEX('Leads'!$AF$8:$AF$107,MATCH($A86,'Leads'!$AE$8:$AE$107,0))="","",INDEX('Leads'!$AF$8:$AF$107,MATCH($A86,'Leads'!$AE$8:$AE$107,0)))&lt;&gt;$C86,IF(INDEX('Leads'!$AG$8:$AG$107,MATCH($A86,'Leads'!$AE$8:$AE$107,0))="","",INDEX('Leads'!$AG$8:$AG$107,MATCH($A86,'Leads'!$AE$8:$AE$107,0)))&lt;&gt;$D86,IF(INDEX('Leads'!$B$8:$B$107,MATCH($A86,'Leads'!$AE$8:$AE$107,0))="","",INDEX('Leads'!$B$8:$B$107,MATCH($A86,'Leads'!$AE$8:$AE$107,0)))&lt;&gt;$E86,IF(INDEX('Leads'!$C$8:$C$107,MATCH($A86,'Leads'!$AE$8:$AE$107,0))="","",INDEX('Leads'!$C$8:$C$107,MATCH($A86,'Leads'!$AE$8:$AE$107,0)))&lt;&gt;$F86,IF(INDEX('Leads'!$K$8:$K$107,MATCH($A86,'Leads'!$AE$8:$AE$107,0))="","",INDEX('Leads'!$K$8:$K$107,MATCH($A86,'Leads'!$AE$8:$AE$107,0)))&lt;&gt;$G86,IF(INDEX('Leads'!$L$8:$L$107,MATCH($A86,'Leads'!$AE$8:$AE$107,0))="","",INDEX('Leads'!$L$8:$L$107,MATCH($A86,'Leads'!$AE$8:$AE$107,0)))&lt;&gt;$H86,IF(INDEX('Leads'!$M$8:$M$107,MATCH($A86,'Leads'!$AE$8:$AE$107,0))="","",INDEX('Leads'!$M$8:$M$107,MATCH($A86,'Leads'!$AE$8:$AE$107,0)))&lt;&gt;$I86,IF(INDEX('Leads'!$N$8:$N$107,MATCH($A86,'Leads'!$AE$8:$AE$107,0))="","",INDEX('Leads'!$N$8:$N$107,MATCH($A86,'Leads'!$AE$8:$AE$107,0)))&lt;&gt;$J86,IF(INDEX('Leads'!$AH$8:$AH$107,MATCH($A86,'Leads'!$AE$8:$AE$107,0))="","",INDEX('Leads'!$AH$8:$AH$107,MATCH($A86,'Leads'!$AE$8:$AE$107,0)))&lt;&gt;$K86,IF(INDEX('Leads'!$D$8:$D$107,MATCH($A86,'Leads'!$AE$8:$AE$107,0))="","",INDEX('Leads'!$D$8:$D$107,MATCH($A86,'Leads'!$AE$8:$AE$107,0)))&lt;&gt;$L86,IF(INDEX('Leads'!$E$8:$E$107,MATCH($A86,'Leads'!$AE$8:$AE$107,0))="","",INDEX('Leads'!$E$8:$E$107,MATCH($A86,'Leads'!$AE$8:$AE$107,0)))&lt;&gt;$M86,IF(INDEX('Leads'!$AI$8:$AI$107,MATCH($A86,'Leads'!$AE$8:$AE$107,0))="","",INDEX('Leads'!$AI$8:$AI$107,MATCH($A86,'Leads'!$AE$8:$AE$107,0)))&lt;&gt;$N86,IF(INDEX('Leads'!$AJ$8:$AJ$107,MATCH($A86,'Leads'!$AE$8:$AE$107,0))="","",INDEX('Leads'!$AJ$8:$AJ$107,MATCH($A86,'Leads'!$AE$8:$AE$107,0)))&lt;&gt;$O86,IF(INDEX('Leads'!$AK$8:$AK$107,MATCH($A86,'Leads'!$AE$8:$AE$107,0))="","",INDEX('Leads'!$AK$8:$AK$107,MATCH($A86,'Leads'!$AE$8:$AE$107,0)))&lt;&gt;$P86,IF(INDEX('Leads'!$AL$8:$AL$107,MATCH($A86,'Leads'!$AE$8:$AE$107,0))="","",INDEX('Leads'!$AL$8:$AL$107,MATCH($A86,'Leads'!$AE$8:$AE$107,0)))&lt;&gt;$Q86,IF(INDEX('Leads'!$AM$8:$AM$107,MATCH($A86,'Leads'!$AE$8:$AE$107,0))="","",INDEX('Leads'!$AM$8:$AM$107,MATCH($A86,'Leads'!$AE$8:$AE$107,0)))&lt;&gt;$R86,IF(INDEX('Leads'!$AN$8:$AN$107,MATCH($A86,'Leads'!$AE$8:$AE$107,0))="","",INDEX('Leads'!$AN$8:$AN$107,MATCH($A86,'Leads'!$AE$8:$AE$107,0)))&lt;&gt;$S86,IF(INDEX('Leads'!$AO$8:$AO$107,MATCH($A86,'Leads'!$AE$8:$AE$107,0))="","",INDEX('Leads'!$AO$8:$AO$107,MATCH($A86,'Leads'!$AE$8:$AE$107,0)))&lt;&gt;$T86,IF(INDEX('Leads'!$AP$8:$AP$107,MATCH($A86,'Leads'!$AE$8:$AE$107,0))="","",INDEX('Leads'!$AP$8:$AP$107,MATCH($A86,'Leads'!$AE$8:$AE$107,0)))&lt;&gt;$U86,IF(INDEX('Leads'!$AQ$8:$AQ$107,MATCH($A86,'Leads'!$AE$8:$AE$107,0))="","",INDEX('Leads'!$AQ$8:$AQ$107,MATCH($A86,'Leads'!$AE$8:$AE$107,0)))&lt;&gt;$V86,IF(INDEX('Leads'!$AR$8:$AR$107,MATCH($A86,'Leads'!$AE$8:$AE$107,0))="","",INDEX('Leads'!$AR$8:$AR$107,MATCH($A86,'Leads'!$AE$8:$AE$107,0)))&lt;&gt;$W86,IF(INDEX('Leads'!$AS$8:$AS$107,MATCH($A86,'Leads'!$AE$8:$AE$107,0))="","",INDEX('Leads'!$AS$8:$AS$107,MATCH($A86,'Leads'!$AE$8:$AE$107,0)))&lt;&gt;$X86,IF(INDEX('Leads'!$AT$8:$AT$107,MATCH($A86,'Leads'!$AE$8:$AE$107,0))="","",INDEX('Leads'!$AT$8:$AT$107,MATCH($A86,'Leads'!$AE$8:$AE$107,0)))&lt;&gt;$Y86),"ข้อมูลรับเข้าต่าง — ตรวจเอง","ตรงกัน — ห้ามนำเข้าซ้ำ"),"ตรวจ Lead ID เดิม")))</x:f>
      </x:c>
    </x:row>
    <x:row r="87" ht="30" customHeight="1">
      <x:c r="A87" s="94"/>
      <x:c r="B87" s="94"/>
      <x:c r="C87" s="86"/>
      <x:c r="D87" s="32"/>
      <x:c r="E87" s="32"/>
      <x:c r="F87" s="32"/>
      <x:c r="G87" s="32"/>
      <x:c r="H87" s="94"/>
      <x:c r="I87" s="94"/>
      <x:c r="J87" s="94"/>
      <x:c r="K87" s="32"/>
      <x:c r="L87" s="32"/>
      <x:c r="M87" s="32"/>
      <x:c r="N87" s="32"/>
      <x:c r="O87" s="88"/>
      <x:c r="P87" s="32"/>
      <x:c r="Q87" s="32"/>
      <x:c r="R87" s="32"/>
      <x:c r="S87" s="32"/>
      <x:c r="T87" s="32"/>
      <x:c r="U87" s="32"/>
      <x:c r="V87" s="94"/>
      <x:c r="W87" s="32"/>
      <x:c r="X87" s="32"/>
      <x:c r="Y87" s="32"/>
      <x:c r="Z87" s="86"/>
      <x:c r="AA87" s="42" t="str">
        <x:f>IF(AND($A87="",$B87=""),"",IF(OR($A87="",$B87=""),"CHECK_INPUT",IF(OR($Y87="test",COUNTIF('Guide_Lists'!$AR$2:$AR$4,$B87)&gt;0),"TEST_DO_NOT_IMPORT",IF(OR(COUNTIF('Import_Staging'!$A$8:$A$107,$A87)&gt;1,COUNTIF('Import_Staging'!$B$8:$B$107,$B87)&gt;1),"DUPLICATE_IN_IMPORT",IF(COUNTIF('Leads'!$AE$8:$AE$107,$A87)&gt;0,"EXISTS",IF(COUNTIF('Leads'!$A$8:$A$107,$B87)&gt;0,"CHECK_INPUT",IF(AND($Y87="production",ISNUMBER($C87)),"NEW","CHECK_INPUT")))))))</x:f>
      </x:c>
      <x:c r="AB87" s="42" t="str">
        <x:f>IF($AA87="","",IF($AA87&lt;&gt;"EXISTS","",IFERROR(IF(OR(IF(INDEX('Leads'!$A$8:$A$107,MATCH($A87,'Leads'!$AE$8:$AE$107,0))="","",INDEX('Leads'!$A$8:$A$107,MATCH($A87,'Leads'!$AE$8:$AE$107,0)))&lt;&gt;$B87,IF(INDEX('Leads'!$AF$8:$AF$107,MATCH($A87,'Leads'!$AE$8:$AE$107,0))="","",INDEX('Leads'!$AF$8:$AF$107,MATCH($A87,'Leads'!$AE$8:$AE$107,0)))&lt;&gt;$C87,IF(INDEX('Leads'!$AG$8:$AG$107,MATCH($A87,'Leads'!$AE$8:$AE$107,0))="","",INDEX('Leads'!$AG$8:$AG$107,MATCH($A87,'Leads'!$AE$8:$AE$107,0)))&lt;&gt;$D87,IF(INDEX('Leads'!$B$8:$B$107,MATCH($A87,'Leads'!$AE$8:$AE$107,0))="","",INDEX('Leads'!$B$8:$B$107,MATCH($A87,'Leads'!$AE$8:$AE$107,0)))&lt;&gt;$E87,IF(INDEX('Leads'!$C$8:$C$107,MATCH($A87,'Leads'!$AE$8:$AE$107,0))="","",INDEX('Leads'!$C$8:$C$107,MATCH($A87,'Leads'!$AE$8:$AE$107,0)))&lt;&gt;$F87,IF(INDEX('Leads'!$K$8:$K$107,MATCH($A87,'Leads'!$AE$8:$AE$107,0))="","",INDEX('Leads'!$K$8:$K$107,MATCH($A87,'Leads'!$AE$8:$AE$107,0)))&lt;&gt;$G87,IF(INDEX('Leads'!$L$8:$L$107,MATCH($A87,'Leads'!$AE$8:$AE$107,0))="","",INDEX('Leads'!$L$8:$L$107,MATCH($A87,'Leads'!$AE$8:$AE$107,0)))&lt;&gt;$H87,IF(INDEX('Leads'!$M$8:$M$107,MATCH($A87,'Leads'!$AE$8:$AE$107,0))="","",INDEX('Leads'!$M$8:$M$107,MATCH($A87,'Leads'!$AE$8:$AE$107,0)))&lt;&gt;$I87,IF(INDEX('Leads'!$N$8:$N$107,MATCH($A87,'Leads'!$AE$8:$AE$107,0))="","",INDEX('Leads'!$N$8:$N$107,MATCH($A87,'Leads'!$AE$8:$AE$107,0)))&lt;&gt;$J87,IF(INDEX('Leads'!$AH$8:$AH$107,MATCH($A87,'Leads'!$AE$8:$AE$107,0))="","",INDEX('Leads'!$AH$8:$AH$107,MATCH($A87,'Leads'!$AE$8:$AE$107,0)))&lt;&gt;$K87,IF(INDEX('Leads'!$D$8:$D$107,MATCH($A87,'Leads'!$AE$8:$AE$107,0))="","",INDEX('Leads'!$D$8:$D$107,MATCH($A87,'Leads'!$AE$8:$AE$107,0)))&lt;&gt;$L87,IF(INDEX('Leads'!$E$8:$E$107,MATCH($A87,'Leads'!$AE$8:$AE$107,0))="","",INDEX('Leads'!$E$8:$E$107,MATCH($A87,'Leads'!$AE$8:$AE$107,0)))&lt;&gt;$M87,IF(INDEX('Leads'!$AI$8:$AI$107,MATCH($A87,'Leads'!$AE$8:$AE$107,0))="","",INDEX('Leads'!$AI$8:$AI$107,MATCH($A87,'Leads'!$AE$8:$AE$107,0)))&lt;&gt;$N87,IF(INDEX('Leads'!$AJ$8:$AJ$107,MATCH($A87,'Leads'!$AE$8:$AE$107,0))="","",INDEX('Leads'!$AJ$8:$AJ$107,MATCH($A87,'Leads'!$AE$8:$AE$107,0)))&lt;&gt;$O87,IF(INDEX('Leads'!$AK$8:$AK$107,MATCH($A87,'Leads'!$AE$8:$AE$107,0))="","",INDEX('Leads'!$AK$8:$AK$107,MATCH($A87,'Leads'!$AE$8:$AE$107,0)))&lt;&gt;$P87,IF(INDEX('Leads'!$AL$8:$AL$107,MATCH($A87,'Leads'!$AE$8:$AE$107,0))="","",INDEX('Leads'!$AL$8:$AL$107,MATCH($A87,'Leads'!$AE$8:$AE$107,0)))&lt;&gt;$Q87,IF(INDEX('Leads'!$AM$8:$AM$107,MATCH($A87,'Leads'!$AE$8:$AE$107,0))="","",INDEX('Leads'!$AM$8:$AM$107,MATCH($A87,'Leads'!$AE$8:$AE$107,0)))&lt;&gt;$R87,IF(INDEX('Leads'!$AN$8:$AN$107,MATCH($A87,'Leads'!$AE$8:$AE$107,0))="","",INDEX('Leads'!$AN$8:$AN$107,MATCH($A87,'Leads'!$AE$8:$AE$107,0)))&lt;&gt;$S87,IF(INDEX('Leads'!$AO$8:$AO$107,MATCH($A87,'Leads'!$AE$8:$AE$107,0))="","",INDEX('Leads'!$AO$8:$AO$107,MATCH($A87,'Leads'!$AE$8:$AE$107,0)))&lt;&gt;$T87,IF(INDEX('Leads'!$AP$8:$AP$107,MATCH($A87,'Leads'!$AE$8:$AE$107,0))="","",INDEX('Leads'!$AP$8:$AP$107,MATCH($A87,'Leads'!$AE$8:$AE$107,0)))&lt;&gt;$U87,IF(INDEX('Leads'!$AQ$8:$AQ$107,MATCH($A87,'Leads'!$AE$8:$AE$107,0))="","",INDEX('Leads'!$AQ$8:$AQ$107,MATCH($A87,'Leads'!$AE$8:$AE$107,0)))&lt;&gt;$V87,IF(INDEX('Leads'!$AR$8:$AR$107,MATCH($A87,'Leads'!$AE$8:$AE$107,0))="","",INDEX('Leads'!$AR$8:$AR$107,MATCH($A87,'Leads'!$AE$8:$AE$107,0)))&lt;&gt;$W87,IF(INDEX('Leads'!$AS$8:$AS$107,MATCH($A87,'Leads'!$AE$8:$AE$107,0))="","",INDEX('Leads'!$AS$8:$AS$107,MATCH($A87,'Leads'!$AE$8:$AE$107,0)))&lt;&gt;$X87,IF(INDEX('Leads'!$AT$8:$AT$107,MATCH($A87,'Leads'!$AE$8:$AE$107,0))="","",INDEX('Leads'!$AT$8:$AT$107,MATCH($A87,'Leads'!$AE$8:$AE$107,0)))&lt;&gt;$Y87),"ข้อมูลรับเข้าต่าง — ตรวจเอง","ตรงกัน — ห้ามนำเข้าซ้ำ"),"ตรวจ Lead ID เดิม")))</x:f>
      </x:c>
    </x:row>
    <x:row r="88" ht="30" customHeight="1">
      <x:c r="A88" s="94"/>
      <x:c r="B88" s="94"/>
      <x:c r="C88" s="86"/>
      <x:c r="D88" s="32"/>
      <x:c r="E88" s="32"/>
      <x:c r="F88" s="32"/>
      <x:c r="G88" s="32"/>
      <x:c r="H88" s="94"/>
      <x:c r="I88" s="94"/>
      <x:c r="J88" s="94"/>
      <x:c r="K88" s="32"/>
      <x:c r="L88" s="32"/>
      <x:c r="M88" s="32"/>
      <x:c r="N88" s="32"/>
      <x:c r="O88" s="88"/>
      <x:c r="P88" s="32"/>
      <x:c r="Q88" s="32"/>
      <x:c r="R88" s="32"/>
      <x:c r="S88" s="32"/>
      <x:c r="T88" s="32"/>
      <x:c r="U88" s="32"/>
      <x:c r="V88" s="94"/>
      <x:c r="W88" s="32"/>
      <x:c r="X88" s="32"/>
      <x:c r="Y88" s="32"/>
      <x:c r="Z88" s="86"/>
      <x:c r="AA88" s="42" t="str">
        <x:f>IF(AND($A88="",$B88=""),"",IF(OR($A88="",$B88=""),"CHECK_INPUT",IF(OR($Y88="test",COUNTIF('Guide_Lists'!$AR$2:$AR$4,$B88)&gt;0),"TEST_DO_NOT_IMPORT",IF(OR(COUNTIF('Import_Staging'!$A$8:$A$107,$A88)&gt;1,COUNTIF('Import_Staging'!$B$8:$B$107,$B88)&gt;1),"DUPLICATE_IN_IMPORT",IF(COUNTIF('Leads'!$AE$8:$AE$107,$A88)&gt;0,"EXISTS",IF(COUNTIF('Leads'!$A$8:$A$107,$B88)&gt;0,"CHECK_INPUT",IF(AND($Y88="production",ISNUMBER($C88)),"NEW","CHECK_INPUT")))))))</x:f>
      </x:c>
      <x:c r="AB88" s="42" t="str">
        <x:f>IF($AA88="","",IF($AA88&lt;&gt;"EXISTS","",IFERROR(IF(OR(IF(INDEX('Leads'!$A$8:$A$107,MATCH($A88,'Leads'!$AE$8:$AE$107,0))="","",INDEX('Leads'!$A$8:$A$107,MATCH($A88,'Leads'!$AE$8:$AE$107,0)))&lt;&gt;$B88,IF(INDEX('Leads'!$AF$8:$AF$107,MATCH($A88,'Leads'!$AE$8:$AE$107,0))="","",INDEX('Leads'!$AF$8:$AF$107,MATCH($A88,'Leads'!$AE$8:$AE$107,0)))&lt;&gt;$C88,IF(INDEX('Leads'!$AG$8:$AG$107,MATCH($A88,'Leads'!$AE$8:$AE$107,0))="","",INDEX('Leads'!$AG$8:$AG$107,MATCH($A88,'Leads'!$AE$8:$AE$107,0)))&lt;&gt;$D88,IF(INDEX('Leads'!$B$8:$B$107,MATCH($A88,'Leads'!$AE$8:$AE$107,0))="","",INDEX('Leads'!$B$8:$B$107,MATCH($A88,'Leads'!$AE$8:$AE$107,0)))&lt;&gt;$E88,IF(INDEX('Leads'!$C$8:$C$107,MATCH($A88,'Leads'!$AE$8:$AE$107,0))="","",INDEX('Leads'!$C$8:$C$107,MATCH($A88,'Leads'!$AE$8:$AE$107,0)))&lt;&gt;$F88,IF(INDEX('Leads'!$K$8:$K$107,MATCH($A88,'Leads'!$AE$8:$AE$107,0))="","",INDEX('Leads'!$K$8:$K$107,MATCH($A88,'Leads'!$AE$8:$AE$107,0)))&lt;&gt;$G88,IF(INDEX('Leads'!$L$8:$L$107,MATCH($A88,'Leads'!$AE$8:$AE$107,0))="","",INDEX('Leads'!$L$8:$L$107,MATCH($A88,'Leads'!$AE$8:$AE$107,0)))&lt;&gt;$H88,IF(INDEX('Leads'!$M$8:$M$107,MATCH($A88,'Leads'!$AE$8:$AE$107,0))="","",INDEX('Leads'!$M$8:$M$107,MATCH($A88,'Leads'!$AE$8:$AE$107,0)))&lt;&gt;$I88,IF(INDEX('Leads'!$N$8:$N$107,MATCH($A88,'Leads'!$AE$8:$AE$107,0))="","",INDEX('Leads'!$N$8:$N$107,MATCH($A88,'Leads'!$AE$8:$AE$107,0)))&lt;&gt;$J88,IF(INDEX('Leads'!$AH$8:$AH$107,MATCH($A88,'Leads'!$AE$8:$AE$107,0))="","",INDEX('Leads'!$AH$8:$AH$107,MATCH($A88,'Leads'!$AE$8:$AE$107,0)))&lt;&gt;$K88,IF(INDEX('Leads'!$D$8:$D$107,MATCH($A88,'Leads'!$AE$8:$AE$107,0))="","",INDEX('Leads'!$D$8:$D$107,MATCH($A88,'Leads'!$AE$8:$AE$107,0)))&lt;&gt;$L88,IF(INDEX('Leads'!$E$8:$E$107,MATCH($A88,'Leads'!$AE$8:$AE$107,0))="","",INDEX('Leads'!$E$8:$E$107,MATCH($A88,'Leads'!$AE$8:$AE$107,0)))&lt;&gt;$M88,IF(INDEX('Leads'!$AI$8:$AI$107,MATCH($A88,'Leads'!$AE$8:$AE$107,0))="","",INDEX('Leads'!$AI$8:$AI$107,MATCH($A88,'Leads'!$AE$8:$AE$107,0)))&lt;&gt;$N88,IF(INDEX('Leads'!$AJ$8:$AJ$107,MATCH($A88,'Leads'!$AE$8:$AE$107,0))="","",INDEX('Leads'!$AJ$8:$AJ$107,MATCH($A88,'Leads'!$AE$8:$AE$107,0)))&lt;&gt;$O88,IF(INDEX('Leads'!$AK$8:$AK$107,MATCH($A88,'Leads'!$AE$8:$AE$107,0))="","",INDEX('Leads'!$AK$8:$AK$107,MATCH($A88,'Leads'!$AE$8:$AE$107,0)))&lt;&gt;$P88,IF(INDEX('Leads'!$AL$8:$AL$107,MATCH($A88,'Leads'!$AE$8:$AE$107,0))="","",INDEX('Leads'!$AL$8:$AL$107,MATCH($A88,'Leads'!$AE$8:$AE$107,0)))&lt;&gt;$Q88,IF(INDEX('Leads'!$AM$8:$AM$107,MATCH($A88,'Leads'!$AE$8:$AE$107,0))="","",INDEX('Leads'!$AM$8:$AM$107,MATCH($A88,'Leads'!$AE$8:$AE$107,0)))&lt;&gt;$R88,IF(INDEX('Leads'!$AN$8:$AN$107,MATCH($A88,'Leads'!$AE$8:$AE$107,0))="","",INDEX('Leads'!$AN$8:$AN$107,MATCH($A88,'Leads'!$AE$8:$AE$107,0)))&lt;&gt;$S88,IF(INDEX('Leads'!$AO$8:$AO$107,MATCH($A88,'Leads'!$AE$8:$AE$107,0))="","",INDEX('Leads'!$AO$8:$AO$107,MATCH($A88,'Leads'!$AE$8:$AE$107,0)))&lt;&gt;$T88,IF(INDEX('Leads'!$AP$8:$AP$107,MATCH($A88,'Leads'!$AE$8:$AE$107,0))="","",INDEX('Leads'!$AP$8:$AP$107,MATCH($A88,'Leads'!$AE$8:$AE$107,0)))&lt;&gt;$U88,IF(INDEX('Leads'!$AQ$8:$AQ$107,MATCH($A88,'Leads'!$AE$8:$AE$107,0))="","",INDEX('Leads'!$AQ$8:$AQ$107,MATCH($A88,'Leads'!$AE$8:$AE$107,0)))&lt;&gt;$V88,IF(INDEX('Leads'!$AR$8:$AR$107,MATCH($A88,'Leads'!$AE$8:$AE$107,0))="","",INDEX('Leads'!$AR$8:$AR$107,MATCH($A88,'Leads'!$AE$8:$AE$107,0)))&lt;&gt;$W88,IF(INDEX('Leads'!$AS$8:$AS$107,MATCH($A88,'Leads'!$AE$8:$AE$107,0))="","",INDEX('Leads'!$AS$8:$AS$107,MATCH($A88,'Leads'!$AE$8:$AE$107,0)))&lt;&gt;$X88,IF(INDEX('Leads'!$AT$8:$AT$107,MATCH($A88,'Leads'!$AE$8:$AE$107,0))="","",INDEX('Leads'!$AT$8:$AT$107,MATCH($A88,'Leads'!$AE$8:$AE$107,0)))&lt;&gt;$Y88),"ข้อมูลรับเข้าต่าง — ตรวจเอง","ตรงกัน — ห้ามนำเข้าซ้ำ"),"ตรวจ Lead ID เดิม")))</x:f>
      </x:c>
    </x:row>
    <x:row r="89" ht="30" customHeight="1">
      <x:c r="A89" s="94"/>
      <x:c r="B89" s="94"/>
      <x:c r="C89" s="86"/>
      <x:c r="D89" s="32"/>
      <x:c r="E89" s="32"/>
      <x:c r="F89" s="32"/>
      <x:c r="G89" s="32"/>
      <x:c r="H89" s="94"/>
      <x:c r="I89" s="94"/>
      <x:c r="J89" s="94"/>
      <x:c r="K89" s="32"/>
      <x:c r="L89" s="32"/>
      <x:c r="M89" s="32"/>
      <x:c r="N89" s="32"/>
      <x:c r="O89" s="88"/>
      <x:c r="P89" s="32"/>
      <x:c r="Q89" s="32"/>
      <x:c r="R89" s="32"/>
      <x:c r="S89" s="32"/>
      <x:c r="T89" s="32"/>
      <x:c r="U89" s="32"/>
      <x:c r="V89" s="94"/>
      <x:c r="W89" s="32"/>
      <x:c r="X89" s="32"/>
      <x:c r="Y89" s="32"/>
      <x:c r="Z89" s="86"/>
      <x:c r="AA89" s="42" t="str">
        <x:f>IF(AND($A89="",$B89=""),"",IF(OR($A89="",$B89=""),"CHECK_INPUT",IF(OR($Y89="test",COUNTIF('Guide_Lists'!$AR$2:$AR$4,$B89)&gt;0),"TEST_DO_NOT_IMPORT",IF(OR(COUNTIF('Import_Staging'!$A$8:$A$107,$A89)&gt;1,COUNTIF('Import_Staging'!$B$8:$B$107,$B89)&gt;1),"DUPLICATE_IN_IMPORT",IF(COUNTIF('Leads'!$AE$8:$AE$107,$A89)&gt;0,"EXISTS",IF(COUNTIF('Leads'!$A$8:$A$107,$B89)&gt;0,"CHECK_INPUT",IF(AND($Y89="production",ISNUMBER($C89)),"NEW","CHECK_INPUT")))))))</x:f>
      </x:c>
      <x:c r="AB89" s="42" t="str">
        <x:f>IF($AA89="","",IF($AA89&lt;&gt;"EXISTS","",IFERROR(IF(OR(IF(INDEX('Leads'!$A$8:$A$107,MATCH($A89,'Leads'!$AE$8:$AE$107,0))="","",INDEX('Leads'!$A$8:$A$107,MATCH($A89,'Leads'!$AE$8:$AE$107,0)))&lt;&gt;$B89,IF(INDEX('Leads'!$AF$8:$AF$107,MATCH($A89,'Leads'!$AE$8:$AE$107,0))="","",INDEX('Leads'!$AF$8:$AF$107,MATCH($A89,'Leads'!$AE$8:$AE$107,0)))&lt;&gt;$C89,IF(INDEX('Leads'!$AG$8:$AG$107,MATCH($A89,'Leads'!$AE$8:$AE$107,0))="","",INDEX('Leads'!$AG$8:$AG$107,MATCH($A89,'Leads'!$AE$8:$AE$107,0)))&lt;&gt;$D89,IF(INDEX('Leads'!$B$8:$B$107,MATCH($A89,'Leads'!$AE$8:$AE$107,0))="","",INDEX('Leads'!$B$8:$B$107,MATCH($A89,'Leads'!$AE$8:$AE$107,0)))&lt;&gt;$E89,IF(INDEX('Leads'!$C$8:$C$107,MATCH($A89,'Leads'!$AE$8:$AE$107,0))="","",INDEX('Leads'!$C$8:$C$107,MATCH($A89,'Leads'!$AE$8:$AE$107,0)))&lt;&gt;$F89,IF(INDEX('Leads'!$K$8:$K$107,MATCH($A89,'Leads'!$AE$8:$AE$107,0))="","",INDEX('Leads'!$K$8:$K$107,MATCH($A89,'Leads'!$AE$8:$AE$107,0)))&lt;&gt;$G89,IF(INDEX('Leads'!$L$8:$L$107,MATCH($A89,'Leads'!$AE$8:$AE$107,0))="","",INDEX('Leads'!$L$8:$L$107,MATCH($A89,'Leads'!$AE$8:$AE$107,0)))&lt;&gt;$H89,IF(INDEX('Leads'!$M$8:$M$107,MATCH($A89,'Leads'!$AE$8:$AE$107,0))="","",INDEX('Leads'!$M$8:$M$107,MATCH($A89,'Leads'!$AE$8:$AE$107,0)))&lt;&gt;$I89,IF(INDEX('Leads'!$N$8:$N$107,MATCH($A89,'Leads'!$AE$8:$AE$107,0))="","",INDEX('Leads'!$N$8:$N$107,MATCH($A89,'Leads'!$AE$8:$AE$107,0)))&lt;&gt;$J89,IF(INDEX('Leads'!$AH$8:$AH$107,MATCH($A89,'Leads'!$AE$8:$AE$107,0))="","",INDEX('Leads'!$AH$8:$AH$107,MATCH($A89,'Leads'!$AE$8:$AE$107,0)))&lt;&gt;$K89,IF(INDEX('Leads'!$D$8:$D$107,MATCH($A89,'Leads'!$AE$8:$AE$107,0))="","",INDEX('Leads'!$D$8:$D$107,MATCH($A89,'Leads'!$AE$8:$AE$107,0)))&lt;&gt;$L89,IF(INDEX('Leads'!$E$8:$E$107,MATCH($A89,'Leads'!$AE$8:$AE$107,0))="","",INDEX('Leads'!$E$8:$E$107,MATCH($A89,'Leads'!$AE$8:$AE$107,0)))&lt;&gt;$M89,IF(INDEX('Leads'!$AI$8:$AI$107,MATCH($A89,'Leads'!$AE$8:$AE$107,0))="","",INDEX('Leads'!$AI$8:$AI$107,MATCH($A89,'Leads'!$AE$8:$AE$107,0)))&lt;&gt;$N89,IF(INDEX('Leads'!$AJ$8:$AJ$107,MATCH($A89,'Leads'!$AE$8:$AE$107,0))="","",INDEX('Leads'!$AJ$8:$AJ$107,MATCH($A89,'Leads'!$AE$8:$AE$107,0)))&lt;&gt;$O89,IF(INDEX('Leads'!$AK$8:$AK$107,MATCH($A89,'Leads'!$AE$8:$AE$107,0))="","",INDEX('Leads'!$AK$8:$AK$107,MATCH($A89,'Leads'!$AE$8:$AE$107,0)))&lt;&gt;$P89,IF(INDEX('Leads'!$AL$8:$AL$107,MATCH($A89,'Leads'!$AE$8:$AE$107,0))="","",INDEX('Leads'!$AL$8:$AL$107,MATCH($A89,'Leads'!$AE$8:$AE$107,0)))&lt;&gt;$Q89,IF(INDEX('Leads'!$AM$8:$AM$107,MATCH($A89,'Leads'!$AE$8:$AE$107,0))="","",INDEX('Leads'!$AM$8:$AM$107,MATCH($A89,'Leads'!$AE$8:$AE$107,0)))&lt;&gt;$R89,IF(INDEX('Leads'!$AN$8:$AN$107,MATCH($A89,'Leads'!$AE$8:$AE$107,0))="","",INDEX('Leads'!$AN$8:$AN$107,MATCH($A89,'Leads'!$AE$8:$AE$107,0)))&lt;&gt;$S89,IF(INDEX('Leads'!$AO$8:$AO$107,MATCH($A89,'Leads'!$AE$8:$AE$107,0))="","",INDEX('Leads'!$AO$8:$AO$107,MATCH($A89,'Leads'!$AE$8:$AE$107,0)))&lt;&gt;$T89,IF(INDEX('Leads'!$AP$8:$AP$107,MATCH($A89,'Leads'!$AE$8:$AE$107,0))="","",INDEX('Leads'!$AP$8:$AP$107,MATCH($A89,'Leads'!$AE$8:$AE$107,0)))&lt;&gt;$U89,IF(INDEX('Leads'!$AQ$8:$AQ$107,MATCH($A89,'Leads'!$AE$8:$AE$107,0))="","",INDEX('Leads'!$AQ$8:$AQ$107,MATCH($A89,'Leads'!$AE$8:$AE$107,0)))&lt;&gt;$V89,IF(INDEX('Leads'!$AR$8:$AR$107,MATCH($A89,'Leads'!$AE$8:$AE$107,0))="","",INDEX('Leads'!$AR$8:$AR$107,MATCH($A89,'Leads'!$AE$8:$AE$107,0)))&lt;&gt;$W89,IF(INDEX('Leads'!$AS$8:$AS$107,MATCH($A89,'Leads'!$AE$8:$AE$107,0))="","",INDEX('Leads'!$AS$8:$AS$107,MATCH($A89,'Leads'!$AE$8:$AE$107,0)))&lt;&gt;$X89,IF(INDEX('Leads'!$AT$8:$AT$107,MATCH($A89,'Leads'!$AE$8:$AE$107,0))="","",INDEX('Leads'!$AT$8:$AT$107,MATCH($A89,'Leads'!$AE$8:$AE$107,0)))&lt;&gt;$Y89),"ข้อมูลรับเข้าต่าง — ตรวจเอง","ตรงกัน — ห้ามนำเข้าซ้ำ"),"ตรวจ Lead ID เดิม")))</x:f>
      </x:c>
    </x:row>
    <x:row r="90" ht="30" customHeight="1">
      <x:c r="A90" s="94"/>
      <x:c r="B90" s="94"/>
      <x:c r="C90" s="86"/>
      <x:c r="D90" s="32"/>
      <x:c r="E90" s="32"/>
      <x:c r="F90" s="32"/>
      <x:c r="G90" s="32"/>
      <x:c r="H90" s="94"/>
      <x:c r="I90" s="94"/>
      <x:c r="J90" s="94"/>
      <x:c r="K90" s="32"/>
      <x:c r="L90" s="32"/>
      <x:c r="M90" s="32"/>
      <x:c r="N90" s="32"/>
      <x:c r="O90" s="88"/>
      <x:c r="P90" s="32"/>
      <x:c r="Q90" s="32"/>
      <x:c r="R90" s="32"/>
      <x:c r="S90" s="32"/>
      <x:c r="T90" s="32"/>
      <x:c r="U90" s="32"/>
      <x:c r="V90" s="94"/>
      <x:c r="W90" s="32"/>
      <x:c r="X90" s="32"/>
      <x:c r="Y90" s="32"/>
      <x:c r="Z90" s="86"/>
      <x:c r="AA90" s="42" t="str">
        <x:f>IF(AND($A90="",$B90=""),"",IF(OR($A90="",$B90=""),"CHECK_INPUT",IF(OR($Y90="test",COUNTIF('Guide_Lists'!$AR$2:$AR$4,$B90)&gt;0),"TEST_DO_NOT_IMPORT",IF(OR(COUNTIF('Import_Staging'!$A$8:$A$107,$A90)&gt;1,COUNTIF('Import_Staging'!$B$8:$B$107,$B90)&gt;1),"DUPLICATE_IN_IMPORT",IF(COUNTIF('Leads'!$AE$8:$AE$107,$A90)&gt;0,"EXISTS",IF(COUNTIF('Leads'!$A$8:$A$107,$B90)&gt;0,"CHECK_INPUT",IF(AND($Y90="production",ISNUMBER($C90)),"NEW","CHECK_INPUT")))))))</x:f>
      </x:c>
      <x:c r="AB90" s="42" t="str">
        <x:f>IF($AA90="","",IF($AA90&lt;&gt;"EXISTS","",IFERROR(IF(OR(IF(INDEX('Leads'!$A$8:$A$107,MATCH($A90,'Leads'!$AE$8:$AE$107,0))="","",INDEX('Leads'!$A$8:$A$107,MATCH($A90,'Leads'!$AE$8:$AE$107,0)))&lt;&gt;$B90,IF(INDEX('Leads'!$AF$8:$AF$107,MATCH($A90,'Leads'!$AE$8:$AE$107,0))="","",INDEX('Leads'!$AF$8:$AF$107,MATCH($A90,'Leads'!$AE$8:$AE$107,0)))&lt;&gt;$C90,IF(INDEX('Leads'!$AG$8:$AG$107,MATCH($A90,'Leads'!$AE$8:$AE$107,0))="","",INDEX('Leads'!$AG$8:$AG$107,MATCH($A90,'Leads'!$AE$8:$AE$107,0)))&lt;&gt;$D90,IF(INDEX('Leads'!$B$8:$B$107,MATCH($A90,'Leads'!$AE$8:$AE$107,0))="","",INDEX('Leads'!$B$8:$B$107,MATCH($A90,'Leads'!$AE$8:$AE$107,0)))&lt;&gt;$E90,IF(INDEX('Leads'!$C$8:$C$107,MATCH($A90,'Leads'!$AE$8:$AE$107,0))="","",INDEX('Leads'!$C$8:$C$107,MATCH($A90,'Leads'!$AE$8:$AE$107,0)))&lt;&gt;$F90,IF(INDEX('Leads'!$K$8:$K$107,MATCH($A90,'Leads'!$AE$8:$AE$107,0))="","",INDEX('Leads'!$K$8:$K$107,MATCH($A90,'Leads'!$AE$8:$AE$107,0)))&lt;&gt;$G90,IF(INDEX('Leads'!$L$8:$L$107,MATCH($A90,'Leads'!$AE$8:$AE$107,0))="","",INDEX('Leads'!$L$8:$L$107,MATCH($A90,'Leads'!$AE$8:$AE$107,0)))&lt;&gt;$H90,IF(INDEX('Leads'!$M$8:$M$107,MATCH($A90,'Leads'!$AE$8:$AE$107,0))="","",INDEX('Leads'!$M$8:$M$107,MATCH($A90,'Leads'!$AE$8:$AE$107,0)))&lt;&gt;$I90,IF(INDEX('Leads'!$N$8:$N$107,MATCH($A90,'Leads'!$AE$8:$AE$107,0))="","",INDEX('Leads'!$N$8:$N$107,MATCH($A90,'Leads'!$AE$8:$AE$107,0)))&lt;&gt;$J90,IF(INDEX('Leads'!$AH$8:$AH$107,MATCH($A90,'Leads'!$AE$8:$AE$107,0))="","",INDEX('Leads'!$AH$8:$AH$107,MATCH($A90,'Leads'!$AE$8:$AE$107,0)))&lt;&gt;$K90,IF(INDEX('Leads'!$D$8:$D$107,MATCH($A90,'Leads'!$AE$8:$AE$107,0))="","",INDEX('Leads'!$D$8:$D$107,MATCH($A90,'Leads'!$AE$8:$AE$107,0)))&lt;&gt;$L90,IF(INDEX('Leads'!$E$8:$E$107,MATCH($A90,'Leads'!$AE$8:$AE$107,0))="","",INDEX('Leads'!$E$8:$E$107,MATCH($A90,'Leads'!$AE$8:$AE$107,0)))&lt;&gt;$M90,IF(INDEX('Leads'!$AI$8:$AI$107,MATCH($A90,'Leads'!$AE$8:$AE$107,0))="","",INDEX('Leads'!$AI$8:$AI$107,MATCH($A90,'Leads'!$AE$8:$AE$107,0)))&lt;&gt;$N90,IF(INDEX('Leads'!$AJ$8:$AJ$107,MATCH($A90,'Leads'!$AE$8:$AE$107,0))="","",INDEX('Leads'!$AJ$8:$AJ$107,MATCH($A90,'Leads'!$AE$8:$AE$107,0)))&lt;&gt;$O90,IF(INDEX('Leads'!$AK$8:$AK$107,MATCH($A90,'Leads'!$AE$8:$AE$107,0))="","",INDEX('Leads'!$AK$8:$AK$107,MATCH($A90,'Leads'!$AE$8:$AE$107,0)))&lt;&gt;$P90,IF(INDEX('Leads'!$AL$8:$AL$107,MATCH($A90,'Leads'!$AE$8:$AE$107,0))="","",INDEX('Leads'!$AL$8:$AL$107,MATCH($A90,'Leads'!$AE$8:$AE$107,0)))&lt;&gt;$Q90,IF(INDEX('Leads'!$AM$8:$AM$107,MATCH($A90,'Leads'!$AE$8:$AE$107,0))="","",INDEX('Leads'!$AM$8:$AM$107,MATCH($A90,'Leads'!$AE$8:$AE$107,0)))&lt;&gt;$R90,IF(INDEX('Leads'!$AN$8:$AN$107,MATCH($A90,'Leads'!$AE$8:$AE$107,0))="","",INDEX('Leads'!$AN$8:$AN$107,MATCH($A90,'Leads'!$AE$8:$AE$107,0)))&lt;&gt;$S90,IF(INDEX('Leads'!$AO$8:$AO$107,MATCH($A90,'Leads'!$AE$8:$AE$107,0))="","",INDEX('Leads'!$AO$8:$AO$107,MATCH($A90,'Leads'!$AE$8:$AE$107,0)))&lt;&gt;$T90,IF(INDEX('Leads'!$AP$8:$AP$107,MATCH($A90,'Leads'!$AE$8:$AE$107,0))="","",INDEX('Leads'!$AP$8:$AP$107,MATCH($A90,'Leads'!$AE$8:$AE$107,0)))&lt;&gt;$U90,IF(INDEX('Leads'!$AQ$8:$AQ$107,MATCH($A90,'Leads'!$AE$8:$AE$107,0))="","",INDEX('Leads'!$AQ$8:$AQ$107,MATCH($A90,'Leads'!$AE$8:$AE$107,0)))&lt;&gt;$V90,IF(INDEX('Leads'!$AR$8:$AR$107,MATCH($A90,'Leads'!$AE$8:$AE$107,0))="","",INDEX('Leads'!$AR$8:$AR$107,MATCH($A90,'Leads'!$AE$8:$AE$107,0)))&lt;&gt;$W90,IF(INDEX('Leads'!$AS$8:$AS$107,MATCH($A90,'Leads'!$AE$8:$AE$107,0))="","",INDEX('Leads'!$AS$8:$AS$107,MATCH($A90,'Leads'!$AE$8:$AE$107,0)))&lt;&gt;$X90,IF(INDEX('Leads'!$AT$8:$AT$107,MATCH($A90,'Leads'!$AE$8:$AE$107,0))="","",INDEX('Leads'!$AT$8:$AT$107,MATCH($A90,'Leads'!$AE$8:$AE$107,0)))&lt;&gt;$Y90),"ข้อมูลรับเข้าต่าง — ตรวจเอง","ตรงกัน — ห้ามนำเข้าซ้ำ"),"ตรวจ Lead ID เดิม")))</x:f>
      </x:c>
    </x:row>
    <x:row r="91" ht="30" customHeight="1">
      <x:c r="A91" s="94"/>
      <x:c r="B91" s="94"/>
      <x:c r="C91" s="86"/>
      <x:c r="D91" s="32"/>
      <x:c r="E91" s="32"/>
      <x:c r="F91" s="32"/>
      <x:c r="G91" s="32"/>
      <x:c r="H91" s="94"/>
      <x:c r="I91" s="94"/>
      <x:c r="J91" s="94"/>
      <x:c r="K91" s="32"/>
      <x:c r="L91" s="32"/>
      <x:c r="M91" s="32"/>
      <x:c r="N91" s="32"/>
      <x:c r="O91" s="88"/>
      <x:c r="P91" s="32"/>
      <x:c r="Q91" s="32"/>
      <x:c r="R91" s="32"/>
      <x:c r="S91" s="32"/>
      <x:c r="T91" s="32"/>
      <x:c r="U91" s="32"/>
      <x:c r="V91" s="94"/>
      <x:c r="W91" s="32"/>
      <x:c r="X91" s="32"/>
      <x:c r="Y91" s="32"/>
      <x:c r="Z91" s="86"/>
      <x:c r="AA91" s="42" t="str">
        <x:f>IF(AND($A91="",$B91=""),"",IF(OR($A91="",$B91=""),"CHECK_INPUT",IF(OR($Y91="test",COUNTIF('Guide_Lists'!$AR$2:$AR$4,$B91)&gt;0),"TEST_DO_NOT_IMPORT",IF(OR(COUNTIF('Import_Staging'!$A$8:$A$107,$A91)&gt;1,COUNTIF('Import_Staging'!$B$8:$B$107,$B91)&gt;1),"DUPLICATE_IN_IMPORT",IF(COUNTIF('Leads'!$AE$8:$AE$107,$A91)&gt;0,"EXISTS",IF(COUNTIF('Leads'!$A$8:$A$107,$B91)&gt;0,"CHECK_INPUT",IF(AND($Y91="production",ISNUMBER($C91)),"NEW","CHECK_INPUT")))))))</x:f>
      </x:c>
      <x:c r="AB91" s="42" t="str">
        <x:f>IF($AA91="","",IF($AA91&lt;&gt;"EXISTS","",IFERROR(IF(OR(IF(INDEX('Leads'!$A$8:$A$107,MATCH($A91,'Leads'!$AE$8:$AE$107,0))="","",INDEX('Leads'!$A$8:$A$107,MATCH($A91,'Leads'!$AE$8:$AE$107,0)))&lt;&gt;$B91,IF(INDEX('Leads'!$AF$8:$AF$107,MATCH($A91,'Leads'!$AE$8:$AE$107,0))="","",INDEX('Leads'!$AF$8:$AF$107,MATCH($A91,'Leads'!$AE$8:$AE$107,0)))&lt;&gt;$C91,IF(INDEX('Leads'!$AG$8:$AG$107,MATCH($A91,'Leads'!$AE$8:$AE$107,0))="","",INDEX('Leads'!$AG$8:$AG$107,MATCH($A91,'Leads'!$AE$8:$AE$107,0)))&lt;&gt;$D91,IF(INDEX('Leads'!$B$8:$B$107,MATCH($A91,'Leads'!$AE$8:$AE$107,0))="","",INDEX('Leads'!$B$8:$B$107,MATCH($A91,'Leads'!$AE$8:$AE$107,0)))&lt;&gt;$E91,IF(INDEX('Leads'!$C$8:$C$107,MATCH($A91,'Leads'!$AE$8:$AE$107,0))="","",INDEX('Leads'!$C$8:$C$107,MATCH($A91,'Leads'!$AE$8:$AE$107,0)))&lt;&gt;$F91,IF(INDEX('Leads'!$K$8:$K$107,MATCH($A91,'Leads'!$AE$8:$AE$107,0))="","",INDEX('Leads'!$K$8:$K$107,MATCH($A91,'Leads'!$AE$8:$AE$107,0)))&lt;&gt;$G91,IF(INDEX('Leads'!$L$8:$L$107,MATCH($A91,'Leads'!$AE$8:$AE$107,0))="","",INDEX('Leads'!$L$8:$L$107,MATCH($A91,'Leads'!$AE$8:$AE$107,0)))&lt;&gt;$H91,IF(INDEX('Leads'!$M$8:$M$107,MATCH($A91,'Leads'!$AE$8:$AE$107,0))="","",INDEX('Leads'!$M$8:$M$107,MATCH($A91,'Leads'!$AE$8:$AE$107,0)))&lt;&gt;$I91,IF(INDEX('Leads'!$N$8:$N$107,MATCH($A91,'Leads'!$AE$8:$AE$107,0))="","",INDEX('Leads'!$N$8:$N$107,MATCH($A91,'Leads'!$AE$8:$AE$107,0)))&lt;&gt;$J91,IF(INDEX('Leads'!$AH$8:$AH$107,MATCH($A91,'Leads'!$AE$8:$AE$107,0))="","",INDEX('Leads'!$AH$8:$AH$107,MATCH($A91,'Leads'!$AE$8:$AE$107,0)))&lt;&gt;$K91,IF(INDEX('Leads'!$D$8:$D$107,MATCH($A91,'Leads'!$AE$8:$AE$107,0))="","",INDEX('Leads'!$D$8:$D$107,MATCH($A91,'Leads'!$AE$8:$AE$107,0)))&lt;&gt;$L91,IF(INDEX('Leads'!$E$8:$E$107,MATCH($A91,'Leads'!$AE$8:$AE$107,0))="","",INDEX('Leads'!$E$8:$E$107,MATCH($A91,'Leads'!$AE$8:$AE$107,0)))&lt;&gt;$M91,IF(INDEX('Leads'!$AI$8:$AI$107,MATCH($A91,'Leads'!$AE$8:$AE$107,0))="","",INDEX('Leads'!$AI$8:$AI$107,MATCH($A91,'Leads'!$AE$8:$AE$107,0)))&lt;&gt;$N91,IF(INDEX('Leads'!$AJ$8:$AJ$107,MATCH($A91,'Leads'!$AE$8:$AE$107,0))="","",INDEX('Leads'!$AJ$8:$AJ$107,MATCH($A91,'Leads'!$AE$8:$AE$107,0)))&lt;&gt;$O91,IF(INDEX('Leads'!$AK$8:$AK$107,MATCH($A91,'Leads'!$AE$8:$AE$107,0))="","",INDEX('Leads'!$AK$8:$AK$107,MATCH($A91,'Leads'!$AE$8:$AE$107,0)))&lt;&gt;$P91,IF(INDEX('Leads'!$AL$8:$AL$107,MATCH($A91,'Leads'!$AE$8:$AE$107,0))="","",INDEX('Leads'!$AL$8:$AL$107,MATCH($A91,'Leads'!$AE$8:$AE$107,0)))&lt;&gt;$Q91,IF(INDEX('Leads'!$AM$8:$AM$107,MATCH($A91,'Leads'!$AE$8:$AE$107,0))="","",INDEX('Leads'!$AM$8:$AM$107,MATCH($A91,'Leads'!$AE$8:$AE$107,0)))&lt;&gt;$R91,IF(INDEX('Leads'!$AN$8:$AN$107,MATCH($A91,'Leads'!$AE$8:$AE$107,0))="","",INDEX('Leads'!$AN$8:$AN$107,MATCH($A91,'Leads'!$AE$8:$AE$107,0)))&lt;&gt;$S91,IF(INDEX('Leads'!$AO$8:$AO$107,MATCH($A91,'Leads'!$AE$8:$AE$107,0))="","",INDEX('Leads'!$AO$8:$AO$107,MATCH($A91,'Leads'!$AE$8:$AE$107,0)))&lt;&gt;$T91,IF(INDEX('Leads'!$AP$8:$AP$107,MATCH($A91,'Leads'!$AE$8:$AE$107,0))="","",INDEX('Leads'!$AP$8:$AP$107,MATCH($A91,'Leads'!$AE$8:$AE$107,0)))&lt;&gt;$U91,IF(INDEX('Leads'!$AQ$8:$AQ$107,MATCH($A91,'Leads'!$AE$8:$AE$107,0))="","",INDEX('Leads'!$AQ$8:$AQ$107,MATCH($A91,'Leads'!$AE$8:$AE$107,0)))&lt;&gt;$V91,IF(INDEX('Leads'!$AR$8:$AR$107,MATCH($A91,'Leads'!$AE$8:$AE$107,0))="","",INDEX('Leads'!$AR$8:$AR$107,MATCH($A91,'Leads'!$AE$8:$AE$107,0)))&lt;&gt;$W91,IF(INDEX('Leads'!$AS$8:$AS$107,MATCH($A91,'Leads'!$AE$8:$AE$107,0))="","",INDEX('Leads'!$AS$8:$AS$107,MATCH($A91,'Leads'!$AE$8:$AE$107,0)))&lt;&gt;$X91,IF(INDEX('Leads'!$AT$8:$AT$107,MATCH($A91,'Leads'!$AE$8:$AE$107,0))="","",INDEX('Leads'!$AT$8:$AT$107,MATCH($A91,'Leads'!$AE$8:$AE$107,0)))&lt;&gt;$Y91),"ข้อมูลรับเข้าต่าง — ตรวจเอง","ตรงกัน — ห้ามนำเข้าซ้ำ"),"ตรวจ Lead ID เดิม")))</x:f>
      </x:c>
    </x:row>
    <x:row r="92" ht="30" customHeight="1">
      <x:c r="A92" s="94"/>
      <x:c r="B92" s="94"/>
      <x:c r="C92" s="86"/>
      <x:c r="D92" s="32"/>
      <x:c r="E92" s="32"/>
      <x:c r="F92" s="32"/>
      <x:c r="G92" s="32"/>
      <x:c r="H92" s="94"/>
      <x:c r="I92" s="94"/>
      <x:c r="J92" s="94"/>
      <x:c r="K92" s="32"/>
      <x:c r="L92" s="32"/>
      <x:c r="M92" s="32"/>
      <x:c r="N92" s="32"/>
      <x:c r="O92" s="88"/>
      <x:c r="P92" s="32"/>
      <x:c r="Q92" s="32"/>
      <x:c r="R92" s="32"/>
      <x:c r="S92" s="32"/>
      <x:c r="T92" s="32"/>
      <x:c r="U92" s="32"/>
      <x:c r="V92" s="94"/>
      <x:c r="W92" s="32"/>
      <x:c r="X92" s="32"/>
      <x:c r="Y92" s="32"/>
      <x:c r="Z92" s="86"/>
      <x:c r="AA92" s="42" t="str">
        <x:f>IF(AND($A92="",$B92=""),"",IF(OR($A92="",$B92=""),"CHECK_INPUT",IF(OR($Y92="test",COUNTIF('Guide_Lists'!$AR$2:$AR$4,$B92)&gt;0),"TEST_DO_NOT_IMPORT",IF(OR(COUNTIF('Import_Staging'!$A$8:$A$107,$A92)&gt;1,COUNTIF('Import_Staging'!$B$8:$B$107,$B92)&gt;1),"DUPLICATE_IN_IMPORT",IF(COUNTIF('Leads'!$AE$8:$AE$107,$A92)&gt;0,"EXISTS",IF(COUNTIF('Leads'!$A$8:$A$107,$B92)&gt;0,"CHECK_INPUT",IF(AND($Y92="production",ISNUMBER($C92)),"NEW","CHECK_INPUT")))))))</x:f>
      </x:c>
      <x:c r="AB92" s="42" t="str">
        <x:f>IF($AA92="","",IF($AA92&lt;&gt;"EXISTS","",IFERROR(IF(OR(IF(INDEX('Leads'!$A$8:$A$107,MATCH($A92,'Leads'!$AE$8:$AE$107,0))="","",INDEX('Leads'!$A$8:$A$107,MATCH($A92,'Leads'!$AE$8:$AE$107,0)))&lt;&gt;$B92,IF(INDEX('Leads'!$AF$8:$AF$107,MATCH($A92,'Leads'!$AE$8:$AE$107,0))="","",INDEX('Leads'!$AF$8:$AF$107,MATCH($A92,'Leads'!$AE$8:$AE$107,0)))&lt;&gt;$C92,IF(INDEX('Leads'!$AG$8:$AG$107,MATCH($A92,'Leads'!$AE$8:$AE$107,0))="","",INDEX('Leads'!$AG$8:$AG$107,MATCH($A92,'Leads'!$AE$8:$AE$107,0)))&lt;&gt;$D92,IF(INDEX('Leads'!$B$8:$B$107,MATCH($A92,'Leads'!$AE$8:$AE$107,0))="","",INDEX('Leads'!$B$8:$B$107,MATCH($A92,'Leads'!$AE$8:$AE$107,0)))&lt;&gt;$E92,IF(INDEX('Leads'!$C$8:$C$107,MATCH($A92,'Leads'!$AE$8:$AE$107,0))="","",INDEX('Leads'!$C$8:$C$107,MATCH($A92,'Leads'!$AE$8:$AE$107,0)))&lt;&gt;$F92,IF(INDEX('Leads'!$K$8:$K$107,MATCH($A92,'Leads'!$AE$8:$AE$107,0))="","",INDEX('Leads'!$K$8:$K$107,MATCH($A92,'Leads'!$AE$8:$AE$107,0)))&lt;&gt;$G92,IF(INDEX('Leads'!$L$8:$L$107,MATCH($A92,'Leads'!$AE$8:$AE$107,0))="","",INDEX('Leads'!$L$8:$L$107,MATCH($A92,'Leads'!$AE$8:$AE$107,0)))&lt;&gt;$H92,IF(INDEX('Leads'!$M$8:$M$107,MATCH($A92,'Leads'!$AE$8:$AE$107,0))="","",INDEX('Leads'!$M$8:$M$107,MATCH($A92,'Leads'!$AE$8:$AE$107,0)))&lt;&gt;$I92,IF(INDEX('Leads'!$N$8:$N$107,MATCH($A92,'Leads'!$AE$8:$AE$107,0))="","",INDEX('Leads'!$N$8:$N$107,MATCH($A92,'Leads'!$AE$8:$AE$107,0)))&lt;&gt;$J92,IF(INDEX('Leads'!$AH$8:$AH$107,MATCH($A92,'Leads'!$AE$8:$AE$107,0))="","",INDEX('Leads'!$AH$8:$AH$107,MATCH($A92,'Leads'!$AE$8:$AE$107,0)))&lt;&gt;$K92,IF(INDEX('Leads'!$D$8:$D$107,MATCH($A92,'Leads'!$AE$8:$AE$107,0))="","",INDEX('Leads'!$D$8:$D$107,MATCH($A92,'Leads'!$AE$8:$AE$107,0)))&lt;&gt;$L92,IF(INDEX('Leads'!$E$8:$E$107,MATCH($A92,'Leads'!$AE$8:$AE$107,0))="","",INDEX('Leads'!$E$8:$E$107,MATCH($A92,'Leads'!$AE$8:$AE$107,0)))&lt;&gt;$M92,IF(INDEX('Leads'!$AI$8:$AI$107,MATCH($A92,'Leads'!$AE$8:$AE$107,0))="","",INDEX('Leads'!$AI$8:$AI$107,MATCH($A92,'Leads'!$AE$8:$AE$107,0)))&lt;&gt;$N92,IF(INDEX('Leads'!$AJ$8:$AJ$107,MATCH($A92,'Leads'!$AE$8:$AE$107,0))="","",INDEX('Leads'!$AJ$8:$AJ$107,MATCH($A92,'Leads'!$AE$8:$AE$107,0)))&lt;&gt;$O92,IF(INDEX('Leads'!$AK$8:$AK$107,MATCH($A92,'Leads'!$AE$8:$AE$107,0))="","",INDEX('Leads'!$AK$8:$AK$107,MATCH($A92,'Leads'!$AE$8:$AE$107,0)))&lt;&gt;$P92,IF(INDEX('Leads'!$AL$8:$AL$107,MATCH($A92,'Leads'!$AE$8:$AE$107,0))="","",INDEX('Leads'!$AL$8:$AL$107,MATCH($A92,'Leads'!$AE$8:$AE$107,0)))&lt;&gt;$Q92,IF(INDEX('Leads'!$AM$8:$AM$107,MATCH($A92,'Leads'!$AE$8:$AE$107,0))="","",INDEX('Leads'!$AM$8:$AM$107,MATCH($A92,'Leads'!$AE$8:$AE$107,0)))&lt;&gt;$R92,IF(INDEX('Leads'!$AN$8:$AN$107,MATCH($A92,'Leads'!$AE$8:$AE$107,0))="","",INDEX('Leads'!$AN$8:$AN$107,MATCH($A92,'Leads'!$AE$8:$AE$107,0)))&lt;&gt;$S92,IF(INDEX('Leads'!$AO$8:$AO$107,MATCH($A92,'Leads'!$AE$8:$AE$107,0))="","",INDEX('Leads'!$AO$8:$AO$107,MATCH($A92,'Leads'!$AE$8:$AE$107,0)))&lt;&gt;$T92,IF(INDEX('Leads'!$AP$8:$AP$107,MATCH($A92,'Leads'!$AE$8:$AE$107,0))="","",INDEX('Leads'!$AP$8:$AP$107,MATCH($A92,'Leads'!$AE$8:$AE$107,0)))&lt;&gt;$U92,IF(INDEX('Leads'!$AQ$8:$AQ$107,MATCH($A92,'Leads'!$AE$8:$AE$107,0))="","",INDEX('Leads'!$AQ$8:$AQ$107,MATCH($A92,'Leads'!$AE$8:$AE$107,0)))&lt;&gt;$V92,IF(INDEX('Leads'!$AR$8:$AR$107,MATCH($A92,'Leads'!$AE$8:$AE$107,0))="","",INDEX('Leads'!$AR$8:$AR$107,MATCH($A92,'Leads'!$AE$8:$AE$107,0)))&lt;&gt;$W92,IF(INDEX('Leads'!$AS$8:$AS$107,MATCH($A92,'Leads'!$AE$8:$AE$107,0))="","",INDEX('Leads'!$AS$8:$AS$107,MATCH($A92,'Leads'!$AE$8:$AE$107,0)))&lt;&gt;$X92,IF(INDEX('Leads'!$AT$8:$AT$107,MATCH($A92,'Leads'!$AE$8:$AE$107,0))="","",INDEX('Leads'!$AT$8:$AT$107,MATCH($A92,'Leads'!$AE$8:$AE$107,0)))&lt;&gt;$Y92),"ข้อมูลรับเข้าต่าง — ตรวจเอง","ตรงกัน — ห้ามนำเข้าซ้ำ"),"ตรวจ Lead ID เดิม")))</x:f>
      </x:c>
    </x:row>
    <x:row r="93" ht="30" customHeight="1">
      <x:c r="A93" s="94"/>
      <x:c r="B93" s="94"/>
      <x:c r="C93" s="86"/>
      <x:c r="D93" s="32"/>
      <x:c r="E93" s="32"/>
      <x:c r="F93" s="32"/>
      <x:c r="G93" s="32"/>
      <x:c r="H93" s="94"/>
      <x:c r="I93" s="94"/>
      <x:c r="J93" s="94"/>
      <x:c r="K93" s="32"/>
      <x:c r="L93" s="32"/>
      <x:c r="M93" s="32"/>
      <x:c r="N93" s="32"/>
      <x:c r="O93" s="88"/>
      <x:c r="P93" s="32"/>
      <x:c r="Q93" s="32"/>
      <x:c r="R93" s="32"/>
      <x:c r="S93" s="32"/>
      <x:c r="T93" s="32"/>
      <x:c r="U93" s="32"/>
      <x:c r="V93" s="94"/>
      <x:c r="W93" s="32"/>
      <x:c r="X93" s="32"/>
      <x:c r="Y93" s="32"/>
      <x:c r="Z93" s="86"/>
      <x:c r="AA93" s="42" t="str">
        <x:f>IF(AND($A93="",$B93=""),"",IF(OR($A93="",$B93=""),"CHECK_INPUT",IF(OR($Y93="test",COUNTIF('Guide_Lists'!$AR$2:$AR$4,$B93)&gt;0),"TEST_DO_NOT_IMPORT",IF(OR(COUNTIF('Import_Staging'!$A$8:$A$107,$A93)&gt;1,COUNTIF('Import_Staging'!$B$8:$B$107,$B93)&gt;1),"DUPLICATE_IN_IMPORT",IF(COUNTIF('Leads'!$AE$8:$AE$107,$A93)&gt;0,"EXISTS",IF(COUNTIF('Leads'!$A$8:$A$107,$B93)&gt;0,"CHECK_INPUT",IF(AND($Y93="production",ISNUMBER($C93)),"NEW","CHECK_INPUT")))))))</x:f>
      </x:c>
      <x:c r="AB93" s="42" t="str">
        <x:f>IF($AA93="","",IF($AA93&lt;&gt;"EXISTS","",IFERROR(IF(OR(IF(INDEX('Leads'!$A$8:$A$107,MATCH($A93,'Leads'!$AE$8:$AE$107,0))="","",INDEX('Leads'!$A$8:$A$107,MATCH($A93,'Leads'!$AE$8:$AE$107,0)))&lt;&gt;$B93,IF(INDEX('Leads'!$AF$8:$AF$107,MATCH($A93,'Leads'!$AE$8:$AE$107,0))="","",INDEX('Leads'!$AF$8:$AF$107,MATCH($A93,'Leads'!$AE$8:$AE$107,0)))&lt;&gt;$C93,IF(INDEX('Leads'!$AG$8:$AG$107,MATCH($A93,'Leads'!$AE$8:$AE$107,0))="","",INDEX('Leads'!$AG$8:$AG$107,MATCH($A93,'Leads'!$AE$8:$AE$107,0)))&lt;&gt;$D93,IF(INDEX('Leads'!$B$8:$B$107,MATCH($A93,'Leads'!$AE$8:$AE$107,0))="","",INDEX('Leads'!$B$8:$B$107,MATCH($A93,'Leads'!$AE$8:$AE$107,0)))&lt;&gt;$E93,IF(INDEX('Leads'!$C$8:$C$107,MATCH($A93,'Leads'!$AE$8:$AE$107,0))="","",INDEX('Leads'!$C$8:$C$107,MATCH($A93,'Leads'!$AE$8:$AE$107,0)))&lt;&gt;$F93,IF(INDEX('Leads'!$K$8:$K$107,MATCH($A93,'Leads'!$AE$8:$AE$107,0))="","",INDEX('Leads'!$K$8:$K$107,MATCH($A93,'Leads'!$AE$8:$AE$107,0)))&lt;&gt;$G93,IF(INDEX('Leads'!$L$8:$L$107,MATCH($A93,'Leads'!$AE$8:$AE$107,0))="","",INDEX('Leads'!$L$8:$L$107,MATCH($A93,'Leads'!$AE$8:$AE$107,0)))&lt;&gt;$H93,IF(INDEX('Leads'!$M$8:$M$107,MATCH($A93,'Leads'!$AE$8:$AE$107,0))="","",INDEX('Leads'!$M$8:$M$107,MATCH($A93,'Leads'!$AE$8:$AE$107,0)))&lt;&gt;$I93,IF(INDEX('Leads'!$N$8:$N$107,MATCH($A93,'Leads'!$AE$8:$AE$107,0))="","",INDEX('Leads'!$N$8:$N$107,MATCH($A93,'Leads'!$AE$8:$AE$107,0)))&lt;&gt;$J93,IF(INDEX('Leads'!$AH$8:$AH$107,MATCH($A93,'Leads'!$AE$8:$AE$107,0))="","",INDEX('Leads'!$AH$8:$AH$107,MATCH($A93,'Leads'!$AE$8:$AE$107,0)))&lt;&gt;$K93,IF(INDEX('Leads'!$D$8:$D$107,MATCH($A93,'Leads'!$AE$8:$AE$107,0))="","",INDEX('Leads'!$D$8:$D$107,MATCH($A93,'Leads'!$AE$8:$AE$107,0)))&lt;&gt;$L93,IF(INDEX('Leads'!$E$8:$E$107,MATCH($A93,'Leads'!$AE$8:$AE$107,0))="","",INDEX('Leads'!$E$8:$E$107,MATCH($A93,'Leads'!$AE$8:$AE$107,0)))&lt;&gt;$M93,IF(INDEX('Leads'!$AI$8:$AI$107,MATCH($A93,'Leads'!$AE$8:$AE$107,0))="","",INDEX('Leads'!$AI$8:$AI$107,MATCH($A93,'Leads'!$AE$8:$AE$107,0)))&lt;&gt;$N93,IF(INDEX('Leads'!$AJ$8:$AJ$107,MATCH($A93,'Leads'!$AE$8:$AE$107,0))="","",INDEX('Leads'!$AJ$8:$AJ$107,MATCH($A93,'Leads'!$AE$8:$AE$107,0)))&lt;&gt;$O93,IF(INDEX('Leads'!$AK$8:$AK$107,MATCH($A93,'Leads'!$AE$8:$AE$107,0))="","",INDEX('Leads'!$AK$8:$AK$107,MATCH($A93,'Leads'!$AE$8:$AE$107,0)))&lt;&gt;$P93,IF(INDEX('Leads'!$AL$8:$AL$107,MATCH($A93,'Leads'!$AE$8:$AE$107,0))="","",INDEX('Leads'!$AL$8:$AL$107,MATCH($A93,'Leads'!$AE$8:$AE$107,0)))&lt;&gt;$Q93,IF(INDEX('Leads'!$AM$8:$AM$107,MATCH($A93,'Leads'!$AE$8:$AE$107,0))="","",INDEX('Leads'!$AM$8:$AM$107,MATCH($A93,'Leads'!$AE$8:$AE$107,0)))&lt;&gt;$R93,IF(INDEX('Leads'!$AN$8:$AN$107,MATCH($A93,'Leads'!$AE$8:$AE$107,0))="","",INDEX('Leads'!$AN$8:$AN$107,MATCH($A93,'Leads'!$AE$8:$AE$107,0)))&lt;&gt;$S93,IF(INDEX('Leads'!$AO$8:$AO$107,MATCH($A93,'Leads'!$AE$8:$AE$107,0))="","",INDEX('Leads'!$AO$8:$AO$107,MATCH($A93,'Leads'!$AE$8:$AE$107,0)))&lt;&gt;$T93,IF(INDEX('Leads'!$AP$8:$AP$107,MATCH($A93,'Leads'!$AE$8:$AE$107,0))="","",INDEX('Leads'!$AP$8:$AP$107,MATCH($A93,'Leads'!$AE$8:$AE$107,0)))&lt;&gt;$U93,IF(INDEX('Leads'!$AQ$8:$AQ$107,MATCH($A93,'Leads'!$AE$8:$AE$107,0))="","",INDEX('Leads'!$AQ$8:$AQ$107,MATCH($A93,'Leads'!$AE$8:$AE$107,0)))&lt;&gt;$V93,IF(INDEX('Leads'!$AR$8:$AR$107,MATCH($A93,'Leads'!$AE$8:$AE$107,0))="","",INDEX('Leads'!$AR$8:$AR$107,MATCH($A93,'Leads'!$AE$8:$AE$107,0)))&lt;&gt;$W93,IF(INDEX('Leads'!$AS$8:$AS$107,MATCH($A93,'Leads'!$AE$8:$AE$107,0))="","",INDEX('Leads'!$AS$8:$AS$107,MATCH($A93,'Leads'!$AE$8:$AE$107,0)))&lt;&gt;$X93,IF(INDEX('Leads'!$AT$8:$AT$107,MATCH($A93,'Leads'!$AE$8:$AE$107,0))="","",INDEX('Leads'!$AT$8:$AT$107,MATCH($A93,'Leads'!$AE$8:$AE$107,0)))&lt;&gt;$Y93),"ข้อมูลรับเข้าต่าง — ตรวจเอง","ตรงกัน — ห้ามนำเข้าซ้ำ"),"ตรวจ Lead ID เดิม")))</x:f>
      </x:c>
    </x:row>
    <x:row r="94" ht="30" customHeight="1">
      <x:c r="A94" s="94"/>
      <x:c r="B94" s="94"/>
      <x:c r="C94" s="86"/>
      <x:c r="D94" s="32"/>
      <x:c r="E94" s="32"/>
      <x:c r="F94" s="32"/>
      <x:c r="G94" s="32"/>
      <x:c r="H94" s="94"/>
      <x:c r="I94" s="94"/>
      <x:c r="J94" s="94"/>
      <x:c r="K94" s="32"/>
      <x:c r="L94" s="32"/>
      <x:c r="M94" s="32"/>
      <x:c r="N94" s="32"/>
      <x:c r="O94" s="88"/>
      <x:c r="P94" s="32"/>
      <x:c r="Q94" s="32"/>
      <x:c r="R94" s="32"/>
      <x:c r="S94" s="32"/>
      <x:c r="T94" s="32"/>
      <x:c r="U94" s="32"/>
      <x:c r="V94" s="94"/>
      <x:c r="W94" s="32"/>
      <x:c r="X94" s="32"/>
      <x:c r="Y94" s="32"/>
      <x:c r="Z94" s="86"/>
      <x:c r="AA94" s="42" t="str">
        <x:f>IF(AND($A94="",$B94=""),"",IF(OR($A94="",$B94=""),"CHECK_INPUT",IF(OR($Y94="test",COUNTIF('Guide_Lists'!$AR$2:$AR$4,$B94)&gt;0),"TEST_DO_NOT_IMPORT",IF(OR(COUNTIF('Import_Staging'!$A$8:$A$107,$A94)&gt;1,COUNTIF('Import_Staging'!$B$8:$B$107,$B94)&gt;1),"DUPLICATE_IN_IMPORT",IF(COUNTIF('Leads'!$AE$8:$AE$107,$A94)&gt;0,"EXISTS",IF(COUNTIF('Leads'!$A$8:$A$107,$B94)&gt;0,"CHECK_INPUT",IF(AND($Y94="production",ISNUMBER($C94)),"NEW","CHECK_INPUT")))))))</x:f>
      </x:c>
      <x:c r="AB94" s="42" t="str">
        <x:f>IF($AA94="","",IF($AA94&lt;&gt;"EXISTS","",IFERROR(IF(OR(IF(INDEX('Leads'!$A$8:$A$107,MATCH($A94,'Leads'!$AE$8:$AE$107,0))="","",INDEX('Leads'!$A$8:$A$107,MATCH($A94,'Leads'!$AE$8:$AE$107,0)))&lt;&gt;$B94,IF(INDEX('Leads'!$AF$8:$AF$107,MATCH($A94,'Leads'!$AE$8:$AE$107,0))="","",INDEX('Leads'!$AF$8:$AF$107,MATCH($A94,'Leads'!$AE$8:$AE$107,0)))&lt;&gt;$C94,IF(INDEX('Leads'!$AG$8:$AG$107,MATCH($A94,'Leads'!$AE$8:$AE$107,0))="","",INDEX('Leads'!$AG$8:$AG$107,MATCH($A94,'Leads'!$AE$8:$AE$107,0)))&lt;&gt;$D94,IF(INDEX('Leads'!$B$8:$B$107,MATCH($A94,'Leads'!$AE$8:$AE$107,0))="","",INDEX('Leads'!$B$8:$B$107,MATCH($A94,'Leads'!$AE$8:$AE$107,0)))&lt;&gt;$E94,IF(INDEX('Leads'!$C$8:$C$107,MATCH($A94,'Leads'!$AE$8:$AE$107,0))="","",INDEX('Leads'!$C$8:$C$107,MATCH($A94,'Leads'!$AE$8:$AE$107,0)))&lt;&gt;$F94,IF(INDEX('Leads'!$K$8:$K$107,MATCH($A94,'Leads'!$AE$8:$AE$107,0))="","",INDEX('Leads'!$K$8:$K$107,MATCH($A94,'Leads'!$AE$8:$AE$107,0)))&lt;&gt;$G94,IF(INDEX('Leads'!$L$8:$L$107,MATCH($A94,'Leads'!$AE$8:$AE$107,0))="","",INDEX('Leads'!$L$8:$L$107,MATCH($A94,'Leads'!$AE$8:$AE$107,0)))&lt;&gt;$H94,IF(INDEX('Leads'!$M$8:$M$107,MATCH($A94,'Leads'!$AE$8:$AE$107,0))="","",INDEX('Leads'!$M$8:$M$107,MATCH($A94,'Leads'!$AE$8:$AE$107,0)))&lt;&gt;$I94,IF(INDEX('Leads'!$N$8:$N$107,MATCH($A94,'Leads'!$AE$8:$AE$107,0))="","",INDEX('Leads'!$N$8:$N$107,MATCH($A94,'Leads'!$AE$8:$AE$107,0)))&lt;&gt;$J94,IF(INDEX('Leads'!$AH$8:$AH$107,MATCH($A94,'Leads'!$AE$8:$AE$107,0))="","",INDEX('Leads'!$AH$8:$AH$107,MATCH($A94,'Leads'!$AE$8:$AE$107,0)))&lt;&gt;$K94,IF(INDEX('Leads'!$D$8:$D$107,MATCH($A94,'Leads'!$AE$8:$AE$107,0))="","",INDEX('Leads'!$D$8:$D$107,MATCH($A94,'Leads'!$AE$8:$AE$107,0)))&lt;&gt;$L94,IF(INDEX('Leads'!$E$8:$E$107,MATCH($A94,'Leads'!$AE$8:$AE$107,0))="","",INDEX('Leads'!$E$8:$E$107,MATCH($A94,'Leads'!$AE$8:$AE$107,0)))&lt;&gt;$M94,IF(INDEX('Leads'!$AI$8:$AI$107,MATCH($A94,'Leads'!$AE$8:$AE$107,0))="","",INDEX('Leads'!$AI$8:$AI$107,MATCH($A94,'Leads'!$AE$8:$AE$107,0)))&lt;&gt;$N94,IF(INDEX('Leads'!$AJ$8:$AJ$107,MATCH($A94,'Leads'!$AE$8:$AE$107,0))="","",INDEX('Leads'!$AJ$8:$AJ$107,MATCH($A94,'Leads'!$AE$8:$AE$107,0)))&lt;&gt;$O94,IF(INDEX('Leads'!$AK$8:$AK$107,MATCH($A94,'Leads'!$AE$8:$AE$107,0))="","",INDEX('Leads'!$AK$8:$AK$107,MATCH($A94,'Leads'!$AE$8:$AE$107,0)))&lt;&gt;$P94,IF(INDEX('Leads'!$AL$8:$AL$107,MATCH($A94,'Leads'!$AE$8:$AE$107,0))="","",INDEX('Leads'!$AL$8:$AL$107,MATCH($A94,'Leads'!$AE$8:$AE$107,0)))&lt;&gt;$Q94,IF(INDEX('Leads'!$AM$8:$AM$107,MATCH($A94,'Leads'!$AE$8:$AE$107,0))="","",INDEX('Leads'!$AM$8:$AM$107,MATCH($A94,'Leads'!$AE$8:$AE$107,0)))&lt;&gt;$R94,IF(INDEX('Leads'!$AN$8:$AN$107,MATCH($A94,'Leads'!$AE$8:$AE$107,0))="","",INDEX('Leads'!$AN$8:$AN$107,MATCH($A94,'Leads'!$AE$8:$AE$107,0)))&lt;&gt;$S94,IF(INDEX('Leads'!$AO$8:$AO$107,MATCH($A94,'Leads'!$AE$8:$AE$107,0))="","",INDEX('Leads'!$AO$8:$AO$107,MATCH($A94,'Leads'!$AE$8:$AE$107,0)))&lt;&gt;$T94,IF(INDEX('Leads'!$AP$8:$AP$107,MATCH($A94,'Leads'!$AE$8:$AE$107,0))="","",INDEX('Leads'!$AP$8:$AP$107,MATCH($A94,'Leads'!$AE$8:$AE$107,0)))&lt;&gt;$U94,IF(INDEX('Leads'!$AQ$8:$AQ$107,MATCH($A94,'Leads'!$AE$8:$AE$107,0))="","",INDEX('Leads'!$AQ$8:$AQ$107,MATCH($A94,'Leads'!$AE$8:$AE$107,0)))&lt;&gt;$V94,IF(INDEX('Leads'!$AR$8:$AR$107,MATCH($A94,'Leads'!$AE$8:$AE$107,0))="","",INDEX('Leads'!$AR$8:$AR$107,MATCH($A94,'Leads'!$AE$8:$AE$107,0)))&lt;&gt;$W94,IF(INDEX('Leads'!$AS$8:$AS$107,MATCH($A94,'Leads'!$AE$8:$AE$107,0))="","",INDEX('Leads'!$AS$8:$AS$107,MATCH($A94,'Leads'!$AE$8:$AE$107,0)))&lt;&gt;$X94,IF(INDEX('Leads'!$AT$8:$AT$107,MATCH($A94,'Leads'!$AE$8:$AE$107,0))="","",INDEX('Leads'!$AT$8:$AT$107,MATCH($A94,'Leads'!$AE$8:$AE$107,0)))&lt;&gt;$Y94),"ข้อมูลรับเข้าต่าง — ตรวจเอง","ตรงกัน — ห้ามนำเข้าซ้ำ"),"ตรวจ Lead ID เดิม")))</x:f>
      </x:c>
    </x:row>
    <x:row r="95" ht="30" customHeight="1">
      <x:c r="A95" s="94"/>
      <x:c r="B95" s="94"/>
      <x:c r="C95" s="86"/>
      <x:c r="D95" s="32"/>
      <x:c r="E95" s="32"/>
      <x:c r="F95" s="32"/>
      <x:c r="G95" s="32"/>
      <x:c r="H95" s="94"/>
      <x:c r="I95" s="94"/>
      <x:c r="J95" s="94"/>
      <x:c r="K95" s="32"/>
      <x:c r="L95" s="32"/>
      <x:c r="M95" s="32"/>
      <x:c r="N95" s="32"/>
      <x:c r="O95" s="88"/>
      <x:c r="P95" s="32"/>
      <x:c r="Q95" s="32"/>
      <x:c r="R95" s="32"/>
      <x:c r="S95" s="32"/>
      <x:c r="T95" s="32"/>
      <x:c r="U95" s="32"/>
      <x:c r="V95" s="94"/>
      <x:c r="W95" s="32"/>
      <x:c r="X95" s="32"/>
      <x:c r="Y95" s="32"/>
      <x:c r="Z95" s="86"/>
      <x:c r="AA95" s="42" t="str">
        <x:f>IF(AND($A95="",$B95=""),"",IF(OR($A95="",$B95=""),"CHECK_INPUT",IF(OR($Y95="test",COUNTIF('Guide_Lists'!$AR$2:$AR$4,$B95)&gt;0),"TEST_DO_NOT_IMPORT",IF(OR(COUNTIF('Import_Staging'!$A$8:$A$107,$A95)&gt;1,COUNTIF('Import_Staging'!$B$8:$B$107,$B95)&gt;1),"DUPLICATE_IN_IMPORT",IF(COUNTIF('Leads'!$AE$8:$AE$107,$A95)&gt;0,"EXISTS",IF(COUNTIF('Leads'!$A$8:$A$107,$B95)&gt;0,"CHECK_INPUT",IF(AND($Y95="production",ISNUMBER($C95)),"NEW","CHECK_INPUT")))))))</x:f>
      </x:c>
      <x:c r="AB95" s="42" t="str">
        <x:f>IF($AA95="","",IF($AA95&lt;&gt;"EXISTS","",IFERROR(IF(OR(IF(INDEX('Leads'!$A$8:$A$107,MATCH($A95,'Leads'!$AE$8:$AE$107,0))="","",INDEX('Leads'!$A$8:$A$107,MATCH($A95,'Leads'!$AE$8:$AE$107,0)))&lt;&gt;$B95,IF(INDEX('Leads'!$AF$8:$AF$107,MATCH($A95,'Leads'!$AE$8:$AE$107,0))="","",INDEX('Leads'!$AF$8:$AF$107,MATCH($A95,'Leads'!$AE$8:$AE$107,0)))&lt;&gt;$C95,IF(INDEX('Leads'!$AG$8:$AG$107,MATCH($A95,'Leads'!$AE$8:$AE$107,0))="","",INDEX('Leads'!$AG$8:$AG$107,MATCH($A95,'Leads'!$AE$8:$AE$107,0)))&lt;&gt;$D95,IF(INDEX('Leads'!$B$8:$B$107,MATCH($A95,'Leads'!$AE$8:$AE$107,0))="","",INDEX('Leads'!$B$8:$B$107,MATCH($A95,'Leads'!$AE$8:$AE$107,0)))&lt;&gt;$E95,IF(INDEX('Leads'!$C$8:$C$107,MATCH($A95,'Leads'!$AE$8:$AE$107,0))="","",INDEX('Leads'!$C$8:$C$107,MATCH($A95,'Leads'!$AE$8:$AE$107,0)))&lt;&gt;$F95,IF(INDEX('Leads'!$K$8:$K$107,MATCH($A95,'Leads'!$AE$8:$AE$107,0))="","",INDEX('Leads'!$K$8:$K$107,MATCH($A95,'Leads'!$AE$8:$AE$107,0)))&lt;&gt;$G95,IF(INDEX('Leads'!$L$8:$L$107,MATCH($A95,'Leads'!$AE$8:$AE$107,0))="","",INDEX('Leads'!$L$8:$L$107,MATCH($A95,'Leads'!$AE$8:$AE$107,0)))&lt;&gt;$H95,IF(INDEX('Leads'!$M$8:$M$107,MATCH($A95,'Leads'!$AE$8:$AE$107,0))="","",INDEX('Leads'!$M$8:$M$107,MATCH($A95,'Leads'!$AE$8:$AE$107,0)))&lt;&gt;$I95,IF(INDEX('Leads'!$N$8:$N$107,MATCH($A95,'Leads'!$AE$8:$AE$107,0))="","",INDEX('Leads'!$N$8:$N$107,MATCH($A95,'Leads'!$AE$8:$AE$107,0)))&lt;&gt;$J95,IF(INDEX('Leads'!$AH$8:$AH$107,MATCH($A95,'Leads'!$AE$8:$AE$107,0))="","",INDEX('Leads'!$AH$8:$AH$107,MATCH($A95,'Leads'!$AE$8:$AE$107,0)))&lt;&gt;$K95,IF(INDEX('Leads'!$D$8:$D$107,MATCH($A95,'Leads'!$AE$8:$AE$107,0))="","",INDEX('Leads'!$D$8:$D$107,MATCH($A95,'Leads'!$AE$8:$AE$107,0)))&lt;&gt;$L95,IF(INDEX('Leads'!$E$8:$E$107,MATCH($A95,'Leads'!$AE$8:$AE$107,0))="","",INDEX('Leads'!$E$8:$E$107,MATCH($A95,'Leads'!$AE$8:$AE$107,0)))&lt;&gt;$M95,IF(INDEX('Leads'!$AI$8:$AI$107,MATCH($A95,'Leads'!$AE$8:$AE$107,0))="","",INDEX('Leads'!$AI$8:$AI$107,MATCH($A95,'Leads'!$AE$8:$AE$107,0)))&lt;&gt;$N95,IF(INDEX('Leads'!$AJ$8:$AJ$107,MATCH($A95,'Leads'!$AE$8:$AE$107,0))="","",INDEX('Leads'!$AJ$8:$AJ$107,MATCH($A95,'Leads'!$AE$8:$AE$107,0)))&lt;&gt;$O95,IF(INDEX('Leads'!$AK$8:$AK$107,MATCH($A95,'Leads'!$AE$8:$AE$107,0))="","",INDEX('Leads'!$AK$8:$AK$107,MATCH($A95,'Leads'!$AE$8:$AE$107,0)))&lt;&gt;$P95,IF(INDEX('Leads'!$AL$8:$AL$107,MATCH($A95,'Leads'!$AE$8:$AE$107,0))="","",INDEX('Leads'!$AL$8:$AL$107,MATCH($A95,'Leads'!$AE$8:$AE$107,0)))&lt;&gt;$Q95,IF(INDEX('Leads'!$AM$8:$AM$107,MATCH($A95,'Leads'!$AE$8:$AE$107,0))="","",INDEX('Leads'!$AM$8:$AM$107,MATCH($A95,'Leads'!$AE$8:$AE$107,0)))&lt;&gt;$R95,IF(INDEX('Leads'!$AN$8:$AN$107,MATCH($A95,'Leads'!$AE$8:$AE$107,0))="","",INDEX('Leads'!$AN$8:$AN$107,MATCH($A95,'Leads'!$AE$8:$AE$107,0)))&lt;&gt;$S95,IF(INDEX('Leads'!$AO$8:$AO$107,MATCH($A95,'Leads'!$AE$8:$AE$107,0))="","",INDEX('Leads'!$AO$8:$AO$107,MATCH($A95,'Leads'!$AE$8:$AE$107,0)))&lt;&gt;$T95,IF(INDEX('Leads'!$AP$8:$AP$107,MATCH($A95,'Leads'!$AE$8:$AE$107,0))="","",INDEX('Leads'!$AP$8:$AP$107,MATCH($A95,'Leads'!$AE$8:$AE$107,0)))&lt;&gt;$U95,IF(INDEX('Leads'!$AQ$8:$AQ$107,MATCH($A95,'Leads'!$AE$8:$AE$107,0))="","",INDEX('Leads'!$AQ$8:$AQ$107,MATCH($A95,'Leads'!$AE$8:$AE$107,0)))&lt;&gt;$V95,IF(INDEX('Leads'!$AR$8:$AR$107,MATCH($A95,'Leads'!$AE$8:$AE$107,0))="","",INDEX('Leads'!$AR$8:$AR$107,MATCH($A95,'Leads'!$AE$8:$AE$107,0)))&lt;&gt;$W95,IF(INDEX('Leads'!$AS$8:$AS$107,MATCH($A95,'Leads'!$AE$8:$AE$107,0))="","",INDEX('Leads'!$AS$8:$AS$107,MATCH($A95,'Leads'!$AE$8:$AE$107,0)))&lt;&gt;$X95,IF(INDEX('Leads'!$AT$8:$AT$107,MATCH($A95,'Leads'!$AE$8:$AE$107,0))="","",INDEX('Leads'!$AT$8:$AT$107,MATCH($A95,'Leads'!$AE$8:$AE$107,0)))&lt;&gt;$Y95),"ข้อมูลรับเข้าต่าง — ตรวจเอง","ตรงกัน — ห้ามนำเข้าซ้ำ"),"ตรวจ Lead ID เดิม")))</x:f>
      </x:c>
    </x:row>
    <x:row r="96" ht="30" customHeight="1">
      <x:c r="A96" s="94"/>
      <x:c r="B96" s="94"/>
      <x:c r="C96" s="86"/>
      <x:c r="D96" s="32"/>
      <x:c r="E96" s="32"/>
      <x:c r="F96" s="32"/>
      <x:c r="G96" s="32"/>
      <x:c r="H96" s="94"/>
      <x:c r="I96" s="94"/>
      <x:c r="J96" s="94"/>
      <x:c r="K96" s="32"/>
      <x:c r="L96" s="32"/>
      <x:c r="M96" s="32"/>
      <x:c r="N96" s="32"/>
      <x:c r="O96" s="88"/>
      <x:c r="P96" s="32"/>
      <x:c r="Q96" s="32"/>
      <x:c r="R96" s="32"/>
      <x:c r="S96" s="32"/>
      <x:c r="T96" s="32"/>
      <x:c r="U96" s="32"/>
      <x:c r="V96" s="94"/>
      <x:c r="W96" s="32"/>
      <x:c r="X96" s="32"/>
      <x:c r="Y96" s="32"/>
      <x:c r="Z96" s="86"/>
      <x:c r="AA96" s="42" t="str">
        <x:f>IF(AND($A96="",$B96=""),"",IF(OR($A96="",$B96=""),"CHECK_INPUT",IF(OR($Y96="test",COUNTIF('Guide_Lists'!$AR$2:$AR$4,$B96)&gt;0),"TEST_DO_NOT_IMPORT",IF(OR(COUNTIF('Import_Staging'!$A$8:$A$107,$A96)&gt;1,COUNTIF('Import_Staging'!$B$8:$B$107,$B96)&gt;1),"DUPLICATE_IN_IMPORT",IF(COUNTIF('Leads'!$AE$8:$AE$107,$A96)&gt;0,"EXISTS",IF(COUNTIF('Leads'!$A$8:$A$107,$B96)&gt;0,"CHECK_INPUT",IF(AND($Y96="production",ISNUMBER($C96)),"NEW","CHECK_INPUT")))))))</x:f>
      </x:c>
      <x:c r="AB96" s="42" t="str">
        <x:f>IF($AA96="","",IF($AA96&lt;&gt;"EXISTS","",IFERROR(IF(OR(IF(INDEX('Leads'!$A$8:$A$107,MATCH($A96,'Leads'!$AE$8:$AE$107,0))="","",INDEX('Leads'!$A$8:$A$107,MATCH($A96,'Leads'!$AE$8:$AE$107,0)))&lt;&gt;$B96,IF(INDEX('Leads'!$AF$8:$AF$107,MATCH($A96,'Leads'!$AE$8:$AE$107,0))="","",INDEX('Leads'!$AF$8:$AF$107,MATCH($A96,'Leads'!$AE$8:$AE$107,0)))&lt;&gt;$C96,IF(INDEX('Leads'!$AG$8:$AG$107,MATCH($A96,'Leads'!$AE$8:$AE$107,0))="","",INDEX('Leads'!$AG$8:$AG$107,MATCH($A96,'Leads'!$AE$8:$AE$107,0)))&lt;&gt;$D96,IF(INDEX('Leads'!$B$8:$B$107,MATCH($A96,'Leads'!$AE$8:$AE$107,0))="","",INDEX('Leads'!$B$8:$B$107,MATCH($A96,'Leads'!$AE$8:$AE$107,0)))&lt;&gt;$E96,IF(INDEX('Leads'!$C$8:$C$107,MATCH($A96,'Leads'!$AE$8:$AE$107,0))="","",INDEX('Leads'!$C$8:$C$107,MATCH($A96,'Leads'!$AE$8:$AE$107,0)))&lt;&gt;$F96,IF(INDEX('Leads'!$K$8:$K$107,MATCH($A96,'Leads'!$AE$8:$AE$107,0))="","",INDEX('Leads'!$K$8:$K$107,MATCH($A96,'Leads'!$AE$8:$AE$107,0)))&lt;&gt;$G96,IF(INDEX('Leads'!$L$8:$L$107,MATCH($A96,'Leads'!$AE$8:$AE$107,0))="","",INDEX('Leads'!$L$8:$L$107,MATCH($A96,'Leads'!$AE$8:$AE$107,0)))&lt;&gt;$H96,IF(INDEX('Leads'!$M$8:$M$107,MATCH($A96,'Leads'!$AE$8:$AE$107,0))="","",INDEX('Leads'!$M$8:$M$107,MATCH($A96,'Leads'!$AE$8:$AE$107,0)))&lt;&gt;$I96,IF(INDEX('Leads'!$N$8:$N$107,MATCH($A96,'Leads'!$AE$8:$AE$107,0))="","",INDEX('Leads'!$N$8:$N$107,MATCH($A96,'Leads'!$AE$8:$AE$107,0)))&lt;&gt;$J96,IF(INDEX('Leads'!$AH$8:$AH$107,MATCH($A96,'Leads'!$AE$8:$AE$107,0))="","",INDEX('Leads'!$AH$8:$AH$107,MATCH($A96,'Leads'!$AE$8:$AE$107,0)))&lt;&gt;$K96,IF(INDEX('Leads'!$D$8:$D$107,MATCH($A96,'Leads'!$AE$8:$AE$107,0))="","",INDEX('Leads'!$D$8:$D$107,MATCH($A96,'Leads'!$AE$8:$AE$107,0)))&lt;&gt;$L96,IF(INDEX('Leads'!$E$8:$E$107,MATCH($A96,'Leads'!$AE$8:$AE$107,0))="","",INDEX('Leads'!$E$8:$E$107,MATCH($A96,'Leads'!$AE$8:$AE$107,0)))&lt;&gt;$M96,IF(INDEX('Leads'!$AI$8:$AI$107,MATCH($A96,'Leads'!$AE$8:$AE$107,0))="","",INDEX('Leads'!$AI$8:$AI$107,MATCH($A96,'Leads'!$AE$8:$AE$107,0)))&lt;&gt;$N96,IF(INDEX('Leads'!$AJ$8:$AJ$107,MATCH($A96,'Leads'!$AE$8:$AE$107,0))="","",INDEX('Leads'!$AJ$8:$AJ$107,MATCH($A96,'Leads'!$AE$8:$AE$107,0)))&lt;&gt;$O96,IF(INDEX('Leads'!$AK$8:$AK$107,MATCH($A96,'Leads'!$AE$8:$AE$107,0))="","",INDEX('Leads'!$AK$8:$AK$107,MATCH($A96,'Leads'!$AE$8:$AE$107,0)))&lt;&gt;$P96,IF(INDEX('Leads'!$AL$8:$AL$107,MATCH($A96,'Leads'!$AE$8:$AE$107,0))="","",INDEX('Leads'!$AL$8:$AL$107,MATCH($A96,'Leads'!$AE$8:$AE$107,0)))&lt;&gt;$Q96,IF(INDEX('Leads'!$AM$8:$AM$107,MATCH($A96,'Leads'!$AE$8:$AE$107,0))="","",INDEX('Leads'!$AM$8:$AM$107,MATCH($A96,'Leads'!$AE$8:$AE$107,0)))&lt;&gt;$R96,IF(INDEX('Leads'!$AN$8:$AN$107,MATCH($A96,'Leads'!$AE$8:$AE$107,0))="","",INDEX('Leads'!$AN$8:$AN$107,MATCH($A96,'Leads'!$AE$8:$AE$107,0)))&lt;&gt;$S96,IF(INDEX('Leads'!$AO$8:$AO$107,MATCH($A96,'Leads'!$AE$8:$AE$107,0))="","",INDEX('Leads'!$AO$8:$AO$107,MATCH($A96,'Leads'!$AE$8:$AE$107,0)))&lt;&gt;$T96,IF(INDEX('Leads'!$AP$8:$AP$107,MATCH($A96,'Leads'!$AE$8:$AE$107,0))="","",INDEX('Leads'!$AP$8:$AP$107,MATCH($A96,'Leads'!$AE$8:$AE$107,0)))&lt;&gt;$U96,IF(INDEX('Leads'!$AQ$8:$AQ$107,MATCH($A96,'Leads'!$AE$8:$AE$107,0))="","",INDEX('Leads'!$AQ$8:$AQ$107,MATCH($A96,'Leads'!$AE$8:$AE$107,0)))&lt;&gt;$V96,IF(INDEX('Leads'!$AR$8:$AR$107,MATCH($A96,'Leads'!$AE$8:$AE$107,0))="","",INDEX('Leads'!$AR$8:$AR$107,MATCH($A96,'Leads'!$AE$8:$AE$107,0)))&lt;&gt;$W96,IF(INDEX('Leads'!$AS$8:$AS$107,MATCH($A96,'Leads'!$AE$8:$AE$107,0))="","",INDEX('Leads'!$AS$8:$AS$107,MATCH($A96,'Leads'!$AE$8:$AE$107,0)))&lt;&gt;$X96,IF(INDEX('Leads'!$AT$8:$AT$107,MATCH($A96,'Leads'!$AE$8:$AE$107,0))="","",INDEX('Leads'!$AT$8:$AT$107,MATCH($A96,'Leads'!$AE$8:$AE$107,0)))&lt;&gt;$Y96),"ข้อมูลรับเข้าต่าง — ตรวจเอง","ตรงกัน — ห้ามนำเข้าซ้ำ"),"ตรวจ Lead ID เดิม")))</x:f>
      </x:c>
    </x:row>
    <x:row r="97" ht="30" customHeight="1">
      <x:c r="A97" s="94"/>
      <x:c r="B97" s="94"/>
      <x:c r="C97" s="86"/>
      <x:c r="D97" s="32"/>
      <x:c r="E97" s="32"/>
      <x:c r="F97" s="32"/>
      <x:c r="G97" s="32"/>
      <x:c r="H97" s="94"/>
      <x:c r="I97" s="94"/>
      <x:c r="J97" s="94"/>
      <x:c r="K97" s="32"/>
      <x:c r="L97" s="32"/>
      <x:c r="M97" s="32"/>
      <x:c r="N97" s="32"/>
      <x:c r="O97" s="88"/>
      <x:c r="P97" s="32"/>
      <x:c r="Q97" s="32"/>
      <x:c r="R97" s="32"/>
      <x:c r="S97" s="32"/>
      <x:c r="T97" s="32"/>
      <x:c r="U97" s="32"/>
      <x:c r="V97" s="94"/>
      <x:c r="W97" s="32"/>
      <x:c r="X97" s="32"/>
      <x:c r="Y97" s="32"/>
      <x:c r="Z97" s="86"/>
      <x:c r="AA97" s="42" t="str">
        <x:f>IF(AND($A97="",$B97=""),"",IF(OR($A97="",$B97=""),"CHECK_INPUT",IF(OR($Y97="test",COUNTIF('Guide_Lists'!$AR$2:$AR$4,$B97)&gt;0),"TEST_DO_NOT_IMPORT",IF(OR(COUNTIF('Import_Staging'!$A$8:$A$107,$A97)&gt;1,COUNTIF('Import_Staging'!$B$8:$B$107,$B97)&gt;1),"DUPLICATE_IN_IMPORT",IF(COUNTIF('Leads'!$AE$8:$AE$107,$A97)&gt;0,"EXISTS",IF(COUNTIF('Leads'!$A$8:$A$107,$B97)&gt;0,"CHECK_INPUT",IF(AND($Y97="production",ISNUMBER($C97)),"NEW","CHECK_INPUT")))))))</x:f>
      </x:c>
      <x:c r="AB97" s="42" t="str">
        <x:f>IF($AA97="","",IF($AA97&lt;&gt;"EXISTS","",IFERROR(IF(OR(IF(INDEX('Leads'!$A$8:$A$107,MATCH($A97,'Leads'!$AE$8:$AE$107,0))="","",INDEX('Leads'!$A$8:$A$107,MATCH($A97,'Leads'!$AE$8:$AE$107,0)))&lt;&gt;$B97,IF(INDEX('Leads'!$AF$8:$AF$107,MATCH($A97,'Leads'!$AE$8:$AE$107,0))="","",INDEX('Leads'!$AF$8:$AF$107,MATCH($A97,'Leads'!$AE$8:$AE$107,0)))&lt;&gt;$C97,IF(INDEX('Leads'!$AG$8:$AG$107,MATCH($A97,'Leads'!$AE$8:$AE$107,0))="","",INDEX('Leads'!$AG$8:$AG$107,MATCH($A97,'Leads'!$AE$8:$AE$107,0)))&lt;&gt;$D97,IF(INDEX('Leads'!$B$8:$B$107,MATCH($A97,'Leads'!$AE$8:$AE$107,0))="","",INDEX('Leads'!$B$8:$B$107,MATCH($A97,'Leads'!$AE$8:$AE$107,0)))&lt;&gt;$E97,IF(INDEX('Leads'!$C$8:$C$107,MATCH($A97,'Leads'!$AE$8:$AE$107,0))="","",INDEX('Leads'!$C$8:$C$107,MATCH($A97,'Leads'!$AE$8:$AE$107,0)))&lt;&gt;$F97,IF(INDEX('Leads'!$K$8:$K$107,MATCH($A97,'Leads'!$AE$8:$AE$107,0))="","",INDEX('Leads'!$K$8:$K$107,MATCH($A97,'Leads'!$AE$8:$AE$107,0)))&lt;&gt;$G97,IF(INDEX('Leads'!$L$8:$L$107,MATCH($A97,'Leads'!$AE$8:$AE$107,0))="","",INDEX('Leads'!$L$8:$L$107,MATCH($A97,'Leads'!$AE$8:$AE$107,0)))&lt;&gt;$H97,IF(INDEX('Leads'!$M$8:$M$107,MATCH($A97,'Leads'!$AE$8:$AE$107,0))="","",INDEX('Leads'!$M$8:$M$107,MATCH($A97,'Leads'!$AE$8:$AE$107,0)))&lt;&gt;$I97,IF(INDEX('Leads'!$N$8:$N$107,MATCH($A97,'Leads'!$AE$8:$AE$107,0))="","",INDEX('Leads'!$N$8:$N$107,MATCH($A97,'Leads'!$AE$8:$AE$107,0)))&lt;&gt;$J97,IF(INDEX('Leads'!$AH$8:$AH$107,MATCH($A97,'Leads'!$AE$8:$AE$107,0))="","",INDEX('Leads'!$AH$8:$AH$107,MATCH($A97,'Leads'!$AE$8:$AE$107,0)))&lt;&gt;$K97,IF(INDEX('Leads'!$D$8:$D$107,MATCH($A97,'Leads'!$AE$8:$AE$107,0))="","",INDEX('Leads'!$D$8:$D$107,MATCH($A97,'Leads'!$AE$8:$AE$107,0)))&lt;&gt;$L97,IF(INDEX('Leads'!$E$8:$E$107,MATCH($A97,'Leads'!$AE$8:$AE$107,0))="","",INDEX('Leads'!$E$8:$E$107,MATCH($A97,'Leads'!$AE$8:$AE$107,0)))&lt;&gt;$M97,IF(INDEX('Leads'!$AI$8:$AI$107,MATCH($A97,'Leads'!$AE$8:$AE$107,0))="","",INDEX('Leads'!$AI$8:$AI$107,MATCH($A97,'Leads'!$AE$8:$AE$107,0)))&lt;&gt;$N97,IF(INDEX('Leads'!$AJ$8:$AJ$107,MATCH($A97,'Leads'!$AE$8:$AE$107,0))="","",INDEX('Leads'!$AJ$8:$AJ$107,MATCH($A97,'Leads'!$AE$8:$AE$107,0)))&lt;&gt;$O97,IF(INDEX('Leads'!$AK$8:$AK$107,MATCH($A97,'Leads'!$AE$8:$AE$107,0))="","",INDEX('Leads'!$AK$8:$AK$107,MATCH($A97,'Leads'!$AE$8:$AE$107,0)))&lt;&gt;$P97,IF(INDEX('Leads'!$AL$8:$AL$107,MATCH($A97,'Leads'!$AE$8:$AE$107,0))="","",INDEX('Leads'!$AL$8:$AL$107,MATCH($A97,'Leads'!$AE$8:$AE$107,0)))&lt;&gt;$Q97,IF(INDEX('Leads'!$AM$8:$AM$107,MATCH($A97,'Leads'!$AE$8:$AE$107,0))="","",INDEX('Leads'!$AM$8:$AM$107,MATCH($A97,'Leads'!$AE$8:$AE$107,0)))&lt;&gt;$R97,IF(INDEX('Leads'!$AN$8:$AN$107,MATCH($A97,'Leads'!$AE$8:$AE$107,0))="","",INDEX('Leads'!$AN$8:$AN$107,MATCH($A97,'Leads'!$AE$8:$AE$107,0)))&lt;&gt;$S97,IF(INDEX('Leads'!$AO$8:$AO$107,MATCH($A97,'Leads'!$AE$8:$AE$107,0))="","",INDEX('Leads'!$AO$8:$AO$107,MATCH($A97,'Leads'!$AE$8:$AE$107,0)))&lt;&gt;$T97,IF(INDEX('Leads'!$AP$8:$AP$107,MATCH($A97,'Leads'!$AE$8:$AE$107,0))="","",INDEX('Leads'!$AP$8:$AP$107,MATCH($A97,'Leads'!$AE$8:$AE$107,0)))&lt;&gt;$U97,IF(INDEX('Leads'!$AQ$8:$AQ$107,MATCH($A97,'Leads'!$AE$8:$AE$107,0))="","",INDEX('Leads'!$AQ$8:$AQ$107,MATCH($A97,'Leads'!$AE$8:$AE$107,0)))&lt;&gt;$V97,IF(INDEX('Leads'!$AR$8:$AR$107,MATCH($A97,'Leads'!$AE$8:$AE$107,0))="","",INDEX('Leads'!$AR$8:$AR$107,MATCH($A97,'Leads'!$AE$8:$AE$107,0)))&lt;&gt;$W97,IF(INDEX('Leads'!$AS$8:$AS$107,MATCH($A97,'Leads'!$AE$8:$AE$107,0))="","",INDEX('Leads'!$AS$8:$AS$107,MATCH($A97,'Leads'!$AE$8:$AE$107,0)))&lt;&gt;$X97,IF(INDEX('Leads'!$AT$8:$AT$107,MATCH($A97,'Leads'!$AE$8:$AE$107,0))="","",INDEX('Leads'!$AT$8:$AT$107,MATCH($A97,'Leads'!$AE$8:$AE$107,0)))&lt;&gt;$Y97),"ข้อมูลรับเข้าต่าง — ตรวจเอง","ตรงกัน — ห้ามนำเข้าซ้ำ"),"ตรวจ Lead ID เดิม")))</x:f>
      </x:c>
    </x:row>
    <x:row r="98" ht="30" customHeight="1">
      <x:c r="A98" s="94"/>
      <x:c r="B98" s="94"/>
      <x:c r="C98" s="86"/>
      <x:c r="D98" s="32"/>
      <x:c r="E98" s="32"/>
      <x:c r="F98" s="32"/>
      <x:c r="G98" s="32"/>
      <x:c r="H98" s="94"/>
      <x:c r="I98" s="94"/>
      <x:c r="J98" s="94"/>
      <x:c r="K98" s="32"/>
      <x:c r="L98" s="32"/>
      <x:c r="M98" s="32"/>
      <x:c r="N98" s="32"/>
      <x:c r="O98" s="88"/>
      <x:c r="P98" s="32"/>
      <x:c r="Q98" s="32"/>
      <x:c r="R98" s="32"/>
      <x:c r="S98" s="32"/>
      <x:c r="T98" s="32"/>
      <x:c r="U98" s="32"/>
      <x:c r="V98" s="94"/>
      <x:c r="W98" s="32"/>
      <x:c r="X98" s="32"/>
      <x:c r="Y98" s="32"/>
      <x:c r="Z98" s="86"/>
      <x:c r="AA98" s="42" t="str">
        <x:f>IF(AND($A98="",$B98=""),"",IF(OR($A98="",$B98=""),"CHECK_INPUT",IF(OR($Y98="test",COUNTIF('Guide_Lists'!$AR$2:$AR$4,$B98)&gt;0),"TEST_DO_NOT_IMPORT",IF(OR(COUNTIF('Import_Staging'!$A$8:$A$107,$A98)&gt;1,COUNTIF('Import_Staging'!$B$8:$B$107,$B98)&gt;1),"DUPLICATE_IN_IMPORT",IF(COUNTIF('Leads'!$AE$8:$AE$107,$A98)&gt;0,"EXISTS",IF(COUNTIF('Leads'!$A$8:$A$107,$B98)&gt;0,"CHECK_INPUT",IF(AND($Y98="production",ISNUMBER($C98)),"NEW","CHECK_INPUT")))))))</x:f>
      </x:c>
      <x:c r="AB98" s="42" t="str">
        <x:f>IF($AA98="","",IF($AA98&lt;&gt;"EXISTS","",IFERROR(IF(OR(IF(INDEX('Leads'!$A$8:$A$107,MATCH($A98,'Leads'!$AE$8:$AE$107,0))="","",INDEX('Leads'!$A$8:$A$107,MATCH($A98,'Leads'!$AE$8:$AE$107,0)))&lt;&gt;$B98,IF(INDEX('Leads'!$AF$8:$AF$107,MATCH($A98,'Leads'!$AE$8:$AE$107,0))="","",INDEX('Leads'!$AF$8:$AF$107,MATCH($A98,'Leads'!$AE$8:$AE$107,0)))&lt;&gt;$C98,IF(INDEX('Leads'!$AG$8:$AG$107,MATCH($A98,'Leads'!$AE$8:$AE$107,0))="","",INDEX('Leads'!$AG$8:$AG$107,MATCH($A98,'Leads'!$AE$8:$AE$107,0)))&lt;&gt;$D98,IF(INDEX('Leads'!$B$8:$B$107,MATCH($A98,'Leads'!$AE$8:$AE$107,0))="","",INDEX('Leads'!$B$8:$B$107,MATCH($A98,'Leads'!$AE$8:$AE$107,0)))&lt;&gt;$E98,IF(INDEX('Leads'!$C$8:$C$107,MATCH($A98,'Leads'!$AE$8:$AE$107,0))="","",INDEX('Leads'!$C$8:$C$107,MATCH($A98,'Leads'!$AE$8:$AE$107,0)))&lt;&gt;$F98,IF(INDEX('Leads'!$K$8:$K$107,MATCH($A98,'Leads'!$AE$8:$AE$107,0))="","",INDEX('Leads'!$K$8:$K$107,MATCH($A98,'Leads'!$AE$8:$AE$107,0)))&lt;&gt;$G98,IF(INDEX('Leads'!$L$8:$L$107,MATCH($A98,'Leads'!$AE$8:$AE$107,0))="","",INDEX('Leads'!$L$8:$L$107,MATCH($A98,'Leads'!$AE$8:$AE$107,0)))&lt;&gt;$H98,IF(INDEX('Leads'!$M$8:$M$107,MATCH($A98,'Leads'!$AE$8:$AE$107,0))="","",INDEX('Leads'!$M$8:$M$107,MATCH($A98,'Leads'!$AE$8:$AE$107,0)))&lt;&gt;$I98,IF(INDEX('Leads'!$N$8:$N$107,MATCH($A98,'Leads'!$AE$8:$AE$107,0))="","",INDEX('Leads'!$N$8:$N$107,MATCH($A98,'Leads'!$AE$8:$AE$107,0)))&lt;&gt;$J98,IF(INDEX('Leads'!$AH$8:$AH$107,MATCH($A98,'Leads'!$AE$8:$AE$107,0))="","",INDEX('Leads'!$AH$8:$AH$107,MATCH($A98,'Leads'!$AE$8:$AE$107,0)))&lt;&gt;$K98,IF(INDEX('Leads'!$D$8:$D$107,MATCH($A98,'Leads'!$AE$8:$AE$107,0))="","",INDEX('Leads'!$D$8:$D$107,MATCH($A98,'Leads'!$AE$8:$AE$107,0)))&lt;&gt;$L98,IF(INDEX('Leads'!$E$8:$E$107,MATCH($A98,'Leads'!$AE$8:$AE$107,0))="","",INDEX('Leads'!$E$8:$E$107,MATCH($A98,'Leads'!$AE$8:$AE$107,0)))&lt;&gt;$M98,IF(INDEX('Leads'!$AI$8:$AI$107,MATCH($A98,'Leads'!$AE$8:$AE$107,0))="","",INDEX('Leads'!$AI$8:$AI$107,MATCH($A98,'Leads'!$AE$8:$AE$107,0)))&lt;&gt;$N98,IF(INDEX('Leads'!$AJ$8:$AJ$107,MATCH($A98,'Leads'!$AE$8:$AE$107,0))="","",INDEX('Leads'!$AJ$8:$AJ$107,MATCH($A98,'Leads'!$AE$8:$AE$107,0)))&lt;&gt;$O98,IF(INDEX('Leads'!$AK$8:$AK$107,MATCH($A98,'Leads'!$AE$8:$AE$107,0))="","",INDEX('Leads'!$AK$8:$AK$107,MATCH($A98,'Leads'!$AE$8:$AE$107,0)))&lt;&gt;$P98,IF(INDEX('Leads'!$AL$8:$AL$107,MATCH($A98,'Leads'!$AE$8:$AE$107,0))="","",INDEX('Leads'!$AL$8:$AL$107,MATCH($A98,'Leads'!$AE$8:$AE$107,0)))&lt;&gt;$Q98,IF(INDEX('Leads'!$AM$8:$AM$107,MATCH($A98,'Leads'!$AE$8:$AE$107,0))="","",INDEX('Leads'!$AM$8:$AM$107,MATCH($A98,'Leads'!$AE$8:$AE$107,0)))&lt;&gt;$R98,IF(INDEX('Leads'!$AN$8:$AN$107,MATCH($A98,'Leads'!$AE$8:$AE$107,0))="","",INDEX('Leads'!$AN$8:$AN$107,MATCH($A98,'Leads'!$AE$8:$AE$107,0)))&lt;&gt;$S98,IF(INDEX('Leads'!$AO$8:$AO$107,MATCH($A98,'Leads'!$AE$8:$AE$107,0))="","",INDEX('Leads'!$AO$8:$AO$107,MATCH($A98,'Leads'!$AE$8:$AE$107,0)))&lt;&gt;$T98,IF(INDEX('Leads'!$AP$8:$AP$107,MATCH($A98,'Leads'!$AE$8:$AE$107,0))="","",INDEX('Leads'!$AP$8:$AP$107,MATCH($A98,'Leads'!$AE$8:$AE$107,0)))&lt;&gt;$U98,IF(INDEX('Leads'!$AQ$8:$AQ$107,MATCH($A98,'Leads'!$AE$8:$AE$107,0))="","",INDEX('Leads'!$AQ$8:$AQ$107,MATCH($A98,'Leads'!$AE$8:$AE$107,0)))&lt;&gt;$V98,IF(INDEX('Leads'!$AR$8:$AR$107,MATCH($A98,'Leads'!$AE$8:$AE$107,0))="","",INDEX('Leads'!$AR$8:$AR$107,MATCH($A98,'Leads'!$AE$8:$AE$107,0)))&lt;&gt;$W98,IF(INDEX('Leads'!$AS$8:$AS$107,MATCH($A98,'Leads'!$AE$8:$AE$107,0))="","",INDEX('Leads'!$AS$8:$AS$107,MATCH($A98,'Leads'!$AE$8:$AE$107,0)))&lt;&gt;$X98,IF(INDEX('Leads'!$AT$8:$AT$107,MATCH($A98,'Leads'!$AE$8:$AE$107,0))="","",INDEX('Leads'!$AT$8:$AT$107,MATCH($A98,'Leads'!$AE$8:$AE$107,0)))&lt;&gt;$Y98),"ข้อมูลรับเข้าต่าง — ตรวจเอง","ตรงกัน — ห้ามนำเข้าซ้ำ"),"ตรวจ Lead ID เดิม")))</x:f>
      </x:c>
    </x:row>
    <x:row r="99" ht="30" customHeight="1">
      <x:c r="A99" s="94"/>
      <x:c r="B99" s="94"/>
      <x:c r="C99" s="86"/>
      <x:c r="D99" s="32"/>
      <x:c r="E99" s="32"/>
      <x:c r="F99" s="32"/>
      <x:c r="G99" s="32"/>
      <x:c r="H99" s="94"/>
      <x:c r="I99" s="94"/>
      <x:c r="J99" s="94"/>
      <x:c r="K99" s="32"/>
      <x:c r="L99" s="32"/>
      <x:c r="M99" s="32"/>
      <x:c r="N99" s="32"/>
      <x:c r="O99" s="88"/>
      <x:c r="P99" s="32"/>
      <x:c r="Q99" s="32"/>
      <x:c r="R99" s="32"/>
      <x:c r="S99" s="32"/>
      <x:c r="T99" s="32"/>
      <x:c r="U99" s="32"/>
      <x:c r="V99" s="94"/>
      <x:c r="W99" s="32"/>
      <x:c r="X99" s="32"/>
      <x:c r="Y99" s="32"/>
      <x:c r="Z99" s="86"/>
      <x:c r="AA99" s="42" t="str">
        <x:f>IF(AND($A99="",$B99=""),"",IF(OR($A99="",$B99=""),"CHECK_INPUT",IF(OR($Y99="test",COUNTIF('Guide_Lists'!$AR$2:$AR$4,$B99)&gt;0),"TEST_DO_NOT_IMPORT",IF(OR(COUNTIF('Import_Staging'!$A$8:$A$107,$A99)&gt;1,COUNTIF('Import_Staging'!$B$8:$B$107,$B99)&gt;1),"DUPLICATE_IN_IMPORT",IF(COUNTIF('Leads'!$AE$8:$AE$107,$A99)&gt;0,"EXISTS",IF(COUNTIF('Leads'!$A$8:$A$107,$B99)&gt;0,"CHECK_INPUT",IF(AND($Y99="production",ISNUMBER($C99)),"NEW","CHECK_INPUT")))))))</x:f>
      </x:c>
      <x:c r="AB99" s="42" t="str">
        <x:f>IF($AA99="","",IF($AA99&lt;&gt;"EXISTS","",IFERROR(IF(OR(IF(INDEX('Leads'!$A$8:$A$107,MATCH($A99,'Leads'!$AE$8:$AE$107,0))="","",INDEX('Leads'!$A$8:$A$107,MATCH($A99,'Leads'!$AE$8:$AE$107,0)))&lt;&gt;$B99,IF(INDEX('Leads'!$AF$8:$AF$107,MATCH($A99,'Leads'!$AE$8:$AE$107,0))="","",INDEX('Leads'!$AF$8:$AF$107,MATCH($A99,'Leads'!$AE$8:$AE$107,0)))&lt;&gt;$C99,IF(INDEX('Leads'!$AG$8:$AG$107,MATCH($A99,'Leads'!$AE$8:$AE$107,0))="","",INDEX('Leads'!$AG$8:$AG$107,MATCH($A99,'Leads'!$AE$8:$AE$107,0)))&lt;&gt;$D99,IF(INDEX('Leads'!$B$8:$B$107,MATCH($A99,'Leads'!$AE$8:$AE$107,0))="","",INDEX('Leads'!$B$8:$B$107,MATCH($A99,'Leads'!$AE$8:$AE$107,0)))&lt;&gt;$E99,IF(INDEX('Leads'!$C$8:$C$107,MATCH($A99,'Leads'!$AE$8:$AE$107,0))="","",INDEX('Leads'!$C$8:$C$107,MATCH($A99,'Leads'!$AE$8:$AE$107,0)))&lt;&gt;$F99,IF(INDEX('Leads'!$K$8:$K$107,MATCH($A99,'Leads'!$AE$8:$AE$107,0))="","",INDEX('Leads'!$K$8:$K$107,MATCH($A99,'Leads'!$AE$8:$AE$107,0)))&lt;&gt;$G99,IF(INDEX('Leads'!$L$8:$L$107,MATCH($A99,'Leads'!$AE$8:$AE$107,0))="","",INDEX('Leads'!$L$8:$L$107,MATCH($A99,'Leads'!$AE$8:$AE$107,0)))&lt;&gt;$H99,IF(INDEX('Leads'!$M$8:$M$107,MATCH($A99,'Leads'!$AE$8:$AE$107,0))="","",INDEX('Leads'!$M$8:$M$107,MATCH($A99,'Leads'!$AE$8:$AE$107,0)))&lt;&gt;$I99,IF(INDEX('Leads'!$N$8:$N$107,MATCH($A99,'Leads'!$AE$8:$AE$107,0))="","",INDEX('Leads'!$N$8:$N$107,MATCH($A99,'Leads'!$AE$8:$AE$107,0)))&lt;&gt;$J99,IF(INDEX('Leads'!$AH$8:$AH$107,MATCH($A99,'Leads'!$AE$8:$AE$107,0))="","",INDEX('Leads'!$AH$8:$AH$107,MATCH($A99,'Leads'!$AE$8:$AE$107,0)))&lt;&gt;$K99,IF(INDEX('Leads'!$D$8:$D$107,MATCH($A99,'Leads'!$AE$8:$AE$107,0))="","",INDEX('Leads'!$D$8:$D$107,MATCH($A99,'Leads'!$AE$8:$AE$107,0)))&lt;&gt;$L99,IF(INDEX('Leads'!$E$8:$E$107,MATCH($A99,'Leads'!$AE$8:$AE$107,0))="","",INDEX('Leads'!$E$8:$E$107,MATCH($A99,'Leads'!$AE$8:$AE$107,0)))&lt;&gt;$M99,IF(INDEX('Leads'!$AI$8:$AI$107,MATCH($A99,'Leads'!$AE$8:$AE$107,0))="","",INDEX('Leads'!$AI$8:$AI$107,MATCH($A99,'Leads'!$AE$8:$AE$107,0)))&lt;&gt;$N99,IF(INDEX('Leads'!$AJ$8:$AJ$107,MATCH($A99,'Leads'!$AE$8:$AE$107,0))="","",INDEX('Leads'!$AJ$8:$AJ$107,MATCH($A99,'Leads'!$AE$8:$AE$107,0)))&lt;&gt;$O99,IF(INDEX('Leads'!$AK$8:$AK$107,MATCH($A99,'Leads'!$AE$8:$AE$107,0))="","",INDEX('Leads'!$AK$8:$AK$107,MATCH($A99,'Leads'!$AE$8:$AE$107,0)))&lt;&gt;$P99,IF(INDEX('Leads'!$AL$8:$AL$107,MATCH($A99,'Leads'!$AE$8:$AE$107,0))="","",INDEX('Leads'!$AL$8:$AL$107,MATCH($A99,'Leads'!$AE$8:$AE$107,0)))&lt;&gt;$Q99,IF(INDEX('Leads'!$AM$8:$AM$107,MATCH($A99,'Leads'!$AE$8:$AE$107,0))="","",INDEX('Leads'!$AM$8:$AM$107,MATCH($A99,'Leads'!$AE$8:$AE$107,0)))&lt;&gt;$R99,IF(INDEX('Leads'!$AN$8:$AN$107,MATCH($A99,'Leads'!$AE$8:$AE$107,0))="","",INDEX('Leads'!$AN$8:$AN$107,MATCH($A99,'Leads'!$AE$8:$AE$107,0)))&lt;&gt;$S99,IF(INDEX('Leads'!$AO$8:$AO$107,MATCH($A99,'Leads'!$AE$8:$AE$107,0))="","",INDEX('Leads'!$AO$8:$AO$107,MATCH($A99,'Leads'!$AE$8:$AE$107,0)))&lt;&gt;$T99,IF(INDEX('Leads'!$AP$8:$AP$107,MATCH($A99,'Leads'!$AE$8:$AE$107,0))="","",INDEX('Leads'!$AP$8:$AP$107,MATCH($A99,'Leads'!$AE$8:$AE$107,0)))&lt;&gt;$U99,IF(INDEX('Leads'!$AQ$8:$AQ$107,MATCH($A99,'Leads'!$AE$8:$AE$107,0))="","",INDEX('Leads'!$AQ$8:$AQ$107,MATCH($A99,'Leads'!$AE$8:$AE$107,0)))&lt;&gt;$V99,IF(INDEX('Leads'!$AR$8:$AR$107,MATCH($A99,'Leads'!$AE$8:$AE$107,0))="","",INDEX('Leads'!$AR$8:$AR$107,MATCH($A99,'Leads'!$AE$8:$AE$107,0)))&lt;&gt;$W99,IF(INDEX('Leads'!$AS$8:$AS$107,MATCH($A99,'Leads'!$AE$8:$AE$107,0))="","",INDEX('Leads'!$AS$8:$AS$107,MATCH($A99,'Leads'!$AE$8:$AE$107,0)))&lt;&gt;$X99,IF(INDEX('Leads'!$AT$8:$AT$107,MATCH($A99,'Leads'!$AE$8:$AE$107,0))="","",INDEX('Leads'!$AT$8:$AT$107,MATCH($A99,'Leads'!$AE$8:$AE$107,0)))&lt;&gt;$Y99),"ข้อมูลรับเข้าต่าง — ตรวจเอง","ตรงกัน — ห้ามนำเข้าซ้ำ"),"ตรวจ Lead ID เดิม")))</x:f>
      </x:c>
    </x:row>
    <x:row r="100" ht="30" customHeight="1">
      <x:c r="A100" s="94"/>
      <x:c r="B100" s="94"/>
      <x:c r="C100" s="86"/>
      <x:c r="D100" s="32"/>
      <x:c r="E100" s="32"/>
      <x:c r="F100" s="32"/>
      <x:c r="G100" s="32"/>
      <x:c r="H100" s="94"/>
      <x:c r="I100" s="94"/>
      <x:c r="J100" s="94"/>
      <x:c r="K100" s="32"/>
      <x:c r="L100" s="32"/>
      <x:c r="M100" s="32"/>
      <x:c r="N100" s="32"/>
      <x:c r="O100" s="88"/>
      <x:c r="P100" s="32"/>
      <x:c r="Q100" s="32"/>
      <x:c r="R100" s="32"/>
      <x:c r="S100" s="32"/>
      <x:c r="T100" s="32"/>
      <x:c r="U100" s="32"/>
      <x:c r="V100" s="94"/>
      <x:c r="W100" s="32"/>
      <x:c r="X100" s="32"/>
      <x:c r="Y100" s="32"/>
      <x:c r="Z100" s="86"/>
      <x:c r="AA100" s="42" t="str">
        <x:f>IF(AND($A100="",$B100=""),"",IF(OR($A100="",$B100=""),"CHECK_INPUT",IF(OR($Y100="test",COUNTIF('Guide_Lists'!$AR$2:$AR$4,$B100)&gt;0),"TEST_DO_NOT_IMPORT",IF(OR(COUNTIF('Import_Staging'!$A$8:$A$107,$A100)&gt;1,COUNTIF('Import_Staging'!$B$8:$B$107,$B100)&gt;1),"DUPLICATE_IN_IMPORT",IF(COUNTIF('Leads'!$AE$8:$AE$107,$A100)&gt;0,"EXISTS",IF(COUNTIF('Leads'!$A$8:$A$107,$B100)&gt;0,"CHECK_INPUT",IF(AND($Y100="production",ISNUMBER($C100)),"NEW","CHECK_INPUT")))))))</x:f>
      </x:c>
      <x:c r="AB100" s="42" t="str">
        <x:f>IF($AA100="","",IF($AA100&lt;&gt;"EXISTS","",IFERROR(IF(OR(IF(INDEX('Leads'!$A$8:$A$107,MATCH($A100,'Leads'!$AE$8:$AE$107,0))="","",INDEX('Leads'!$A$8:$A$107,MATCH($A100,'Leads'!$AE$8:$AE$107,0)))&lt;&gt;$B100,IF(INDEX('Leads'!$AF$8:$AF$107,MATCH($A100,'Leads'!$AE$8:$AE$107,0))="","",INDEX('Leads'!$AF$8:$AF$107,MATCH($A100,'Leads'!$AE$8:$AE$107,0)))&lt;&gt;$C100,IF(INDEX('Leads'!$AG$8:$AG$107,MATCH($A100,'Leads'!$AE$8:$AE$107,0))="","",INDEX('Leads'!$AG$8:$AG$107,MATCH($A100,'Leads'!$AE$8:$AE$107,0)))&lt;&gt;$D100,IF(INDEX('Leads'!$B$8:$B$107,MATCH($A100,'Leads'!$AE$8:$AE$107,0))="","",INDEX('Leads'!$B$8:$B$107,MATCH($A100,'Leads'!$AE$8:$AE$107,0)))&lt;&gt;$E100,IF(INDEX('Leads'!$C$8:$C$107,MATCH($A100,'Leads'!$AE$8:$AE$107,0))="","",INDEX('Leads'!$C$8:$C$107,MATCH($A100,'Leads'!$AE$8:$AE$107,0)))&lt;&gt;$F100,IF(INDEX('Leads'!$K$8:$K$107,MATCH($A100,'Leads'!$AE$8:$AE$107,0))="","",INDEX('Leads'!$K$8:$K$107,MATCH($A100,'Leads'!$AE$8:$AE$107,0)))&lt;&gt;$G100,IF(INDEX('Leads'!$L$8:$L$107,MATCH($A100,'Leads'!$AE$8:$AE$107,0))="","",INDEX('Leads'!$L$8:$L$107,MATCH($A100,'Leads'!$AE$8:$AE$107,0)))&lt;&gt;$H100,IF(INDEX('Leads'!$M$8:$M$107,MATCH($A100,'Leads'!$AE$8:$AE$107,0))="","",INDEX('Leads'!$M$8:$M$107,MATCH($A100,'Leads'!$AE$8:$AE$107,0)))&lt;&gt;$I100,IF(INDEX('Leads'!$N$8:$N$107,MATCH($A100,'Leads'!$AE$8:$AE$107,0))="","",INDEX('Leads'!$N$8:$N$107,MATCH($A100,'Leads'!$AE$8:$AE$107,0)))&lt;&gt;$J100,IF(INDEX('Leads'!$AH$8:$AH$107,MATCH($A100,'Leads'!$AE$8:$AE$107,0))="","",INDEX('Leads'!$AH$8:$AH$107,MATCH($A100,'Leads'!$AE$8:$AE$107,0)))&lt;&gt;$K100,IF(INDEX('Leads'!$D$8:$D$107,MATCH($A100,'Leads'!$AE$8:$AE$107,0))="","",INDEX('Leads'!$D$8:$D$107,MATCH($A100,'Leads'!$AE$8:$AE$107,0)))&lt;&gt;$L100,IF(INDEX('Leads'!$E$8:$E$107,MATCH($A100,'Leads'!$AE$8:$AE$107,0))="","",INDEX('Leads'!$E$8:$E$107,MATCH($A100,'Leads'!$AE$8:$AE$107,0)))&lt;&gt;$M100,IF(INDEX('Leads'!$AI$8:$AI$107,MATCH($A100,'Leads'!$AE$8:$AE$107,0))="","",INDEX('Leads'!$AI$8:$AI$107,MATCH($A100,'Leads'!$AE$8:$AE$107,0)))&lt;&gt;$N100,IF(INDEX('Leads'!$AJ$8:$AJ$107,MATCH($A100,'Leads'!$AE$8:$AE$107,0))="","",INDEX('Leads'!$AJ$8:$AJ$107,MATCH($A100,'Leads'!$AE$8:$AE$107,0)))&lt;&gt;$O100,IF(INDEX('Leads'!$AK$8:$AK$107,MATCH($A100,'Leads'!$AE$8:$AE$107,0))="","",INDEX('Leads'!$AK$8:$AK$107,MATCH($A100,'Leads'!$AE$8:$AE$107,0)))&lt;&gt;$P100,IF(INDEX('Leads'!$AL$8:$AL$107,MATCH($A100,'Leads'!$AE$8:$AE$107,0))="","",INDEX('Leads'!$AL$8:$AL$107,MATCH($A100,'Leads'!$AE$8:$AE$107,0)))&lt;&gt;$Q100,IF(INDEX('Leads'!$AM$8:$AM$107,MATCH($A100,'Leads'!$AE$8:$AE$107,0))="","",INDEX('Leads'!$AM$8:$AM$107,MATCH($A100,'Leads'!$AE$8:$AE$107,0)))&lt;&gt;$R100,IF(INDEX('Leads'!$AN$8:$AN$107,MATCH($A100,'Leads'!$AE$8:$AE$107,0))="","",INDEX('Leads'!$AN$8:$AN$107,MATCH($A100,'Leads'!$AE$8:$AE$107,0)))&lt;&gt;$S100,IF(INDEX('Leads'!$AO$8:$AO$107,MATCH($A100,'Leads'!$AE$8:$AE$107,0))="","",INDEX('Leads'!$AO$8:$AO$107,MATCH($A100,'Leads'!$AE$8:$AE$107,0)))&lt;&gt;$T100,IF(INDEX('Leads'!$AP$8:$AP$107,MATCH($A100,'Leads'!$AE$8:$AE$107,0))="","",INDEX('Leads'!$AP$8:$AP$107,MATCH($A100,'Leads'!$AE$8:$AE$107,0)))&lt;&gt;$U100,IF(INDEX('Leads'!$AQ$8:$AQ$107,MATCH($A100,'Leads'!$AE$8:$AE$107,0))="","",INDEX('Leads'!$AQ$8:$AQ$107,MATCH($A100,'Leads'!$AE$8:$AE$107,0)))&lt;&gt;$V100,IF(INDEX('Leads'!$AR$8:$AR$107,MATCH($A100,'Leads'!$AE$8:$AE$107,0))="","",INDEX('Leads'!$AR$8:$AR$107,MATCH($A100,'Leads'!$AE$8:$AE$107,0)))&lt;&gt;$W100,IF(INDEX('Leads'!$AS$8:$AS$107,MATCH($A100,'Leads'!$AE$8:$AE$107,0))="","",INDEX('Leads'!$AS$8:$AS$107,MATCH($A100,'Leads'!$AE$8:$AE$107,0)))&lt;&gt;$X100,IF(INDEX('Leads'!$AT$8:$AT$107,MATCH($A100,'Leads'!$AE$8:$AE$107,0))="","",INDEX('Leads'!$AT$8:$AT$107,MATCH($A100,'Leads'!$AE$8:$AE$107,0)))&lt;&gt;$Y100),"ข้อมูลรับเข้าต่าง — ตรวจเอง","ตรงกัน — ห้ามนำเข้าซ้ำ"),"ตรวจ Lead ID เดิม")))</x:f>
      </x:c>
    </x:row>
    <x:row r="101" ht="30" customHeight="1">
      <x:c r="A101" s="94"/>
      <x:c r="B101" s="94"/>
      <x:c r="C101" s="86"/>
      <x:c r="D101" s="32"/>
      <x:c r="E101" s="32"/>
      <x:c r="F101" s="32"/>
      <x:c r="G101" s="32"/>
      <x:c r="H101" s="94"/>
      <x:c r="I101" s="94"/>
      <x:c r="J101" s="94"/>
      <x:c r="K101" s="32"/>
      <x:c r="L101" s="32"/>
      <x:c r="M101" s="32"/>
      <x:c r="N101" s="32"/>
      <x:c r="O101" s="88"/>
      <x:c r="P101" s="32"/>
      <x:c r="Q101" s="32"/>
      <x:c r="R101" s="32"/>
      <x:c r="S101" s="32"/>
      <x:c r="T101" s="32"/>
      <x:c r="U101" s="32"/>
      <x:c r="V101" s="94"/>
      <x:c r="W101" s="32"/>
      <x:c r="X101" s="32"/>
      <x:c r="Y101" s="32"/>
      <x:c r="Z101" s="86"/>
      <x:c r="AA101" s="42" t="str">
        <x:f>IF(AND($A101="",$B101=""),"",IF(OR($A101="",$B101=""),"CHECK_INPUT",IF(OR($Y101="test",COUNTIF('Guide_Lists'!$AR$2:$AR$4,$B101)&gt;0),"TEST_DO_NOT_IMPORT",IF(OR(COUNTIF('Import_Staging'!$A$8:$A$107,$A101)&gt;1,COUNTIF('Import_Staging'!$B$8:$B$107,$B101)&gt;1),"DUPLICATE_IN_IMPORT",IF(COUNTIF('Leads'!$AE$8:$AE$107,$A101)&gt;0,"EXISTS",IF(COUNTIF('Leads'!$A$8:$A$107,$B101)&gt;0,"CHECK_INPUT",IF(AND($Y101="production",ISNUMBER($C101)),"NEW","CHECK_INPUT")))))))</x:f>
      </x:c>
      <x:c r="AB101" s="42" t="str">
        <x:f>IF($AA101="","",IF($AA101&lt;&gt;"EXISTS","",IFERROR(IF(OR(IF(INDEX('Leads'!$A$8:$A$107,MATCH($A101,'Leads'!$AE$8:$AE$107,0))="","",INDEX('Leads'!$A$8:$A$107,MATCH($A101,'Leads'!$AE$8:$AE$107,0)))&lt;&gt;$B101,IF(INDEX('Leads'!$AF$8:$AF$107,MATCH($A101,'Leads'!$AE$8:$AE$107,0))="","",INDEX('Leads'!$AF$8:$AF$107,MATCH($A101,'Leads'!$AE$8:$AE$107,0)))&lt;&gt;$C101,IF(INDEX('Leads'!$AG$8:$AG$107,MATCH($A101,'Leads'!$AE$8:$AE$107,0))="","",INDEX('Leads'!$AG$8:$AG$107,MATCH($A101,'Leads'!$AE$8:$AE$107,0)))&lt;&gt;$D101,IF(INDEX('Leads'!$B$8:$B$107,MATCH($A101,'Leads'!$AE$8:$AE$107,0))="","",INDEX('Leads'!$B$8:$B$107,MATCH($A101,'Leads'!$AE$8:$AE$107,0)))&lt;&gt;$E101,IF(INDEX('Leads'!$C$8:$C$107,MATCH($A101,'Leads'!$AE$8:$AE$107,0))="","",INDEX('Leads'!$C$8:$C$107,MATCH($A101,'Leads'!$AE$8:$AE$107,0)))&lt;&gt;$F101,IF(INDEX('Leads'!$K$8:$K$107,MATCH($A101,'Leads'!$AE$8:$AE$107,0))="","",INDEX('Leads'!$K$8:$K$107,MATCH($A101,'Leads'!$AE$8:$AE$107,0)))&lt;&gt;$G101,IF(INDEX('Leads'!$L$8:$L$107,MATCH($A101,'Leads'!$AE$8:$AE$107,0))="","",INDEX('Leads'!$L$8:$L$107,MATCH($A101,'Leads'!$AE$8:$AE$107,0)))&lt;&gt;$H101,IF(INDEX('Leads'!$M$8:$M$107,MATCH($A101,'Leads'!$AE$8:$AE$107,0))="","",INDEX('Leads'!$M$8:$M$107,MATCH($A101,'Leads'!$AE$8:$AE$107,0)))&lt;&gt;$I101,IF(INDEX('Leads'!$N$8:$N$107,MATCH($A101,'Leads'!$AE$8:$AE$107,0))="","",INDEX('Leads'!$N$8:$N$107,MATCH($A101,'Leads'!$AE$8:$AE$107,0)))&lt;&gt;$J101,IF(INDEX('Leads'!$AH$8:$AH$107,MATCH($A101,'Leads'!$AE$8:$AE$107,0))="","",INDEX('Leads'!$AH$8:$AH$107,MATCH($A101,'Leads'!$AE$8:$AE$107,0)))&lt;&gt;$K101,IF(INDEX('Leads'!$D$8:$D$107,MATCH($A101,'Leads'!$AE$8:$AE$107,0))="","",INDEX('Leads'!$D$8:$D$107,MATCH($A101,'Leads'!$AE$8:$AE$107,0)))&lt;&gt;$L101,IF(INDEX('Leads'!$E$8:$E$107,MATCH($A101,'Leads'!$AE$8:$AE$107,0))="","",INDEX('Leads'!$E$8:$E$107,MATCH($A101,'Leads'!$AE$8:$AE$107,0)))&lt;&gt;$M101,IF(INDEX('Leads'!$AI$8:$AI$107,MATCH($A101,'Leads'!$AE$8:$AE$107,0))="","",INDEX('Leads'!$AI$8:$AI$107,MATCH($A101,'Leads'!$AE$8:$AE$107,0)))&lt;&gt;$N101,IF(INDEX('Leads'!$AJ$8:$AJ$107,MATCH($A101,'Leads'!$AE$8:$AE$107,0))="","",INDEX('Leads'!$AJ$8:$AJ$107,MATCH($A101,'Leads'!$AE$8:$AE$107,0)))&lt;&gt;$O101,IF(INDEX('Leads'!$AK$8:$AK$107,MATCH($A101,'Leads'!$AE$8:$AE$107,0))="","",INDEX('Leads'!$AK$8:$AK$107,MATCH($A101,'Leads'!$AE$8:$AE$107,0)))&lt;&gt;$P101,IF(INDEX('Leads'!$AL$8:$AL$107,MATCH($A101,'Leads'!$AE$8:$AE$107,0))="","",INDEX('Leads'!$AL$8:$AL$107,MATCH($A101,'Leads'!$AE$8:$AE$107,0)))&lt;&gt;$Q101,IF(INDEX('Leads'!$AM$8:$AM$107,MATCH($A101,'Leads'!$AE$8:$AE$107,0))="","",INDEX('Leads'!$AM$8:$AM$107,MATCH($A101,'Leads'!$AE$8:$AE$107,0)))&lt;&gt;$R101,IF(INDEX('Leads'!$AN$8:$AN$107,MATCH($A101,'Leads'!$AE$8:$AE$107,0))="","",INDEX('Leads'!$AN$8:$AN$107,MATCH($A101,'Leads'!$AE$8:$AE$107,0)))&lt;&gt;$S101,IF(INDEX('Leads'!$AO$8:$AO$107,MATCH($A101,'Leads'!$AE$8:$AE$107,0))="","",INDEX('Leads'!$AO$8:$AO$107,MATCH($A101,'Leads'!$AE$8:$AE$107,0)))&lt;&gt;$T101,IF(INDEX('Leads'!$AP$8:$AP$107,MATCH($A101,'Leads'!$AE$8:$AE$107,0))="","",INDEX('Leads'!$AP$8:$AP$107,MATCH($A101,'Leads'!$AE$8:$AE$107,0)))&lt;&gt;$U101,IF(INDEX('Leads'!$AQ$8:$AQ$107,MATCH($A101,'Leads'!$AE$8:$AE$107,0))="","",INDEX('Leads'!$AQ$8:$AQ$107,MATCH($A101,'Leads'!$AE$8:$AE$107,0)))&lt;&gt;$V101,IF(INDEX('Leads'!$AR$8:$AR$107,MATCH($A101,'Leads'!$AE$8:$AE$107,0))="","",INDEX('Leads'!$AR$8:$AR$107,MATCH($A101,'Leads'!$AE$8:$AE$107,0)))&lt;&gt;$W101,IF(INDEX('Leads'!$AS$8:$AS$107,MATCH($A101,'Leads'!$AE$8:$AE$107,0))="","",INDEX('Leads'!$AS$8:$AS$107,MATCH($A101,'Leads'!$AE$8:$AE$107,0)))&lt;&gt;$X101,IF(INDEX('Leads'!$AT$8:$AT$107,MATCH($A101,'Leads'!$AE$8:$AE$107,0))="","",INDEX('Leads'!$AT$8:$AT$107,MATCH($A101,'Leads'!$AE$8:$AE$107,0)))&lt;&gt;$Y101),"ข้อมูลรับเข้าต่าง — ตรวจเอง","ตรงกัน — ห้ามนำเข้าซ้ำ"),"ตรวจ Lead ID เดิม")))</x:f>
      </x:c>
    </x:row>
    <x:row r="102" ht="30" customHeight="1">
      <x:c r="A102" s="94"/>
      <x:c r="B102" s="94"/>
      <x:c r="C102" s="86"/>
      <x:c r="D102" s="32"/>
      <x:c r="E102" s="32"/>
      <x:c r="F102" s="32"/>
      <x:c r="G102" s="32"/>
      <x:c r="H102" s="94"/>
      <x:c r="I102" s="94"/>
      <x:c r="J102" s="94"/>
      <x:c r="K102" s="32"/>
      <x:c r="L102" s="32"/>
      <x:c r="M102" s="32"/>
      <x:c r="N102" s="32"/>
      <x:c r="O102" s="88"/>
      <x:c r="P102" s="32"/>
      <x:c r="Q102" s="32"/>
      <x:c r="R102" s="32"/>
      <x:c r="S102" s="32"/>
      <x:c r="T102" s="32"/>
      <x:c r="U102" s="32"/>
      <x:c r="V102" s="94"/>
      <x:c r="W102" s="32"/>
      <x:c r="X102" s="32"/>
      <x:c r="Y102" s="32"/>
      <x:c r="Z102" s="86"/>
      <x:c r="AA102" s="42" t="str">
        <x:f>IF(AND($A102="",$B102=""),"",IF(OR($A102="",$B102=""),"CHECK_INPUT",IF(OR($Y102="test",COUNTIF('Guide_Lists'!$AR$2:$AR$4,$B102)&gt;0),"TEST_DO_NOT_IMPORT",IF(OR(COUNTIF('Import_Staging'!$A$8:$A$107,$A102)&gt;1,COUNTIF('Import_Staging'!$B$8:$B$107,$B102)&gt;1),"DUPLICATE_IN_IMPORT",IF(COUNTIF('Leads'!$AE$8:$AE$107,$A102)&gt;0,"EXISTS",IF(COUNTIF('Leads'!$A$8:$A$107,$B102)&gt;0,"CHECK_INPUT",IF(AND($Y102="production",ISNUMBER($C102)),"NEW","CHECK_INPUT")))))))</x:f>
      </x:c>
      <x:c r="AB102" s="42" t="str">
        <x:f>IF($AA102="","",IF($AA102&lt;&gt;"EXISTS","",IFERROR(IF(OR(IF(INDEX('Leads'!$A$8:$A$107,MATCH($A102,'Leads'!$AE$8:$AE$107,0))="","",INDEX('Leads'!$A$8:$A$107,MATCH($A102,'Leads'!$AE$8:$AE$107,0)))&lt;&gt;$B102,IF(INDEX('Leads'!$AF$8:$AF$107,MATCH($A102,'Leads'!$AE$8:$AE$107,0))="","",INDEX('Leads'!$AF$8:$AF$107,MATCH($A102,'Leads'!$AE$8:$AE$107,0)))&lt;&gt;$C102,IF(INDEX('Leads'!$AG$8:$AG$107,MATCH($A102,'Leads'!$AE$8:$AE$107,0))="","",INDEX('Leads'!$AG$8:$AG$107,MATCH($A102,'Leads'!$AE$8:$AE$107,0)))&lt;&gt;$D102,IF(INDEX('Leads'!$B$8:$B$107,MATCH($A102,'Leads'!$AE$8:$AE$107,0))="","",INDEX('Leads'!$B$8:$B$107,MATCH($A102,'Leads'!$AE$8:$AE$107,0)))&lt;&gt;$E102,IF(INDEX('Leads'!$C$8:$C$107,MATCH($A102,'Leads'!$AE$8:$AE$107,0))="","",INDEX('Leads'!$C$8:$C$107,MATCH($A102,'Leads'!$AE$8:$AE$107,0)))&lt;&gt;$F102,IF(INDEX('Leads'!$K$8:$K$107,MATCH($A102,'Leads'!$AE$8:$AE$107,0))="","",INDEX('Leads'!$K$8:$K$107,MATCH($A102,'Leads'!$AE$8:$AE$107,0)))&lt;&gt;$G102,IF(INDEX('Leads'!$L$8:$L$107,MATCH($A102,'Leads'!$AE$8:$AE$107,0))="","",INDEX('Leads'!$L$8:$L$107,MATCH($A102,'Leads'!$AE$8:$AE$107,0)))&lt;&gt;$H102,IF(INDEX('Leads'!$M$8:$M$107,MATCH($A102,'Leads'!$AE$8:$AE$107,0))="","",INDEX('Leads'!$M$8:$M$107,MATCH($A102,'Leads'!$AE$8:$AE$107,0)))&lt;&gt;$I102,IF(INDEX('Leads'!$N$8:$N$107,MATCH($A102,'Leads'!$AE$8:$AE$107,0))="","",INDEX('Leads'!$N$8:$N$107,MATCH($A102,'Leads'!$AE$8:$AE$107,0)))&lt;&gt;$J102,IF(INDEX('Leads'!$AH$8:$AH$107,MATCH($A102,'Leads'!$AE$8:$AE$107,0))="","",INDEX('Leads'!$AH$8:$AH$107,MATCH($A102,'Leads'!$AE$8:$AE$107,0)))&lt;&gt;$K102,IF(INDEX('Leads'!$D$8:$D$107,MATCH($A102,'Leads'!$AE$8:$AE$107,0))="","",INDEX('Leads'!$D$8:$D$107,MATCH($A102,'Leads'!$AE$8:$AE$107,0)))&lt;&gt;$L102,IF(INDEX('Leads'!$E$8:$E$107,MATCH($A102,'Leads'!$AE$8:$AE$107,0))="","",INDEX('Leads'!$E$8:$E$107,MATCH($A102,'Leads'!$AE$8:$AE$107,0)))&lt;&gt;$M102,IF(INDEX('Leads'!$AI$8:$AI$107,MATCH($A102,'Leads'!$AE$8:$AE$107,0))="","",INDEX('Leads'!$AI$8:$AI$107,MATCH($A102,'Leads'!$AE$8:$AE$107,0)))&lt;&gt;$N102,IF(INDEX('Leads'!$AJ$8:$AJ$107,MATCH($A102,'Leads'!$AE$8:$AE$107,0))="","",INDEX('Leads'!$AJ$8:$AJ$107,MATCH($A102,'Leads'!$AE$8:$AE$107,0)))&lt;&gt;$O102,IF(INDEX('Leads'!$AK$8:$AK$107,MATCH($A102,'Leads'!$AE$8:$AE$107,0))="","",INDEX('Leads'!$AK$8:$AK$107,MATCH($A102,'Leads'!$AE$8:$AE$107,0)))&lt;&gt;$P102,IF(INDEX('Leads'!$AL$8:$AL$107,MATCH($A102,'Leads'!$AE$8:$AE$107,0))="","",INDEX('Leads'!$AL$8:$AL$107,MATCH($A102,'Leads'!$AE$8:$AE$107,0)))&lt;&gt;$Q102,IF(INDEX('Leads'!$AM$8:$AM$107,MATCH($A102,'Leads'!$AE$8:$AE$107,0))="","",INDEX('Leads'!$AM$8:$AM$107,MATCH($A102,'Leads'!$AE$8:$AE$107,0)))&lt;&gt;$R102,IF(INDEX('Leads'!$AN$8:$AN$107,MATCH($A102,'Leads'!$AE$8:$AE$107,0))="","",INDEX('Leads'!$AN$8:$AN$107,MATCH($A102,'Leads'!$AE$8:$AE$107,0)))&lt;&gt;$S102,IF(INDEX('Leads'!$AO$8:$AO$107,MATCH($A102,'Leads'!$AE$8:$AE$107,0))="","",INDEX('Leads'!$AO$8:$AO$107,MATCH($A102,'Leads'!$AE$8:$AE$107,0)))&lt;&gt;$T102,IF(INDEX('Leads'!$AP$8:$AP$107,MATCH($A102,'Leads'!$AE$8:$AE$107,0))="","",INDEX('Leads'!$AP$8:$AP$107,MATCH($A102,'Leads'!$AE$8:$AE$107,0)))&lt;&gt;$U102,IF(INDEX('Leads'!$AQ$8:$AQ$107,MATCH($A102,'Leads'!$AE$8:$AE$107,0))="","",INDEX('Leads'!$AQ$8:$AQ$107,MATCH($A102,'Leads'!$AE$8:$AE$107,0)))&lt;&gt;$V102,IF(INDEX('Leads'!$AR$8:$AR$107,MATCH($A102,'Leads'!$AE$8:$AE$107,0))="","",INDEX('Leads'!$AR$8:$AR$107,MATCH($A102,'Leads'!$AE$8:$AE$107,0)))&lt;&gt;$W102,IF(INDEX('Leads'!$AS$8:$AS$107,MATCH($A102,'Leads'!$AE$8:$AE$107,0))="","",INDEX('Leads'!$AS$8:$AS$107,MATCH($A102,'Leads'!$AE$8:$AE$107,0)))&lt;&gt;$X102,IF(INDEX('Leads'!$AT$8:$AT$107,MATCH($A102,'Leads'!$AE$8:$AE$107,0))="","",INDEX('Leads'!$AT$8:$AT$107,MATCH($A102,'Leads'!$AE$8:$AE$107,0)))&lt;&gt;$Y102),"ข้อมูลรับเข้าต่าง — ตรวจเอง","ตรงกัน — ห้ามนำเข้าซ้ำ"),"ตรวจ Lead ID เดิม")))</x:f>
      </x:c>
    </x:row>
    <x:row r="103" ht="30" customHeight="1">
      <x:c r="A103" s="94"/>
      <x:c r="B103" s="94"/>
      <x:c r="C103" s="86"/>
      <x:c r="D103" s="32"/>
      <x:c r="E103" s="32"/>
      <x:c r="F103" s="32"/>
      <x:c r="G103" s="32"/>
      <x:c r="H103" s="94"/>
      <x:c r="I103" s="94"/>
      <x:c r="J103" s="94"/>
      <x:c r="K103" s="32"/>
      <x:c r="L103" s="32"/>
      <x:c r="M103" s="32"/>
      <x:c r="N103" s="32"/>
      <x:c r="O103" s="88"/>
      <x:c r="P103" s="32"/>
      <x:c r="Q103" s="32"/>
      <x:c r="R103" s="32"/>
      <x:c r="S103" s="32"/>
      <x:c r="T103" s="32"/>
      <x:c r="U103" s="32"/>
      <x:c r="V103" s="94"/>
      <x:c r="W103" s="32"/>
      <x:c r="X103" s="32"/>
      <x:c r="Y103" s="32"/>
      <x:c r="Z103" s="86"/>
      <x:c r="AA103" s="42" t="str">
        <x:f>IF(AND($A103="",$B103=""),"",IF(OR($A103="",$B103=""),"CHECK_INPUT",IF(OR($Y103="test",COUNTIF('Guide_Lists'!$AR$2:$AR$4,$B103)&gt;0),"TEST_DO_NOT_IMPORT",IF(OR(COUNTIF('Import_Staging'!$A$8:$A$107,$A103)&gt;1,COUNTIF('Import_Staging'!$B$8:$B$107,$B103)&gt;1),"DUPLICATE_IN_IMPORT",IF(COUNTIF('Leads'!$AE$8:$AE$107,$A103)&gt;0,"EXISTS",IF(COUNTIF('Leads'!$A$8:$A$107,$B103)&gt;0,"CHECK_INPUT",IF(AND($Y103="production",ISNUMBER($C103)),"NEW","CHECK_INPUT")))))))</x:f>
      </x:c>
      <x:c r="AB103" s="42" t="str">
        <x:f>IF($AA103="","",IF($AA103&lt;&gt;"EXISTS","",IFERROR(IF(OR(IF(INDEX('Leads'!$A$8:$A$107,MATCH($A103,'Leads'!$AE$8:$AE$107,0))="","",INDEX('Leads'!$A$8:$A$107,MATCH($A103,'Leads'!$AE$8:$AE$107,0)))&lt;&gt;$B103,IF(INDEX('Leads'!$AF$8:$AF$107,MATCH($A103,'Leads'!$AE$8:$AE$107,0))="","",INDEX('Leads'!$AF$8:$AF$107,MATCH($A103,'Leads'!$AE$8:$AE$107,0)))&lt;&gt;$C103,IF(INDEX('Leads'!$AG$8:$AG$107,MATCH($A103,'Leads'!$AE$8:$AE$107,0))="","",INDEX('Leads'!$AG$8:$AG$107,MATCH($A103,'Leads'!$AE$8:$AE$107,0)))&lt;&gt;$D103,IF(INDEX('Leads'!$B$8:$B$107,MATCH($A103,'Leads'!$AE$8:$AE$107,0))="","",INDEX('Leads'!$B$8:$B$107,MATCH($A103,'Leads'!$AE$8:$AE$107,0)))&lt;&gt;$E103,IF(INDEX('Leads'!$C$8:$C$107,MATCH($A103,'Leads'!$AE$8:$AE$107,0))="","",INDEX('Leads'!$C$8:$C$107,MATCH($A103,'Leads'!$AE$8:$AE$107,0)))&lt;&gt;$F103,IF(INDEX('Leads'!$K$8:$K$107,MATCH($A103,'Leads'!$AE$8:$AE$107,0))="","",INDEX('Leads'!$K$8:$K$107,MATCH($A103,'Leads'!$AE$8:$AE$107,0)))&lt;&gt;$G103,IF(INDEX('Leads'!$L$8:$L$107,MATCH($A103,'Leads'!$AE$8:$AE$107,0))="","",INDEX('Leads'!$L$8:$L$107,MATCH($A103,'Leads'!$AE$8:$AE$107,0)))&lt;&gt;$H103,IF(INDEX('Leads'!$M$8:$M$107,MATCH($A103,'Leads'!$AE$8:$AE$107,0))="","",INDEX('Leads'!$M$8:$M$107,MATCH($A103,'Leads'!$AE$8:$AE$107,0)))&lt;&gt;$I103,IF(INDEX('Leads'!$N$8:$N$107,MATCH($A103,'Leads'!$AE$8:$AE$107,0))="","",INDEX('Leads'!$N$8:$N$107,MATCH($A103,'Leads'!$AE$8:$AE$107,0)))&lt;&gt;$J103,IF(INDEX('Leads'!$AH$8:$AH$107,MATCH($A103,'Leads'!$AE$8:$AE$107,0))="","",INDEX('Leads'!$AH$8:$AH$107,MATCH($A103,'Leads'!$AE$8:$AE$107,0)))&lt;&gt;$K103,IF(INDEX('Leads'!$D$8:$D$107,MATCH($A103,'Leads'!$AE$8:$AE$107,0))="","",INDEX('Leads'!$D$8:$D$107,MATCH($A103,'Leads'!$AE$8:$AE$107,0)))&lt;&gt;$L103,IF(INDEX('Leads'!$E$8:$E$107,MATCH($A103,'Leads'!$AE$8:$AE$107,0))="","",INDEX('Leads'!$E$8:$E$107,MATCH($A103,'Leads'!$AE$8:$AE$107,0)))&lt;&gt;$M103,IF(INDEX('Leads'!$AI$8:$AI$107,MATCH($A103,'Leads'!$AE$8:$AE$107,0))="","",INDEX('Leads'!$AI$8:$AI$107,MATCH($A103,'Leads'!$AE$8:$AE$107,0)))&lt;&gt;$N103,IF(INDEX('Leads'!$AJ$8:$AJ$107,MATCH($A103,'Leads'!$AE$8:$AE$107,0))="","",INDEX('Leads'!$AJ$8:$AJ$107,MATCH($A103,'Leads'!$AE$8:$AE$107,0)))&lt;&gt;$O103,IF(INDEX('Leads'!$AK$8:$AK$107,MATCH($A103,'Leads'!$AE$8:$AE$107,0))="","",INDEX('Leads'!$AK$8:$AK$107,MATCH($A103,'Leads'!$AE$8:$AE$107,0)))&lt;&gt;$P103,IF(INDEX('Leads'!$AL$8:$AL$107,MATCH($A103,'Leads'!$AE$8:$AE$107,0))="","",INDEX('Leads'!$AL$8:$AL$107,MATCH($A103,'Leads'!$AE$8:$AE$107,0)))&lt;&gt;$Q103,IF(INDEX('Leads'!$AM$8:$AM$107,MATCH($A103,'Leads'!$AE$8:$AE$107,0))="","",INDEX('Leads'!$AM$8:$AM$107,MATCH($A103,'Leads'!$AE$8:$AE$107,0)))&lt;&gt;$R103,IF(INDEX('Leads'!$AN$8:$AN$107,MATCH($A103,'Leads'!$AE$8:$AE$107,0))="","",INDEX('Leads'!$AN$8:$AN$107,MATCH($A103,'Leads'!$AE$8:$AE$107,0)))&lt;&gt;$S103,IF(INDEX('Leads'!$AO$8:$AO$107,MATCH($A103,'Leads'!$AE$8:$AE$107,0))="","",INDEX('Leads'!$AO$8:$AO$107,MATCH($A103,'Leads'!$AE$8:$AE$107,0)))&lt;&gt;$T103,IF(INDEX('Leads'!$AP$8:$AP$107,MATCH($A103,'Leads'!$AE$8:$AE$107,0))="","",INDEX('Leads'!$AP$8:$AP$107,MATCH($A103,'Leads'!$AE$8:$AE$107,0)))&lt;&gt;$U103,IF(INDEX('Leads'!$AQ$8:$AQ$107,MATCH($A103,'Leads'!$AE$8:$AE$107,0))="","",INDEX('Leads'!$AQ$8:$AQ$107,MATCH($A103,'Leads'!$AE$8:$AE$107,0)))&lt;&gt;$V103,IF(INDEX('Leads'!$AR$8:$AR$107,MATCH($A103,'Leads'!$AE$8:$AE$107,0))="","",INDEX('Leads'!$AR$8:$AR$107,MATCH($A103,'Leads'!$AE$8:$AE$107,0)))&lt;&gt;$W103,IF(INDEX('Leads'!$AS$8:$AS$107,MATCH($A103,'Leads'!$AE$8:$AE$107,0))="","",INDEX('Leads'!$AS$8:$AS$107,MATCH($A103,'Leads'!$AE$8:$AE$107,0)))&lt;&gt;$X103,IF(INDEX('Leads'!$AT$8:$AT$107,MATCH($A103,'Leads'!$AE$8:$AE$107,0))="","",INDEX('Leads'!$AT$8:$AT$107,MATCH($A103,'Leads'!$AE$8:$AE$107,0)))&lt;&gt;$Y103),"ข้อมูลรับเข้าต่าง — ตรวจเอง","ตรงกัน — ห้ามนำเข้าซ้ำ"),"ตรวจ Lead ID เดิม")))</x:f>
      </x:c>
    </x:row>
    <x:row r="104" ht="30" customHeight="1">
      <x:c r="A104" s="94"/>
      <x:c r="B104" s="94"/>
      <x:c r="C104" s="86"/>
      <x:c r="D104" s="32"/>
      <x:c r="E104" s="32"/>
      <x:c r="F104" s="32"/>
      <x:c r="G104" s="32"/>
      <x:c r="H104" s="94"/>
      <x:c r="I104" s="94"/>
      <x:c r="J104" s="94"/>
      <x:c r="K104" s="32"/>
      <x:c r="L104" s="32"/>
      <x:c r="M104" s="32"/>
      <x:c r="N104" s="32"/>
      <x:c r="O104" s="88"/>
      <x:c r="P104" s="32"/>
      <x:c r="Q104" s="32"/>
      <x:c r="R104" s="32"/>
      <x:c r="S104" s="32"/>
      <x:c r="T104" s="32"/>
      <x:c r="U104" s="32"/>
      <x:c r="V104" s="94"/>
      <x:c r="W104" s="32"/>
      <x:c r="X104" s="32"/>
      <x:c r="Y104" s="32"/>
      <x:c r="Z104" s="86"/>
      <x:c r="AA104" s="42" t="str">
        <x:f>IF(AND($A104="",$B104=""),"",IF(OR($A104="",$B104=""),"CHECK_INPUT",IF(OR($Y104="test",COUNTIF('Guide_Lists'!$AR$2:$AR$4,$B104)&gt;0),"TEST_DO_NOT_IMPORT",IF(OR(COUNTIF('Import_Staging'!$A$8:$A$107,$A104)&gt;1,COUNTIF('Import_Staging'!$B$8:$B$107,$B104)&gt;1),"DUPLICATE_IN_IMPORT",IF(COUNTIF('Leads'!$AE$8:$AE$107,$A104)&gt;0,"EXISTS",IF(COUNTIF('Leads'!$A$8:$A$107,$B104)&gt;0,"CHECK_INPUT",IF(AND($Y104="production",ISNUMBER($C104)),"NEW","CHECK_INPUT")))))))</x:f>
      </x:c>
      <x:c r="AB104" s="42" t="str">
        <x:f>IF($AA104="","",IF($AA104&lt;&gt;"EXISTS","",IFERROR(IF(OR(IF(INDEX('Leads'!$A$8:$A$107,MATCH($A104,'Leads'!$AE$8:$AE$107,0))="","",INDEX('Leads'!$A$8:$A$107,MATCH($A104,'Leads'!$AE$8:$AE$107,0)))&lt;&gt;$B104,IF(INDEX('Leads'!$AF$8:$AF$107,MATCH($A104,'Leads'!$AE$8:$AE$107,0))="","",INDEX('Leads'!$AF$8:$AF$107,MATCH($A104,'Leads'!$AE$8:$AE$107,0)))&lt;&gt;$C104,IF(INDEX('Leads'!$AG$8:$AG$107,MATCH($A104,'Leads'!$AE$8:$AE$107,0))="","",INDEX('Leads'!$AG$8:$AG$107,MATCH($A104,'Leads'!$AE$8:$AE$107,0)))&lt;&gt;$D104,IF(INDEX('Leads'!$B$8:$B$107,MATCH($A104,'Leads'!$AE$8:$AE$107,0))="","",INDEX('Leads'!$B$8:$B$107,MATCH($A104,'Leads'!$AE$8:$AE$107,0)))&lt;&gt;$E104,IF(INDEX('Leads'!$C$8:$C$107,MATCH($A104,'Leads'!$AE$8:$AE$107,0))="","",INDEX('Leads'!$C$8:$C$107,MATCH($A104,'Leads'!$AE$8:$AE$107,0)))&lt;&gt;$F104,IF(INDEX('Leads'!$K$8:$K$107,MATCH($A104,'Leads'!$AE$8:$AE$107,0))="","",INDEX('Leads'!$K$8:$K$107,MATCH($A104,'Leads'!$AE$8:$AE$107,0)))&lt;&gt;$G104,IF(INDEX('Leads'!$L$8:$L$107,MATCH($A104,'Leads'!$AE$8:$AE$107,0))="","",INDEX('Leads'!$L$8:$L$107,MATCH($A104,'Leads'!$AE$8:$AE$107,0)))&lt;&gt;$H104,IF(INDEX('Leads'!$M$8:$M$107,MATCH($A104,'Leads'!$AE$8:$AE$107,0))="","",INDEX('Leads'!$M$8:$M$107,MATCH($A104,'Leads'!$AE$8:$AE$107,0)))&lt;&gt;$I104,IF(INDEX('Leads'!$N$8:$N$107,MATCH($A104,'Leads'!$AE$8:$AE$107,0))="","",INDEX('Leads'!$N$8:$N$107,MATCH($A104,'Leads'!$AE$8:$AE$107,0)))&lt;&gt;$J104,IF(INDEX('Leads'!$AH$8:$AH$107,MATCH($A104,'Leads'!$AE$8:$AE$107,0))="","",INDEX('Leads'!$AH$8:$AH$107,MATCH($A104,'Leads'!$AE$8:$AE$107,0)))&lt;&gt;$K104,IF(INDEX('Leads'!$D$8:$D$107,MATCH($A104,'Leads'!$AE$8:$AE$107,0))="","",INDEX('Leads'!$D$8:$D$107,MATCH($A104,'Leads'!$AE$8:$AE$107,0)))&lt;&gt;$L104,IF(INDEX('Leads'!$E$8:$E$107,MATCH($A104,'Leads'!$AE$8:$AE$107,0))="","",INDEX('Leads'!$E$8:$E$107,MATCH($A104,'Leads'!$AE$8:$AE$107,0)))&lt;&gt;$M104,IF(INDEX('Leads'!$AI$8:$AI$107,MATCH($A104,'Leads'!$AE$8:$AE$107,0))="","",INDEX('Leads'!$AI$8:$AI$107,MATCH($A104,'Leads'!$AE$8:$AE$107,0)))&lt;&gt;$N104,IF(INDEX('Leads'!$AJ$8:$AJ$107,MATCH($A104,'Leads'!$AE$8:$AE$107,0))="","",INDEX('Leads'!$AJ$8:$AJ$107,MATCH($A104,'Leads'!$AE$8:$AE$107,0)))&lt;&gt;$O104,IF(INDEX('Leads'!$AK$8:$AK$107,MATCH($A104,'Leads'!$AE$8:$AE$107,0))="","",INDEX('Leads'!$AK$8:$AK$107,MATCH($A104,'Leads'!$AE$8:$AE$107,0)))&lt;&gt;$P104,IF(INDEX('Leads'!$AL$8:$AL$107,MATCH($A104,'Leads'!$AE$8:$AE$107,0))="","",INDEX('Leads'!$AL$8:$AL$107,MATCH($A104,'Leads'!$AE$8:$AE$107,0)))&lt;&gt;$Q104,IF(INDEX('Leads'!$AM$8:$AM$107,MATCH($A104,'Leads'!$AE$8:$AE$107,0))="","",INDEX('Leads'!$AM$8:$AM$107,MATCH($A104,'Leads'!$AE$8:$AE$107,0)))&lt;&gt;$R104,IF(INDEX('Leads'!$AN$8:$AN$107,MATCH($A104,'Leads'!$AE$8:$AE$107,0))="","",INDEX('Leads'!$AN$8:$AN$107,MATCH($A104,'Leads'!$AE$8:$AE$107,0)))&lt;&gt;$S104,IF(INDEX('Leads'!$AO$8:$AO$107,MATCH($A104,'Leads'!$AE$8:$AE$107,0))="","",INDEX('Leads'!$AO$8:$AO$107,MATCH($A104,'Leads'!$AE$8:$AE$107,0)))&lt;&gt;$T104,IF(INDEX('Leads'!$AP$8:$AP$107,MATCH($A104,'Leads'!$AE$8:$AE$107,0))="","",INDEX('Leads'!$AP$8:$AP$107,MATCH($A104,'Leads'!$AE$8:$AE$107,0)))&lt;&gt;$U104,IF(INDEX('Leads'!$AQ$8:$AQ$107,MATCH($A104,'Leads'!$AE$8:$AE$107,0))="","",INDEX('Leads'!$AQ$8:$AQ$107,MATCH($A104,'Leads'!$AE$8:$AE$107,0)))&lt;&gt;$V104,IF(INDEX('Leads'!$AR$8:$AR$107,MATCH($A104,'Leads'!$AE$8:$AE$107,0))="","",INDEX('Leads'!$AR$8:$AR$107,MATCH($A104,'Leads'!$AE$8:$AE$107,0)))&lt;&gt;$W104,IF(INDEX('Leads'!$AS$8:$AS$107,MATCH($A104,'Leads'!$AE$8:$AE$107,0))="","",INDEX('Leads'!$AS$8:$AS$107,MATCH($A104,'Leads'!$AE$8:$AE$107,0)))&lt;&gt;$X104,IF(INDEX('Leads'!$AT$8:$AT$107,MATCH($A104,'Leads'!$AE$8:$AE$107,0))="","",INDEX('Leads'!$AT$8:$AT$107,MATCH($A104,'Leads'!$AE$8:$AE$107,0)))&lt;&gt;$Y104),"ข้อมูลรับเข้าต่าง — ตรวจเอง","ตรงกัน — ห้ามนำเข้าซ้ำ"),"ตรวจ Lead ID เดิม")))</x:f>
      </x:c>
    </x:row>
    <x:row r="105" ht="30" customHeight="1">
      <x:c r="A105" s="94"/>
      <x:c r="B105" s="94"/>
      <x:c r="C105" s="86"/>
      <x:c r="D105" s="32"/>
      <x:c r="E105" s="32"/>
      <x:c r="F105" s="32"/>
      <x:c r="G105" s="32"/>
      <x:c r="H105" s="94"/>
      <x:c r="I105" s="94"/>
      <x:c r="J105" s="94"/>
      <x:c r="K105" s="32"/>
      <x:c r="L105" s="32"/>
      <x:c r="M105" s="32"/>
      <x:c r="N105" s="32"/>
      <x:c r="O105" s="88"/>
      <x:c r="P105" s="32"/>
      <x:c r="Q105" s="32"/>
      <x:c r="R105" s="32"/>
      <x:c r="S105" s="32"/>
      <x:c r="T105" s="32"/>
      <x:c r="U105" s="32"/>
      <x:c r="V105" s="94"/>
      <x:c r="W105" s="32"/>
      <x:c r="X105" s="32"/>
      <x:c r="Y105" s="32"/>
      <x:c r="Z105" s="86"/>
      <x:c r="AA105" s="42" t="str">
        <x:f>IF(AND($A105="",$B105=""),"",IF(OR($A105="",$B105=""),"CHECK_INPUT",IF(OR($Y105="test",COUNTIF('Guide_Lists'!$AR$2:$AR$4,$B105)&gt;0),"TEST_DO_NOT_IMPORT",IF(OR(COUNTIF('Import_Staging'!$A$8:$A$107,$A105)&gt;1,COUNTIF('Import_Staging'!$B$8:$B$107,$B105)&gt;1),"DUPLICATE_IN_IMPORT",IF(COUNTIF('Leads'!$AE$8:$AE$107,$A105)&gt;0,"EXISTS",IF(COUNTIF('Leads'!$A$8:$A$107,$B105)&gt;0,"CHECK_INPUT",IF(AND($Y105="production",ISNUMBER($C105)),"NEW","CHECK_INPUT")))))))</x:f>
      </x:c>
      <x:c r="AB105" s="42" t="str">
        <x:f>IF($AA105="","",IF($AA105&lt;&gt;"EXISTS","",IFERROR(IF(OR(IF(INDEX('Leads'!$A$8:$A$107,MATCH($A105,'Leads'!$AE$8:$AE$107,0))="","",INDEX('Leads'!$A$8:$A$107,MATCH($A105,'Leads'!$AE$8:$AE$107,0)))&lt;&gt;$B105,IF(INDEX('Leads'!$AF$8:$AF$107,MATCH($A105,'Leads'!$AE$8:$AE$107,0))="","",INDEX('Leads'!$AF$8:$AF$107,MATCH($A105,'Leads'!$AE$8:$AE$107,0)))&lt;&gt;$C105,IF(INDEX('Leads'!$AG$8:$AG$107,MATCH($A105,'Leads'!$AE$8:$AE$107,0))="","",INDEX('Leads'!$AG$8:$AG$107,MATCH($A105,'Leads'!$AE$8:$AE$107,0)))&lt;&gt;$D105,IF(INDEX('Leads'!$B$8:$B$107,MATCH($A105,'Leads'!$AE$8:$AE$107,0))="","",INDEX('Leads'!$B$8:$B$107,MATCH($A105,'Leads'!$AE$8:$AE$107,0)))&lt;&gt;$E105,IF(INDEX('Leads'!$C$8:$C$107,MATCH($A105,'Leads'!$AE$8:$AE$107,0))="","",INDEX('Leads'!$C$8:$C$107,MATCH($A105,'Leads'!$AE$8:$AE$107,0)))&lt;&gt;$F105,IF(INDEX('Leads'!$K$8:$K$107,MATCH($A105,'Leads'!$AE$8:$AE$107,0))="","",INDEX('Leads'!$K$8:$K$107,MATCH($A105,'Leads'!$AE$8:$AE$107,0)))&lt;&gt;$G105,IF(INDEX('Leads'!$L$8:$L$107,MATCH($A105,'Leads'!$AE$8:$AE$107,0))="","",INDEX('Leads'!$L$8:$L$107,MATCH($A105,'Leads'!$AE$8:$AE$107,0)))&lt;&gt;$H105,IF(INDEX('Leads'!$M$8:$M$107,MATCH($A105,'Leads'!$AE$8:$AE$107,0))="","",INDEX('Leads'!$M$8:$M$107,MATCH($A105,'Leads'!$AE$8:$AE$107,0)))&lt;&gt;$I105,IF(INDEX('Leads'!$N$8:$N$107,MATCH($A105,'Leads'!$AE$8:$AE$107,0))="","",INDEX('Leads'!$N$8:$N$107,MATCH($A105,'Leads'!$AE$8:$AE$107,0)))&lt;&gt;$J105,IF(INDEX('Leads'!$AH$8:$AH$107,MATCH($A105,'Leads'!$AE$8:$AE$107,0))="","",INDEX('Leads'!$AH$8:$AH$107,MATCH($A105,'Leads'!$AE$8:$AE$107,0)))&lt;&gt;$K105,IF(INDEX('Leads'!$D$8:$D$107,MATCH($A105,'Leads'!$AE$8:$AE$107,0))="","",INDEX('Leads'!$D$8:$D$107,MATCH($A105,'Leads'!$AE$8:$AE$107,0)))&lt;&gt;$L105,IF(INDEX('Leads'!$E$8:$E$107,MATCH($A105,'Leads'!$AE$8:$AE$107,0))="","",INDEX('Leads'!$E$8:$E$107,MATCH($A105,'Leads'!$AE$8:$AE$107,0)))&lt;&gt;$M105,IF(INDEX('Leads'!$AI$8:$AI$107,MATCH($A105,'Leads'!$AE$8:$AE$107,0))="","",INDEX('Leads'!$AI$8:$AI$107,MATCH($A105,'Leads'!$AE$8:$AE$107,0)))&lt;&gt;$N105,IF(INDEX('Leads'!$AJ$8:$AJ$107,MATCH($A105,'Leads'!$AE$8:$AE$107,0))="","",INDEX('Leads'!$AJ$8:$AJ$107,MATCH($A105,'Leads'!$AE$8:$AE$107,0)))&lt;&gt;$O105,IF(INDEX('Leads'!$AK$8:$AK$107,MATCH($A105,'Leads'!$AE$8:$AE$107,0))="","",INDEX('Leads'!$AK$8:$AK$107,MATCH($A105,'Leads'!$AE$8:$AE$107,0)))&lt;&gt;$P105,IF(INDEX('Leads'!$AL$8:$AL$107,MATCH($A105,'Leads'!$AE$8:$AE$107,0))="","",INDEX('Leads'!$AL$8:$AL$107,MATCH($A105,'Leads'!$AE$8:$AE$107,0)))&lt;&gt;$Q105,IF(INDEX('Leads'!$AM$8:$AM$107,MATCH($A105,'Leads'!$AE$8:$AE$107,0))="","",INDEX('Leads'!$AM$8:$AM$107,MATCH($A105,'Leads'!$AE$8:$AE$107,0)))&lt;&gt;$R105,IF(INDEX('Leads'!$AN$8:$AN$107,MATCH($A105,'Leads'!$AE$8:$AE$107,0))="","",INDEX('Leads'!$AN$8:$AN$107,MATCH($A105,'Leads'!$AE$8:$AE$107,0)))&lt;&gt;$S105,IF(INDEX('Leads'!$AO$8:$AO$107,MATCH($A105,'Leads'!$AE$8:$AE$107,0))="","",INDEX('Leads'!$AO$8:$AO$107,MATCH($A105,'Leads'!$AE$8:$AE$107,0)))&lt;&gt;$T105,IF(INDEX('Leads'!$AP$8:$AP$107,MATCH($A105,'Leads'!$AE$8:$AE$107,0))="","",INDEX('Leads'!$AP$8:$AP$107,MATCH($A105,'Leads'!$AE$8:$AE$107,0)))&lt;&gt;$U105,IF(INDEX('Leads'!$AQ$8:$AQ$107,MATCH($A105,'Leads'!$AE$8:$AE$107,0))="","",INDEX('Leads'!$AQ$8:$AQ$107,MATCH($A105,'Leads'!$AE$8:$AE$107,0)))&lt;&gt;$V105,IF(INDEX('Leads'!$AR$8:$AR$107,MATCH($A105,'Leads'!$AE$8:$AE$107,0))="","",INDEX('Leads'!$AR$8:$AR$107,MATCH($A105,'Leads'!$AE$8:$AE$107,0)))&lt;&gt;$W105,IF(INDEX('Leads'!$AS$8:$AS$107,MATCH($A105,'Leads'!$AE$8:$AE$107,0))="","",INDEX('Leads'!$AS$8:$AS$107,MATCH($A105,'Leads'!$AE$8:$AE$107,0)))&lt;&gt;$X105,IF(INDEX('Leads'!$AT$8:$AT$107,MATCH($A105,'Leads'!$AE$8:$AE$107,0))="","",INDEX('Leads'!$AT$8:$AT$107,MATCH($A105,'Leads'!$AE$8:$AE$107,0)))&lt;&gt;$Y105),"ข้อมูลรับเข้าต่าง — ตรวจเอง","ตรงกัน — ห้ามนำเข้าซ้ำ"),"ตรวจ Lead ID เดิม")))</x:f>
      </x:c>
    </x:row>
    <x:row r="106" ht="30" customHeight="1">
      <x:c r="A106" s="94"/>
      <x:c r="B106" s="94"/>
      <x:c r="C106" s="86"/>
      <x:c r="D106" s="32"/>
      <x:c r="E106" s="32"/>
      <x:c r="F106" s="32"/>
      <x:c r="G106" s="32"/>
      <x:c r="H106" s="94"/>
      <x:c r="I106" s="94"/>
      <x:c r="J106" s="94"/>
      <x:c r="K106" s="32"/>
      <x:c r="L106" s="32"/>
      <x:c r="M106" s="32"/>
      <x:c r="N106" s="32"/>
      <x:c r="O106" s="88"/>
      <x:c r="P106" s="32"/>
      <x:c r="Q106" s="32"/>
      <x:c r="R106" s="32"/>
      <x:c r="S106" s="32"/>
      <x:c r="T106" s="32"/>
      <x:c r="U106" s="32"/>
      <x:c r="V106" s="94"/>
      <x:c r="W106" s="32"/>
      <x:c r="X106" s="32"/>
      <x:c r="Y106" s="32"/>
      <x:c r="Z106" s="86"/>
      <x:c r="AA106" s="42" t="str">
        <x:f>IF(AND($A106="",$B106=""),"",IF(OR($A106="",$B106=""),"CHECK_INPUT",IF(OR($Y106="test",COUNTIF('Guide_Lists'!$AR$2:$AR$4,$B106)&gt;0),"TEST_DO_NOT_IMPORT",IF(OR(COUNTIF('Import_Staging'!$A$8:$A$107,$A106)&gt;1,COUNTIF('Import_Staging'!$B$8:$B$107,$B106)&gt;1),"DUPLICATE_IN_IMPORT",IF(COUNTIF('Leads'!$AE$8:$AE$107,$A106)&gt;0,"EXISTS",IF(COUNTIF('Leads'!$A$8:$A$107,$B106)&gt;0,"CHECK_INPUT",IF(AND($Y106="production",ISNUMBER($C106)),"NEW","CHECK_INPUT")))))))</x:f>
      </x:c>
      <x:c r="AB106" s="42" t="str">
        <x:f>IF($AA106="","",IF($AA106&lt;&gt;"EXISTS","",IFERROR(IF(OR(IF(INDEX('Leads'!$A$8:$A$107,MATCH($A106,'Leads'!$AE$8:$AE$107,0))="","",INDEX('Leads'!$A$8:$A$107,MATCH($A106,'Leads'!$AE$8:$AE$107,0)))&lt;&gt;$B106,IF(INDEX('Leads'!$AF$8:$AF$107,MATCH($A106,'Leads'!$AE$8:$AE$107,0))="","",INDEX('Leads'!$AF$8:$AF$107,MATCH($A106,'Leads'!$AE$8:$AE$107,0)))&lt;&gt;$C106,IF(INDEX('Leads'!$AG$8:$AG$107,MATCH($A106,'Leads'!$AE$8:$AE$107,0))="","",INDEX('Leads'!$AG$8:$AG$107,MATCH($A106,'Leads'!$AE$8:$AE$107,0)))&lt;&gt;$D106,IF(INDEX('Leads'!$B$8:$B$107,MATCH($A106,'Leads'!$AE$8:$AE$107,0))="","",INDEX('Leads'!$B$8:$B$107,MATCH($A106,'Leads'!$AE$8:$AE$107,0)))&lt;&gt;$E106,IF(INDEX('Leads'!$C$8:$C$107,MATCH($A106,'Leads'!$AE$8:$AE$107,0))="","",INDEX('Leads'!$C$8:$C$107,MATCH($A106,'Leads'!$AE$8:$AE$107,0)))&lt;&gt;$F106,IF(INDEX('Leads'!$K$8:$K$107,MATCH($A106,'Leads'!$AE$8:$AE$107,0))="","",INDEX('Leads'!$K$8:$K$107,MATCH($A106,'Leads'!$AE$8:$AE$107,0)))&lt;&gt;$G106,IF(INDEX('Leads'!$L$8:$L$107,MATCH($A106,'Leads'!$AE$8:$AE$107,0))="","",INDEX('Leads'!$L$8:$L$107,MATCH($A106,'Leads'!$AE$8:$AE$107,0)))&lt;&gt;$H106,IF(INDEX('Leads'!$M$8:$M$107,MATCH($A106,'Leads'!$AE$8:$AE$107,0))="","",INDEX('Leads'!$M$8:$M$107,MATCH($A106,'Leads'!$AE$8:$AE$107,0)))&lt;&gt;$I106,IF(INDEX('Leads'!$N$8:$N$107,MATCH($A106,'Leads'!$AE$8:$AE$107,0))="","",INDEX('Leads'!$N$8:$N$107,MATCH($A106,'Leads'!$AE$8:$AE$107,0)))&lt;&gt;$J106,IF(INDEX('Leads'!$AH$8:$AH$107,MATCH($A106,'Leads'!$AE$8:$AE$107,0))="","",INDEX('Leads'!$AH$8:$AH$107,MATCH($A106,'Leads'!$AE$8:$AE$107,0)))&lt;&gt;$K106,IF(INDEX('Leads'!$D$8:$D$107,MATCH($A106,'Leads'!$AE$8:$AE$107,0))="","",INDEX('Leads'!$D$8:$D$107,MATCH($A106,'Leads'!$AE$8:$AE$107,0)))&lt;&gt;$L106,IF(INDEX('Leads'!$E$8:$E$107,MATCH($A106,'Leads'!$AE$8:$AE$107,0))="","",INDEX('Leads'!$E$8:$E$107,MATCH($A106,'Leads'!$AE$8:$AE$107,0)))&lt;&gt;$M106,IF(INDEX('Leads'!$AI$8:$AI$107,MATCH($A106,'Leads'!$AE$8:$AE$107,0))="","",INDEX('Leads'!$AI$8:$AI$107,MATCH($A106,'Leads'!$AE$8:$AE$107,0)))&lt;&gt;$N106,IF(INDEX('Leads'!$AJ$8:$AJ$107,MATCH($A106,'Leads'!$AE$8:$AE$107,0))="","",INDEX('Leads'!$AJ$8:$AJ$107,MATCH($A106,'Leads'!$AE$8:$AE$107,0)))&lt;&gt;$O106,IF(INDEX('Leads'!$AK$8:$AK$107,MATCH($A106,'Leads'!$AE$8:$AE$107,0))="","",INDEX('Leads'!$AK$8:$AK$107,MATCH($A106,'Leads'!$AE$8:$AE$107,0)))&lt;&gt;$P106,IF(INDEX('Leads'!$AL$8:$AL$107,MATCH($A106,'Leads'!$AE$8:$AE$107,0))="","",INDEX('Leads'!$AL$8:$AL$107,MATCH($A106,'Leads'!$AE$8:$AE$107,0)))&lt;&gt;$Q106,IF(INDEX('Leads'!$AM$8:$AM$107,MATCH($A106,'Leads'!$AE$8:$AE$107,0))="","",INDEX('Leads'!$AM$8:$AM$107,MATCH($A106,'Leads'!$AE$8:$AE$107,0)))&lt;&gt;$R106,IF(INDEX('Leads'!$AN$8:$AN$107,MATCH($A106,'Leads'!$AE$8:$AE$107,0))="","",INDEX('Leads'!$AN$8:$AN$107,MATCH($A106,'Leads'!$AE$8:$AE$107,0)))&lt;&gt;$S106,IF(INDEX('Leads'!$AO$8:$AO$107,MATCH($A106,'Leads'!$AE$8:$AE$107,0))="","",INDEX('Leads'!$AO$8:$AO$107,MATCH($A106,'Leads'!$AE$8:$AE$107,0)))&lt;&gt;$T106,IF(INDEX('Leads'!$AP$8:$AP$107,MATCH($A106,'Leads'!$AE$8:$AE$107,0))="","",INDEX('Leads'!$AP$8:$AP$107,MATCH($A106,'Leads'!$AE$8:$AE$107,0)))&lt;&gt;$U106,IF(INDEX('Leads'!$AQ$8:$AQ$107,MATCH($A106,'Leads'!$AE$8:$AE$107,0))="","",INDEX('Leads'!$AQ$8:$AQ$107,MATCH($A106,'Leads'!$AE$8:$AE$107,0)))&lt;&gt;$V106,IF(INDEX('Leads'!$AR$8:$AR$107,MATCH($A106,'Leads'!$AE$8:$AE$107,0))="","",INDEX('Leads'!$AR$8:$AR$107,MATCH($A106,'Leads'!$AE$8:$AE$107,0)))&lt;&gt;$W106,IF(INDEX('Leads'!$AS$8:$AS$107,MATCH($A106,'Leads'!$AE$8:$AE$107,0))="","",INDEX('Leads'!$AS$8:$AS$107,MATCH($A106,'Leads'!$AE$8:$AE$107,0)))&lt;&gt;$X106,IF(INDEX('Leads'!$AT$8:$AT$107,MATCH($A106,'Leads'!$AE$8:$AE$107,0))="","",INDEX('Leads'!$AT$8:$AT$107,MATCH($A106,'Leads'!$AE$8:$AE$107,0)))&lt;&gt;$Y106),"ข้อมูลรับเข้าต่าง — ตรวจเอง","ตรงกัน — ห้ามนำเข้าซ้ำ"),"ตรวจ Lead ID เดิม")))</x:f>
      </x:c>
    </x:row>
    <x:row r="107" ht="30" customHeight="1">
      <x:c r="A107" s="94"/>
      <x:c r="B107" s="94"/>
      <x:c r="C107" s="86"/>
      <x:c r="D107" s="32"/>
      <x:c r="E107" s="32"/>
      <x:c r="F107" s="32"/>
      <x:c r="G107" s="32"/>
      <x:c r="H107" s="94"/>
      <x:c r="I107" s="94"/>
      <x:c r="J107" s="94"/>
      <x:c r="K107" s="32"/>
      <x:c r="L107" s="32"/>
      <x:c r="M107" s="32"/>
      <x:c r="N107" s="32"/>
      <x:c r="O107" s="88"/>
      <x:c r="P107" s="32"/>
      <x:c r="Q107" s="32"/>
      <x:c r="R107" s="32"/>
      <x:c r="S107" s="32"/>
      <x:c r="T107" s="32"/>
      <x:c r="U107" s="32"/>
      <x:c r="V107" s="94"/>
      <x:c r="W107" s="32"/>
      <x:c r="X107" s="32"/>
      <x:c r="Y107" s="32"/>
      <x:c r="Z107" s="86"/>
      <x:c r="AA107" s="42" t="str">
        <x:f>IF(AND($A107="",$B107=""),"",IF(OR($A107="",$B107=""),"CHECK_INPUT",IF(OR($Y107="test",COUNTIF('Guide_Lists'!$AR$2:$AR$4,$B107)&gt;0),"TEST_DO_NOT_IMPORT",IF(OR(COUNTIF('Import_Staging'!$A$8:$A$107,$A107)&gt;1,COUNTIF('Import_Staging'!$B$8:$B$107,$B107)&gt;1),"DUPLICATE_IN_IMPORT",IF(COUNTIF('Leads'!$AE$8:$AE$107,$A107)&gt;0,"EXISTS",IF(COUNTIF('Leads'!$A$8:$A$107,$B107)&gt;0,"CHECK_INPUT",IF(AND($Y107="production",ISNUMBER($C107)),"NEW","CHECK_INPUT")))))))</x:f>
      </x:c>
      <x:c r="AB107" s="42" t="str">
        <x:f>IF($AA107="","",IF($AA107&lt;&gt;"EXISTS","",IFERROR(IF(OR(IF(INDEX('Leads'!$A$8:$A$107,MATCH($A107,'Leads'!$AE$8:$AE$107,0))="","",INDEX('Leads'!$A$8:$A$107,MATCH($A107,'Leads'!$AE$8:$AE$107,0)))&lt;&gt;$B107,IF(INDEX('Leads'!$AF$8:$AF$107,MATCH($A107,'Leads'!$AE$8:$AE$107,0))="","",INDEX('Leads'!$AF$8:$AF$107,MATCH($A107,'Leads'!$AE$8:$AE$107,0)))&lt;&gt;$C107,IF(INDEX('Leads'!$AG$8:$AG$107,MATCH($A107,'Leads'!$AE$8:$AE$107,0))="","",INDEX('Leads'!$AG$8:$AG$107,MATCH($A107,'Leads'!$AE$8:$AE$107,0)))&lt;&gt;$D107,IF(INDEX('Leads'!$B$8:$B$107,MATCH($A107,'Leads'!$AE$8:$AE$107,0))="","",INDEX('Leads'!$B$8:$B$107,MATCH($A107,'Leads'!$AE$8:$AE$107,0)))&lt;&gt;$E107,IF(INDEX('Leads'!$C$8:$C$107,MATCH($A107,'Leads'!$AE$8:$AE$107,0))="","",INDEX('Leads'!$C$8:$C$107,MATCH($A107,'Leads'!$AE$8:$AE$107,0)))&lt;&gt;$F107,IF(INDEX('Leads'!$K$8:$K$107,MATCH($A107,'Leads'!$AE$8:$AE$107,0))="","",INDEX('Leads'!$K$8:$K$107,MATCH($A107,'Leads'!$AE$8:$AE$107,0)))&lt;&gt;$G107,IF(INDEX('Leads'!$L$8:$L$107,MATCH($A107,'Leads'!$AE$8:$AE$107,0))="","",INDEX('Leads'!$L$8:$L$107,MATCH($A107,'Leads'!$AE$8:$AE$107,0)))&lt;&gt;$H107,IF(INDEX('Leads'!$M$8:$M$107,MATCH($A107,'Leads'!$AE$8:$AE$107,0))="","",INDEX('Leads'!$M$8:$M$107,MATCH($A107,'Leads'!$AE$8:$AE$107,0)))&lt;&gt;$I107,IF(INDEX('Leads'!$N$8:$N$107,MATCH($A107,'Leads'!$AE$8:$AE$107,0))="","",INDEX('Leads'!$N$8:$N$107,MATCH($A107,'Leads'!$AE$8:$AE$107,0)))&lt;&gt;$J107,IF(INDEX('Leads'!$AH$8:$AH$107,MATCH($A107,'Leads'!$AE$8:$AE$107,0))="","",INDEX('Leads'!$AH$8:$AH$107,MATCH($A107,'Leads'!$AE$8:$AE$107,0)))&lt;&gt;$K107,IF(INDEX('Leads'!$D$8:$D$107,MATCH($A107,'Leads'!$AE$8:$AE$107,0))="","",INDEX('Leads'!$D$8:$D$107,MATCH($A107,'Leads'!$AE$8:$AE$107,0)))&lt;&gt;$L107,IF(INDEX('Leads'!$E$8:$E$107,MATCH($A107,'Leads'!$AE$8:$AE$107,0))="","",INDEX('Leads'!$E$8:$E$107,MATCH($A107,'Leads'!$AE$8:$AE$107,0)))&lt;&gt;$M107,IF(INDEX('Leads'!$AI$8:$AI$107,MATCH($A107,'Leads'!$AE$8:$AE$107,0))="","",INDEX('Leads'!$AI$8:$AI$107,MATCH($A107,'Leads'!$AE$8:$AE$107,0)))&lt;&gt;$N107,IF(INDEX('Leads'!$AJ$8:$AJ$107,MATCH($A107,'Leads'!$AE$8:$AE$107,0))="","",INDEX('Leads'!$AJ$8:$AJ$107,MATCH($A107,'Leads'!$AE$8:$AE$107,0)))&lt;&gt;$O107,IF(INDEX('Leads'!$AK$8:$AK$107,MATCH($A107,'Leads'!$AE$8:$AE$107,0))="","",INDEX('Leads'!$AK$8:$AK$107,MATCH($A107,'Leads'!$AE$8:$AE$107,0)))&lt;&gt;$P107,IF(INDEX('Leads'!$AL$8:$AL$107,MATCH($A107,'Leads'!$AE$8:$AE$107,0))="","",INDEX('Leads'!$AL$8:$AL$107,MATCH($A107,'Leads'!$AE$8:$AE$107,0)))&lt;&gt;$Q107,IF(INDEX('Leads'!$AM$8:$AM$107,MATCH($A107,'Leads'!$AE$8:$AE$107,0))="","",INDEX('Leads'!$AM$8:$AM$107,MATCH($A107,'Leads'!$AE$8:$AE$107,0)))&lt;&gt;$R107,IF(INDEX('Leads'!$AN$8:$AN$107,MATCH($A107,'Leads'!$AE$8:$AE$107,0))="","",INDEX('Leads'!$AN$8:$AN$107,MATCH($A107,'Leads'!$AE$8:$AE$107,0)))&lt;&gt;$S107,IF(INDEX('Leads'!$AO$8:$AO$107,MATCH($A107,'Leads'!$AE$8:$AE$107,0))="","",INDEX('Leads'!$AO$8:$AO$107,MATCH($A107,'Leads'!$AE$8:$AE$107,0)))&lt;&gt;$T107,IF(INDEX('Leads'!$AP$8:$AP$107,MATCH($A107,'Leads'!$AE$8:$AE$107,0))="","",INDEX('Leads'!$AP$8:$AP$107,MATCH($A107,'Leads'!$AE$8:$AE$107,0)))&lt;&gt;$U107,IF(INDEX('Leads'!$AQ$8:$AQ$107,MATCH($A107,'Leads'!$AE$8:$AE$107,0))="","",INDEX('Leads'!$AQ$8:$AQ$107,MATCH($A107,'Leads'!$AE$8:$AE$107,0)))&lt;&gt;$V107,IF(INDEX('Leads'!$AR$8:$AR$107,MATCH($A107,'Leads'!$AE$8:$AE$107,0))="","",INDEX('Leads'!$AR$8:$AR$107,MATCH($A107,'Leads'!$AE$8:$AE$107,0)))&lt;&gt;$W107,IF(INDEX('Leads'!$AS$8:$AS$107,MATCH($A107,'Leads'!$AE$8:$AE$107,0))="","",INDEX('Leads'!$AS$8:$AS$107,MATCH($A107,'Leads'!$AE$8:$AE$107,0)))&lt;&gt;$X107,IF(INDEX('Leads'!$AT$8:$AT$107,MATCH($A107,'Leads'!$AE$8:$AE$107,0))="","",INDEX('Leads'!$AT$8:$AT$107,MATCH($A107,'Leads'!$AE$8:$AE$107,0)))&lt;&gt;$Y107),"ข้อมูลรับเข้าต่าง — ตรวจเอง","ตรงกัน — ห้ามนำเข้าซ้ำ"),"ตรวจ Lead ID เดิม")))</x:f>
      </x:c>
    </x:row>
  </x:sheetData>
  <x:mergeCells>
    <x:mergeCell ref="A1:J2"/>
    <x:mergeCell ref="A3:J3"/>
    <x:mergeCell ref="A4:C4"/>
    <x:mergeCell ref="D4:F4"/>
    <x:mergeCell ref="A5:D5"/>
    <x:mergeCell ref="E5:J5"/>
    <x:mergeCell ref="K5:Q5"/>
    <x:mergeCell ref="R5:Z5"/>
    <x:mergeCell ref="AA5:AB5"/>
  </x:mergeCells>
  <x:conditionalFormatting sqref="AA8:AA107">
    <x:cfRule type="expression" dxfId="11" priority="1">
      <x:formula>$AA8="NEW"</x:formula>
    </x:cfRule>
    <x:cfRule type="expression" dxfId="12" priority="2">
      <x:formula>AND($AA8&lt;&gt;"",$AA8&lt;&gt;"NEW",$AA8&lt;&gt;"EXISTS")</x:formula>
    </x:cfRule>
  </x:conditionalFormatting>
  <x:dataValidations count="10">
    <x:dataValidation type="date" operator="between" allowBlank="1" sqref="C8:C107">
      <x:formula1>DATE(2020,1,1)</x:formula1>
      <x:formula2>DATE(2100,12,31)</x:formula2>
    </x:dataValidation>
    <x:dataValidation type="date" operator="between" allowBlank="1" sqref="Z8:Z107">
      <x:formula1>DATE(2020,1,1)</x:formula1>
      <x:formula2>DATE(2100,12,31)</x:formula2>
    </x:dataValidation>
    <x:dataValidation type="date" operator="between" allowBlank="1" sqref="O8:O107">
      <x:formula1>DATE(2020,1,1)</x:formula1>
      <x:formula2>DATE(2100,12,31)</x:formula2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G8:G107">
      <x:formula1>'Guide_Lists'!$AH$2:$AH$4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D8:D107">
      <x:formula1>'Guide_Lists'!$AI$2:$AI$10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K8:K107">
      <x:formula1>'Guide_Lists'!$AJ$2:$AJ$3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R8:R107">
      <x:formula1>'Guide_Lists'!$AK$2:$AK$8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X8:X107">
      <x:formula1>'Guide_Lists'!$AL$2:$AL$3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Y8:Y107">
      <x:formula1>'Guide_Lists'!$AM$2:$AM$3</x:formula1>
    </x:dataValidation>
    <x:dataValidation type="whole" errorStyle="stop" operator="between" allowBlank="1" showErrorMessage="1" errorTitle="ใช้ค่าตัวเลข" error="ไม่ทราบให้เว้นว่าง ไม่ใช้ 0 แทนข้อมูลที่ยังไม่มี" sqref="M8:M107">
      <x:formula1>1</x:formula1>
      <x:formula2>10000000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74fd15fe56444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7" hidden="0" customWidth="1"/>
    <x:col min="4" max="4" width="40" hidden="0" customWidth="1"/>
    <x:col min="5" max="5" width="20" hidden="0" customWidth="1"/>
    <x:col min="6" max="6" width="14" hidden="0" customWidth="1"/>
    <x:col min="7" max="7" width="18" hidden="0" customWidth="1"/>
    <x:col min="8" max="8" width="14" hidden="0" customWidth="1"/>
    <x:col min="9" max="9" width="40" hidden="0" customWidth="1"/>
    <x:col min="10" max="10" width="23" hidden="0" customWidth="1"/>
    <x:col min="11" max="11" width="40" hidden="0" customWidth="1"/>
  </x:cols>
  <x:sheetData>
    <x:row r="1" ht="25" customHeight="1">
      <x:c r="A1" s="7" t="str">
        <x:v>DD BOX  |  ข้อมูลค่าโฆษณา</x:v>
      </x:c>
      <x:c r="B1" s="7"/>
      <x:c r="C1" s="7"/>
      <x:c r="D1" s="7"/>
      <x:c r="E1" s="7"/>
      <x:c r="F1" s="7"/>
      <x:c r="G1" s="7"/>
      <x:c r="H1" s="7"/>
      <x:c r="I1" s="7"/>
      <x:c r="J1" s="7"/>
      <x:c r="K1" s="3"/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3"/>
    </x:row>
    <x:row r="3" ht="40" customHeight="1">
      <x:c r="A3" s="11" t="str">
        <x:v>สำหรับเปา ไม่ใช่งานกรอกของคุณเปิ้ล • ใช้รายงานแพลตฟอร์มจริง • 1 วัน/แพลตฟอร์ม/Campaign ID ต่อแถว • ช่องว่างไม่ใช่ยอดศูนย์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"/>
    </x:row>
    <x:row r="4" ht="24" customHeight="1">
      <x:c r="A4" s="14" t="str">
        <x:v>วิธีใช้: เปิดแท็บ Guide_Lists</x:v>
      </x:c>
      <x:c r="B4" s="14"/>
      <x:c r="C4" s="14"/>
      <x:c r="D4" s="16" t="str">
        <x:v>ภาพรวม: เปิดแท็บ Dashboard</x:v>
      </x:c>
      <x:c r="E4" s="16"/>
      <x:c r="F4" s="16"/>
      <x:c r="G4" s="3"/>
      <x:c r="H4" s="3"/>
      <x:c r="I4" s="3"/>
      <x:c r="J4" s="3"/>
      <x:c r="K4" s="3"/>
    </x:row>
    <x:row r="5" ht="27" customHeight="1">
      <x:c r="A5" s="19" t="str">
        <x:v>01  วันและ Campaign</x:v>
      </x:c>
      <x:c r="B5" s="19"/>
      <x:c r="C5" s="19"/>
      <x:c r="D5" s="19"/>
      <x:c r="E5" s="19" t="str">
        <x:v>02  ผลจากแพลตฟอร์ม</x:v>
      </x:c>
      <x:c r="F5" s="19"/>
      <x:c r="G5" s="19"/>
      <x:c r="H5" s="19"/>
      <x:c r="I5" s="19" t="str">
        <x:v>03  หลักฐาน / ตรวจข้อมูล</x:v>
      </x:c>
      <x:c r="J5" s="19"/>
      <x:c r="K5" s="19"/>
    </x:row>
    <x:row r="6" ht="22" customHeight="1">
      <x:c r="A6" s="23" t="str">
        <x:v>date_th</x:v>
      </x:c>
      <x:c r="B6" s="23" t="str">
        <x:v>platform</x:v>
      </x:c>
      <x:c r="C6" s="23" t="str">
        <x:v>campaign_id</x:v>
      </x:c>
      <x:c r="D6" s="23" t="str">
        <x:v>campaign_name</x:v>
      </x:c>
      <x:c r="E6" s="23" t="str">
        <x:v>spend</x:v>
      </x:c>
      <x:c r="F6" s="23" t="str">
        <x:v>currency</x:v>
      </x:c>
      <x:c r="G6" s="23" t="str">
        <x:v>impressions</x:v>
      </x:c>
      <x:c r="H6" s="23" t="str">
        <x:v>clicks</x:v>
      </x:c>
      <x:c r="I6" s="23" t="str">
        <x:v>report_source</x:v>
      </x:c>
      <x:c r="J6" s="23" t="str">
        <x:v>imported_at</x:v>
      </x:c>
      <x:c r="K6" s="23" t="str">
        <x:v>row_checks</x:v>
      </x:c>
    </x:row>
    <x:row r="7" ht="40" customHeight="1">
      <x:c r="A7" s="27" t="str">
        <x:v>วันที่รายงาน (เวลาไทย)</x:v>
      </x:c>
      <x:c r="B7" s="27" t="str">
        <x:v>แพลตฟอร์ม</x:v>
      </x:c>
      <x:c r="C7" s="27" t="str">
        <x:v>Campaign ID</x:v>
      </x:c>
      <x:c r="D7" s="27" t="str">
        <x:v>ชื่อ Campaign</x:v>
      </x:c>
      <x:c r="E7" s="27" t="str">
        <x:v>ค่าโฆษณาจริง</x:v>
      </x:c>
      <x:c r="F7" s="27" t="str">
        <x:v>สกุลเงิน</x:v>
      </x:c>
      <x:c r="G7" s="27" t="str">
        <x:v>Impressions</x:v>
      </x:c>
      <x:c r="H7" s="27" t="str">
        <x:v>Clicks</x:v>
      </x:c>
      <x:c r="I7" s="27" t="str">
        <x:v>ที่เก็บรายงานต้นทาง</x:v>
      </x:c>
      <x:c r="J7" s="27" t="str">
        <x:v>นำเข้าเมื่อ</x:v>
      </x:c>
      <x:c r="K7" s="27" t="str">
        <x:v>ตรวจข้อมูล · สูตร</x:v>
      </x:c>
    </x:row>
    <x:row r="8" ht="30" customHeight="1">
      <x:c r="A8" s="100"/>
      <x:c r="B8" s="36"/>
      <x:c r="C8" s="96"/>
      <x:c r="D8" s="36"/>
      <x:c r="E8" s="84"/>
      <x:c r="F8" s="36"/>
      <x:c r="G8" s="36"/>
      <x:c r="H8" s="36"/>
      <x:c r="I8" s="36"/>
      <x:c r="J8" s="82"/>
      <x:c r="K8" s="42" t="str">
        <x:f>IF(AND($A8="",$C8=""),"",IF(OR(NOT(ISNUMBER($A8)),$B8="",$C8="",$D8="",NOT(ISNUMBER($E8)),$F8="",$I8=""),"ขาดวัน/Campaign/Spend/สกุล/หลักฐาน",IF(COUNTIFS('Media_Daily'!$A$8:$A$107,$A8,'Media_Daily'!$B$8:$B$107,$B8,'Media_Daily'!$C$8:$C$107,$C8)&gt;1,"วัน/แพลตฟอร์ม/Campaign ซ้ำ","ครบ")))</x:f>
      </x:c>
    </x:row>
    <x:row r="9" ht="30" customHeight="1">
      <x:c r="A9" s="100"/>
      <x:c r="B9" s="36"/>
      <x:c r="C9" s="96"/>
      <x:c r="D9" s="36"/>
      <x:c r="E9" s="84"/>
      <x:c r="F9" s="36"/>
      <x:c r="G9" s="36"/>
      <x:c r="H9" s="36"/>
      <x:c r="I9" s="36"/>
      <x:c r="J9" s="82"/>
      <x:c r="K9" s="42" t="str">
        <x:f>IF(AND($A9="",$C9=""),"",IF(OR(NOT(ISNUMBER($A9)),$B9="",$C9="",$D9="",NOT(ISNUMBER($E9)),$F9="",$I9=""),"ขาดวัน/Campaign/Spend/สกุล/หลักฐาน",IF(COUNTIFS('Media_Daily'!$A$8:$A$107,$A9,'Media_Daily'!$B$8:$B$107,$B9,'Media_Daily'!$C$8:$C$107,$C9)&gt;1,"วัน/แพลตฟอร์ม/Campaign ซ้ำ","ครบ")))</x:f>
      </x:c>
    </x:row>
    <x:row r="10" ht="30" customHeight="1">
      <x:c r="A10" s="100"/>
      <x:c r="B10" s="36"/>
      <x:c r="C10" s="96"/>
      <x:c r="D10" s="36"/>
      <x:c r="E10" s="84"/>
      <x:c r="F10" s="36"/>
      <x:c r="G10" s="36"/>
      <x:c r="H10" s="36"/>
      <x:c r="I10" s="36"/>
      <x:c r="J10" s="82"/>
      <x:c r="K10" s="42" t="str">
        <x:f>IF(AND($A10="",$C10=""),"",IF(OR(NOT(ISNUMBER($A10)),$B10="",$C10="",$D10="",NOT(ISNUMBER($E10)),$F10="",$I10=""),"ขาดวัน/Campaign/Spend/สกุล/หลักฐาน",IF(COUNTIFS('Media_Daily'!$A$8:$A$107,$A10,'Media_Daily'!$B$8:$B$107,$B10,'Media_Daily'!$C$8:$C$107,$C10)&gt;1,"วัน/แพลตฟอร์ม/Campaign ซ้ำ","ครบ")))</x:f>
      </x:c>
    </x:row>
    <x:row r="11" ht="30" customHeight="1">
      <x:c r="A11" s="100"/>
      <x:c r="B11" s="36"/>
      <x:c r="C11" s="96"/>
      <x:c r="D11" s="36"/>
      <x:c r="E11" s="84"/>
      <x:c r="F11" s="36"/>
      <x:c r="G11" s="36"/>
      <x:c r="H11" s="36"/>
      <x:c r="I11" s="36"/>
      <x:c r="J11" s="82"/>
      <x:c r="K11" s="42" t="str">
        <x:f>IF(AND($A11="",$C11=""),"",IF(OR(NOT(ISNUMBER($A11)),$B11="",$C11="",$D11="",NOT(ISNUMBER($E11)),$F11="",$I11=""),"ขาดวัน/Campaign/Spend/สกุล/หลักฐาน",IF(COUNTIFS('Media_Daily'!$A$8:$A$107,$A11,'Media_Daily'!$B$8:$B$107,$B11,'Media_Daily'!$C$8:$C$107,$C11)&gt;1,"วัน/แพลตฟอร์ม/Campaign ซ้ำ","ครบ")))</x:f>
      </x:c>
    </x:row>
    <x:row r="12" ht="30" customHeight="1">
      <x:c r="A12" s="100"/>
      <x:c r="B12" s="36"/>
      <x:c r="C12" s="96"/>
      <x:c r="D12" s="36"/>
      <x:c r="E12" s="84"/>
      <x:c r="F12" s="36"/>
      <x:c r="G12" s="36"/>
      <x:c r="H12" s="36"/>
      <x:c r="I12" s="36"/>
      <x:c r="J12" s="82"/>
      <x:c r="K12" s="42" t="str">
        <x:f>IF(AND($A12="",$C12=""),"",IF(OR(NOT(ISNUMBER($A12)),$B12="",$C12="",$D12="",NOT(ISNUMBER($E12)),$F12="",$I12=""),"ขาดวัน/Campaign/Spend/สกุล/หลักฐาน",IF(COUNTIFS('Media_Daily'!$A$8:$A$107,$A12,'Media_Daily'!$B$8:$B$107,$B12,'Media_Daily'!$C$8:$C$107,$C12)&gt;1,"วัน/แพลตฟอร์ม/Campaign ซ้ำ","ครบ")))</x:f>
      </x:c>
    </x:row>
    <x:row r="13" ht="30" customHeight="1">
      <x:c r="A13" s="100"/>
      <x:c r="B13" s="36"/>
      <x:c r="C13" s="96"/>
      <x:c r="D13" s="36"/>
      <x:c r="E13" s="84"/>
      <x:c r="F13" s="36"/>
      <x:c r="G13" s="36"/>
      <x:c r="H13" s="36"/>
      <x:c r="I13" s="36"/>
      <x:c r="J13" s="82"/>
      <x:c r="K13" s="42" t="str">
        <x:f>IF(AND($A13="",$C13=""),"",IF(OR(NOT(ISNUMBER($A13)),$B13="",$C13="",$D13="",NOT(ISNUMBER($E13)),$F13="",$I13=""),"ขาดวัน/Campaign/Spend/สกุล/หลักฐาน",IF(COUNTIFS('Media_Daily'!$A$8:$A$107,$A13,'Media_Daily'!$B$8:$B$107,$B13,'Media_Daily'!$C$8:$C$107,$C13)&gt;1,"วัน/แพลตฟอร์ม/Campaign ซ้ำ","ครบ")))</x:f>
      </x:c>
    </x:row>
    <x:row r="14" ht="30" customHeight="1">
      <x:c r="A14" s="100"/>
      <x:c r="B14" s="36"/>
      <x:c r="C14" s="96"/>
      <x:c r="D14" s="36"/>
      <x:c r="E14" s="84"/>
      <x:c r="F14" s="36"/>
      <x:c r="G14" s="36"/>
      <x:c r="H14" s="36"/>
      <x:c r="I14" s="36"/>
      <x:c r="J14" s="82"/>
      <x:c r="K14" s="42" t="str">
        <x:f>IF(AND($A14="",$C14=""),"",IF(OR(NOT(ISNUMBER($A14)),$B14="",$C14="",$D14="",NOT(ISNUMBER($E14)),$F14="",$I14=""),"ขาดวัน/Campaign/Spend/สกุล/หลักฐาน",IF(COUNTIFS('Media_Daily'!$A$8:$A$107,$A14,'Media_Daily'!$B$8:$B$107,$B14,'Media_Daily'!$C$8:$C$107,$C14)&gt;1,"วัน/แพลตฟอร์ม/Campaign ซ้ำ","ครบ")))</x:f>
      </x:c>
    </x:row>
    <x:row r="15" ht="30" customHeight="1">
      <x:c r="A15" s="100"/>
      <x:c r="B15" s="36"/>
      <x:c r="C15" s="96"/>
      <x:c r="D15" s="36"/>
      <x:c r="E15" s="84"/>
      <x:c r="F15" s="36"/>
      <x:c r="G15" s="36"/>
      <x:c r="H15" s="36"/>
      <x:c r="I15" s="36"/>
      <x:c r="J15" s="82"/>
      <x:c r="K15" s="42" t="str">
        <x:f>IF(AND($A15="",$C15=""),"",IF(OR(NOT(ISNUMBER($A15)),$B15="",$C15="",$D15="",NOT(ISNUMBER($E15)),$F15="",$I15=""),"ขาดวัน/Campaign/Spend/สกุล/หลักฐาน",IF(COUNTIFS('Media_Daily'!$A$8:$A$107,$A15,'Media_Daily'!$B$8:$B$107,$B15,'Media_Daily'!$C$8:$C$107,$C15)&gt;1,"วัน/แพลตฟอร์ม/Campaign ซ้ำ","ครบ")))</x:f>
      </x:c>
    </x:row>
    <x:row r="16" ht="30" customHeight="1">
      <x:c r="A16" s="100"/>
      <x:c r="B16" s="36"/>
      <x:c r="C16" s="96"/>
      <x:c r="D16" s="36"/>
      <x:c r="E16" s="84"/>
      <x:c r="F16" s="36"/>
      <x:c r="G16" s="36"/>
      <x:c r="H16" s="36"/>
      <x:c r="I16" s="36"/>
      <x:c r="J16" s="82"/>
      <x:c r="K16" s="42" t="str">
        <x:f>IF(AND($A16="",$C16=""),"",IF(OR(NOT(ISNUMBER($A16)),$B16="",$C16="",$D16="",NOT(ISNUMBER($E16)),$F16="",$I16=""),"ขาดวัน/Campaign/Spend/สกุล/หลักฐาน",IF(COUNTIFS('Media_Daily'!$A$8:$A$107,$A16,'Media_Daily'!$B$8:$B$107,$B16,'Media_Daily'!$C$8:$C$107,$C16)&gt;1,"วัน/แพลตฟอร์ม/Campaign ซ้ำ","ครบ")))</x:f>
      </x:c>
    </x:row>
    <x:row r="17" ht="30" customHeight="1">
      <x:c r="A17" s="100"/>
      <x:c r="B17" s="36"/>
      <x:c r="C17" s="96"/>
      <x:c r="D17" s="36"/>
      <x:c r="E17" s="84"/>
      <x:c r="F17" s="36"/>
      <x:c r="G17" s="36"/>
      <x:c r="H17" s="36"/>
      <x:c r="I17" s="36"/>
      <x:c r="J17" s="82"/>
      <x:c r="K17" s="42" t="str">
        <x:f>IF(AND($A17="",$C17=""),"",IF(OR(NOT(ISNUMBER($A17)),$B17="",$C17="",$D17="",NOT(ISNUMBER($E17)),$F17="",$I17=""),"ขาดวัน/Campaign/Spend/สกุล/หลักฐาน",IF(COUNTIFS('Media_Daily'!$A$8:$A$107,$A17,'Media_Daily'!$B$8:$B$107,$B17,'Media_Daily'!$C$8:$C$107,$C17)&gt;1,"วัน/แพลตฟอร์ม/Campaign ซ้ำ","ครบ")))</x:f>
      </x:c>
    </x:row>
    <x:row r="18" ht="30" customHeight="1">
      <x:c r="A18" s="100"/>
      <x:c r="B18" s="36"/>
      <x:c r="C18" s="96"/>
      <x:c r="D18" s="36"/>
      <x:c r="E18" s="84"/>
      <x:c r="F18" s="36"/>
      <x:c r="G18" s="36"/>
      <x:c r="H18" s="36"/>
      <x:c r="I18" s="36"/>
      <x:c r="J18" s="82"/>
      <x:c r="K18" s="42" t="str">
        <x:f>IF(AND($A18="",$C18=""),"",IF(OR(NOT(ISNUMBER($A18)),$B18="",$C18="",$D18="",NOT(ISNUMBER($E18)),$F18="",$I18=""),"ขาดวัน/Campaign/Spend/สกุล/หลักฐาน",IF(COUNTIFS('Media_Daily'!$A$8:$A$107,$A18,'Media_Daily'!$B$8:$B$107,$B18,'Media_Daily'!$C$8:$C$107,$C18)&gt;1,"วัน/แพลตฟอร์ม/Campaign ซ้ำ","ครบ")))</x:f>
      </x:c>
    </x:row>
    <x:row r="19" ht="30" customHeight="1">
      <x:c r="A19" s="100"/>
      <x:c r="B19" s="36"/>
      <x:c r="C19" s="96"/>
      <x:c r="D19" s="36"/>
      <x:c r="E19" s="84"/>
      <x:c r="F19" s="36"/>
      <x:c r="G19" s="36"/>
      <x:c r="H19" s="36"/>
      <x:c r="I19" s="36"/>
      <x:c r="J19" s="82"/>
      <x:c r="K19" s="42" t="str">
        <x:f>IF(AND($A19="",$C19=""),"",IF(OR(NOT(ISNUMBER($A19)),$B19="",$C19="",$D19="",NOT(ISNUMBER($E19)),$F19="",$I19=""),"ขาดวัน/Campaign/Spend/สกุล/หลักฐาน",IF(COUNTIFS('Media_Daily'!$A$8:$A$107,$A19,'Media_Daily'!$B$8:$B$107,$B19,'Media_Daily'!$C$8:$C$107,$C19)&gt;1,"วัน/แพลตฟอร์ม/Campaign ซ้ำ","ครบ")))</x:f>
      </x:c>
    </x:row>
    <x:row r="20" ht="30" customHeight="1">
      <x:c r="A20" s="100"/>
      <x:c r="B20" s="36"/>
      <x:c r="C20" s="96"/>
      <x:c r="D20" s="36"/>
      <x:c r="E20" s="84"/>
      <x:c r="F20" s="36"/>
      <x:c r="G20" s="36"/>
      <x:c r="H20" s="36"/>
      <x:c r="I20" s="36"/>
      <x:c r="J20" s="82"/>
      <x:c r="K20" s="42" t="str">
        <x:f>IF(AND($A20="",$C20=""),"",IF(OR(NOT(ISNUMBER($A20)),$B20="",$C20="",$D20="",NOT(ISNUMBER($E20)),$F20="",$I20=""),"ขาดวัน/Campaign/Spend/สกุล/หลักฐาน",IF(COUNTIFS('Media_Daily'!$A$8:$A$107,$A20,'Media_Daily'!$B$8:$B$107,$B20,'Media_Daily'!$C$8:$C$107,$C20)&gt;1,"วัน/แพลตฟอร์ม/Campaign ซ้ำ","ครบ")))</x:f>
      </x:c>
    </x:row>
    <x:row r="21" ht="30" customHeight="1">
      <x:c r="A21" s="100"/>
      <x:c r="B21" s="36"/>
      <x:c r="C21" s="96"/>
      <x:c r="D21" s="36"/>
      <x:c r="E21" s="84"/>
      <x:c r="F21" s="36"/>
      <x:c r="G21" s="36"/>
      <x:c r="H21" s="36"/>
      <x:c r="I21" s="36"/>
      <x:c r="J21" s="82"/>
      <x:c r="K21" s="42" t="str">
        <x:f>IF(AND($A21="",$C21=""),"",IF(OR(NOT(ISNUMBER($A21)),$B21="",$C21="",$D21="",NOT(ISNUMBER($E21)),$F21="",$I21=""),"ขาดวัน/Campaign/Spend/สกุล/หลักฐาน",IF(COUNTIFS('Media_Daily'!$A$8:$A$107,$A21,'Media_Daily'!$B$8:$B$107,$B21,'Media_Daily'!$C$8:$C$107,$C21)&gt;1,"วัน/แพลตฟอร์ม/Campaign ซ้ำ","ครบ")))</x:f>
      </x:c>
    </x:row>
    <x:row r="22" ht="30" customHeight="1">
      <x:c r="A22" s="100"/>
      <x:c r="B22" s="36"/>
      <x:c r="C22" s="96"/>
      <x:c r="D22" s="36"/>
      <x:c r="E22" s="84"/>
      <x:c r="F22" s="36"/>
      <x:c r="G22" s="36"/>
      <x:c r="H22" s="36"/>
      <x:c r="I22" s="36"/>
      <x:c r="J22" s="82"/>
      <x:c r="K22" s="42" t="str">
        <x:f>IF(AND($A22="",$C22=""),"",IF(OR(NOT(ISNUMBER($A22)),$B22="",$C22="",$D22="",NOT(ISNUMBER($E22)),$F22="",$I22=""),"ขาดวัน/Campaign/Spend/สกุล/หลักฐาน",IF(COUNTIFS('Media_Daily'!$A$8:$A$107,$A22,'Media_Daily'!$B$8:$B$107,$B22,'Media_Daily'!$C$8:$C$107,$C22)&gt;1,"วัน/แพลตฟอร์ม/Campaign ซ้ำ","ครบ")))</x:f>
      </x:c>
    </x:row>
    <x:row r="23" ht="30" customHeight="1">
      <x:c r="A23" s="100"/>
      <x:c r="B23" s="36"/>
      <x:c r="C23" s="96"/>
      <x:c r="D23" s="36"/>
      <x:c r="E23" s="84"/>
      <x:c r="F23" s="36"/>
      <x:c r="G23" s="36"/>
      <x:c r="H23" s="36"/>
      <x:c r="I23" s="36"/>
      <x:c r="J23" s="82"/>
      <x:c r="K23" s="42" t="str">
        <x:f>IF(AND($A23="",$C23=""),"",IF(OR(NOT(ISNUMBER($A23)),$B23="",$C23="",$D23="",NOT(ISNUMBER($E23)),$F23="",$I23=""),"ขาดวัน/Campaign/Spend/สกุล/หลักฐาน",IF(COUNTIFS('Media_Daily'!$A$8:$A$107,$A23,'Media_Daily'!$B$8:$B$107,$B23,'Media_Daily'!$C$8:$C$107,$C23)&gt;1,"วัน/แพลตฟอร์ม/Campaign ซ้ำ","ครบ")))</x:f>
      </x:c>
    </x:row>
    <x:row r="24" ht="30" customHeight="1">
      <x:c r="A24" s="100"/>
      <x:c r="B24" s="36"/>
      <x:c r="C24" s="96"/>
      <x:c r="D24" s="36"/>
      <x:c r="E24" s="84"/>
      <x:c r="F24" s="36"/>
      <x:c r="G24" s="36"/>
      <x:c r="H24" s="36"/>
      <x:c r="I24" s="36"/>
      <x:c r="J24" s="82"/>
      <x:c r="K24" s="42" t="str">
        <x:f>IF(AND($A24="",$C24=""),"",IF(OR(NOT(ISNUMBER($A24)),$B24="",$C24="",$D24="",NOT(ISNUMBER($E24)),$F24="",$I24=""),"ขาดวัน/Campaign/Spend/สกุล/หลักฐาน",IF(COUNTIFS('Media_Daily'!$A$8:$A$107,$A24,'Media_Daily'!$B$8:$B$107,$B24,'Media_Daily'!$C$8:$C$107,$C24)&gt;1,"วัน/แพลตฟอร์ม/Campaign ซ้ำ","ครบ")))</x:f>
      </x:c>
    </x:row>
    <x:row r="25" ht="30" customHeight="1">
      <x:c r="A25" s="100"/>
      <x:c r="B25" s="36"/>
      <x:c r="C25" s="96"/>
      <x:c r="D25" s="36"/>
      <x:c r="E25" s="84"/>
      <x:c r="F25" s="36"/>
      <x:c r="G25" s="36"/>
      <x:c r="H25" s="36"/>
      <x:c r="I25" s="36"/>
      <x:c r="J25" s="82"/>
      <x:c r="K25" s="42" t="str">
        <x:f>IF(AND($A25="",$C25=""),"",IF(OR(NOT(ISNUMBER($A25)),$B25="",$C25="",$D25="",NOT(ISNUMBER($E25)),$F25="",$I25=""),"ขาดวัน/Campaign/Spend/สกุล/หลักฐาน",IF(COUNTIFS('Media_Daily'!$A$8:$A$107,$A25,'Media_Daily'!$B$8:$B$107,$B25,'Media_Daily'!$C$8:$C$107,$C25)&gt;1,"วัน/แพลตฟอร์ม/Campaign ซ้ำ","ครบ")))</x:f>
      </x:c>
    </x:row>
    <x:row r="26" ht="30" customHeight="1">
      <x:c r="A26" s="100"/>
      <x:c r="B26" s="36"/>
      <x:c r="C26" s="96"/>
      <x:c r="D26" s="36"/>
      <x:c r="E26" s="84"/>
      <x:c r="F26" s="36"/>
      <x:c r="G26" s="36"/>
      <x:c r="H26" s="36"/>
      <x:c r="I26" s="36"/>
      <x:c r="J26" s="82"/>
      <x:c r="K26" s="42" t="str">
        <x:f>IF(AND($A26="",$C26=""),"",IF(OR(NOT(ISNUMBER($A26)),$B26="",$C26="",$D26="",NOT(ISNUMBER($E26)),$F26="",$I26=""),"ขาดวัน/Campaign/Spend/สกุล/หลักฐาน",IF(COUNTIFS('Media_Daily'!$A$8:$A$107,$A26,'Media_Daily'!$B$8:$B$107,$B26,'Media_Daily'!$C$8:$C$107,$C26)&gt;1,"วัน/แพลตฟอร์ม/Campaign ซ้ำ","ครบ")))</x:f>
      </x:c>
    </x:row>
    <x:row r="27" ht="30" customHeight="1">
      <x:c r="A27" s="100"/>
      <x:c r="B27" s="36"/>
      <x:c r="C27" s="96"/>
      <x:c r="D27" s="36"/>
      <x:c r="E27" s="84"/>
      <x:c r="F27" s="36"/>
      <x:c r="G27" s="36"/>
      <x:c r="H27" s="36"/>
      <x:c r="I27" s="36"/>
      <x:c r="J27" s="82"/>
      <x:c r="K27" s="42" t="str">
        <x:f>IF(AND($A27="",$C27=""),"",IF(OR(NOT(ISNUMBER($A27)),$B27="",$C27="",$D27="",NOT(ISNUMBER($E27)),$F27="",$I27=""),"ขาดวัน/Campaign/Spend/สกุล/หลักฐาน",IF(COUNTIFS('Media_Daily'!$A$8:$A$107,$A27,'Media_Daily'!$B$8:$B$107,$B27,'Media_Daily'!$C$8:$C$107,$C27)&gt;1,"วัน/แพลตฟอร์ม/Campaign ซ้ำ","ครบ")))</x:f>
      </x:c>
    </x:row>
    <x:row r="28" ht="30" customHeight="1">
      <x:c r="A28" s="100"/>
      <x:c r="B28" s="36"/>
      <x:c r="C28" s="96"/>
      <x:c r="D28" s="36"/>
      <x:c r="E28" s="84"/>
      <x:c r="F28" s="36"/>
      <x:c r="G28" s="36"/>
      <x:c r="H28" s="36"/>
      <x:c r="I28" s="36"/>
      <x:c r="J28" s="82"/>
      <x:c r="K28" s="42" t="str">
        <x:f>IF(AND($A28="",$C28=""),"",IF(OR(NOT(ISNUMBER($A28)),$B28="",$C28="",$D28="",NOT(ISNUMBER($E28)),$F28="",$I28=""),"ขาดวัน/Campaign/Spend/สกุล/หลักฐาน",IF(COUNTIFS('Media_Daily'!$A$8:$A$107,$A28,'Media_Daily'!$B$8:$B$107,$B28,'Media_Daily'!$C$8:$C$107,$C28)&gt;1,"วัน/แพลตฟอร์ม/Campaign ซ้ำ","ครบ")))</x:f>
      </x:c>
    </x:row>
    <x:row r="29" ht="30" customHeight="1">
      <x:c r="A29" s="100"/>
      <x:c r="B29" s="36"/>
      <x:c r="C29" s="96"/>
      <x:c r="D29" s="36"/>
      <x:c r="E29" s="84"/>
      <x:c r="F29" s="36"/>
      <x:c r="G29" s="36"/>
      <x:c r="H29" s="36"/>
      <x:c r="I29" s="36"/>
      <x:c r="J29" s="82"/>
      <x:c r="K29" s="42" t="str">
        <x:f>IF(AND($A29="",$C29=""),"",IF(OR(NOT(ISNUMBER($A29)),$B29="",$C29="",$D29="",NOT(ISNUMBER($E29)),$F29="",$I29=""),"ขาดวัน/Campaign/Spend/สกุล/หลักฐาน",IF(COUNTIFS('Media_Daily'!$A$8:$A$107,$A29,'Media_Daily'!$B$8:$B$107,$B29,'Media_Daily'!$C$8:$C$107,$C29)&gt;1,"วัน/แพลตฟอร์ม/Campaign ซ้ำ","ครบ")))</x:f>
      </x:c>
    </x:row>
    <x:row r="30" ht="30" customHeight="1">
      <x:c r="A30" s="100"/>
      <x:c r="B30" s="36"/>
      <x:c r="C30" s="96"/>
      <x:c r="D30" s="36"/>
      <x:c r="E30" s="84"/>
      <x:c r="F30" s="36"/>
      <x:c r="G30" s="36"/>
      <x:c r="H30" s="36"/>
      <x:c r="I30" s="36"/>
      <x:c r="J30" s="82"/>
      <x:c r="K30" s="42" t="str">
        <x:f>IF(AND($A30="",$C30=""),"",IF(OR(NOT(ISNUMBER($A30)),$B30="",$C30="",$D30="",NOT(ISNUMBER($E30)),$F30="",$I30=""),"ขาดวัน/Campaign/Spend/สกุล/หลักฐาน",IF(COUNTIFS('Media_Daily'!$A$8:$A$107,$A30,'Media_Daily'!$B$8:$B$107,$B30,'Media_Daily'!$C$8:$C$107,$C30)&gt;1,"วัน/แพลตฟอร์ม/Campaign ซ้ำ","ครบ")))</x:f>
      </x:c>
    </x:row>
    <x:row r="31" ht="30" customHeight="1">
      <x:c r="A31" s="100"/>
      <x:c r="B31" s="36"/>
      <x:c r="C31" s="96"/>
      <x:c r="D31" s="36"/>
      <x:c r="E31" s="84"/>
      <x:c r="F31" s="36"/>
      <x:c r="G31" s="36"/>
      <x:c r="H31" s="36"/>
      <x:c r="I31" s="36"/>
      <x:c r="J31" s="82"/>
      <x:c r="K31" s="42" t="str">
        <x:f>IF(AND($A31="",$C31=""),"",IF(OR(NOT(ISNUMBER($A31)),$B31="",$C31="",$D31="",NOT(ISNUMBER($E31)),$F31="",$I31=""),"ขาดวัน/Campaign/Spend/สกุล/หลักฐาน",IF(COUNTIFS('Media_Daily'!$A$8:$A$107,$A31,'Media_Daily'!$B$8:$B$107,$B31,'Media_Daily'!$C$8:$C$107,$C31)&gt;1,"วัน/แพลตฟอร์ม/Campaign ซ้ำ","ครบ")))</x:f>
      </x:c>
    </x:row>
    <x:row r="32" ht="30" customHeight="1">
      <x:c r="A32" s="100"/>
      <x:c r="B32" s="36"/>
      <x:c r="C32" s="96"/>
      <x:c r="D32" s="36"/>
      <x:c r="E32" s="84"/>
      <x:c r="F32" s="36"/>
      <x:c r="G32" s="36"/>
      <x:c r="H32" s="36"/>
      <x:c r="I32" s="36"/>
      <x:c r="J32" s="82"/>
      <x:c r="K32" s="42" t="str">
        <x:f>IF(AND($A32="",$C32=""),"",IF(OR(NOT(ISNUMBER($A32)),$B32="",$C32="",$D32="",NOT(ISNUMBER($E32)),$F32="",$I32=""),"ขาดวัน/Campaign/Spend/สกุล/หลักฐาน",IF(COUNTIFS('Media_Daily'!$A$8:$A$107,$A32,'Media_Daily'!$B$8:$B$107,$B32,'Media_Daily'!$C$8:$C$107,$C32)&gt;1,"วัน/แพลตฟอร์ม/Campaign ซ้ำ","ครบ")))</x:f>
      </x:c>
    </x:row>
    <x:row r="33" ht="30" customHeight="1">
      <x:c r="A33" s="100"/>
      <x:c r="B33" s="36"/>
      <x:c r="C33" s="96"/>
      <x:c r="D33" s="36"/>
      <x:c r="E33" s="84"/>
      <x:c r="F33" s="36"/>
      <x:c r="G33" s="36"/>
      <x:c r="H33" s="36"/>
      <x:c r="I33" s="36"/>
      <x:c r="J33" s="82"/>
      <x:c r="K33" s="42" t="str">
        <x:f>IF(AND($A33="",$C33=""),"",IF(OR(NOT(ISNUMBER($A33)),$B33="",$C33="",$D33="",NOT(ISNUMBER($E33)),$F33="",$I33=""),"ขาดวัน/Campaign/Spend/สกุล/หลักฐาน",IF(COUNTIFS('Media_Daily'!$A$8:$A$107,$A33,'Media_Daily'!$B$8:$B$107,$B33,'Media_Daily'!$C$8:$C$107,$C33)&gt;1,"วัน/แพลตฟอร์ม/Campaign ซ้ำ","ครบ")))</x:f>
      </x:c>
    </x:row>
    <x:row r="34" ht="30" customHeight="1">
      <x:c r="A34" s="100"/>
      <x:c r="B34" s="36"/>
      <x:c r="C34" s="96"/>
      <x:c r="D34" s="36"/>
      <x:c r="E34" s="84"/>
      <x:c r="F34" s="36"/>
      <x:c r="G34" s="36"/>
      <x:c r="H34" s="36"/>
      <x:c r="I34" s="36"/>
      <x:c r="J34" s="82"/>
      <x:c r="K34" s="42" t="str">
        <x:f>IF(AND($A34="",$C34=""),"",IF(OR(NOT(ISNUMBER($A34)),$B34="",$C34="",$D34="",NOT(ISNUMBER($E34)),$F34="",$I34=""),"ขาดวัน/Campaign/Spend/สกุล/หลักฐาน",IF(COUNTIFS('Media_Daily'!$A$8:$A$107,$A34,'Media_Daily'!$B$8:$B$107,$B34,'Media_Daily'!$C$8:$C$107,$C34)&gt;1,"วัน/แพลตฟอร์ม/Campaign ซ้ำ","ครบ")))</x:f>
      </x:c>
    </x:row>
    <x:row r="35" ht="30" customHeight="1">
      <x:c r="A35" s="100"/>
      <x:c r="B35" s="36"/>
      <x:c r="C35" s="96"/>
      <x:c r="D35" s="36"/>
      <x:c r="E35" s="84"/>
      <x:c r="F35" s="36"/>
      <x:c r="G35" s="36"/>
      <x:c r="H35" s="36"/>
      <x:c r="I35" s="36"/>
      <x:c r="J35" s="82"/>
      <x:c r="K35" s="42" t="str">
        <x:f>IF(AND($A35="",$C35=""),"",IF(OR(NOT(ISNUMBER($A35)),$B35="",$C35="",$D35="",NOT(ISNUMBER($E35)),$F35="",$I35=""),"ขาดวัน/Campaign/Spend/สกุล/หลักฐาน",IF(COUNTIFS('Media_Daily'!$A$8:$A$107,$A35,'Media_Daily'!$B$8:$B$107,$B35,'Media_Daily'!$C$8:$C$107,$C35)&gt;1,"วัน/แพลตฟอร์ม/Campaign ซ้ำ","ครบ")))</x:f>
      </x:c>
    </x:row>
    <x:row r="36" ht="30" customHeight="1">
      <x:c r="A36" s="100"/>
      <x:c r="B36" s="36"/>
      <x:c r="C36" s="96"/>
      <x:c r="D36" s="36"/>
      <x:c r="E36" s="84"/>
      <x:c r="F36" s="36"/>
      <x:c r="G36" s="36"/>
      <x:c r="H36" s="36"/>
      <x:c r="I36" s="36"/>
      <x:c r="J36" s="82"/>
      <x:c r="K36" s="42" t="str">
        <x:f>IF(AND($A36="",$C36=""),"",IF(OR(NOT(ISNUMBER($A36)),$B36="",$C36="",$D36="",NOT(ISNUMBER($E36)),$F36="",$I36=""),"ขาดวัน/Campaign/Spend/สกุล/หลักฐาน",IF(COUNTIFS('Media_Daily'!$A$8:$A$107,$A36,'Media_Daily'!$B$8:$B$107,$B36,'Media_Daily'!$C$8:$C$107,$C36)&gt;1,"วัน/แพลตฟอร์ม/Campaign ซ้ำ","ครบ")))</x:f>
      </x:c>
    </x:row>
    <x:row r="37" ht="30" customHeight="1">
      <x:c r="A37" s="100"/>
      <x:c r="B37" s="36"/>
      <x:c r="C37" s="96"/>
      <x:c r="D37" s="36"/>
      <x:c r="E37" s="84"/>
      <x:c r="F37" s="36"/>
      <x:c r="G37" s="36"/>
      <x:c r="H37" s="36"/>
      <x:c r="I37" s="36"/>
      <x:c r="J37" s="82"/>
      <x:c r="K37" s="42" t="str">
        <x:f>IF(AND($A37="",$C37=""),"",IF(OR(NOT(ISNUMBER($A37)),$B37="",$C37="",$D37="",NOT(ISNUMBER($E37)),$F37="",$I37=""),"ขาดวัน/Campaign/Spend/สกุล/หลักฐาน",IF(COUNTIFS('Media_Daily'!$A$8:$A$107,$A37,'Media_Daily'!$B$8:$B$107,$B37,'Media_Daily'!$C$8:$C$107,$C37)&gt;1,"วัน/แพลตฟอร์ม/Campaign ซ้ำ","ครบ")))</x:f>
      </x:c>
    </x:row>
    <x:row r="38" ht="30" customHeight="1">
      <x:c r="A38" s="100"/>
      <x:c r="B38" s="36"/>
      <x:c r="C38" s="96"/>
      <x:c r="D38" s="36"/>
      <x:c r="E38" s="84"/>
      <x:c r="F38" s="36"/>
      <x:c r="G38" s="36"/>
      <x:c r="H38" s="36"/>
      <x:c r="I38" s="36"/>
      <x:c r="J38" s="82"/>
      <x:c r="K38" s="42" t="str">
        <x:f>IF(AND($A38="",$C38=""),"",IF(OR(NOT(ISNUMBER($A38)),$B38="",$C38="",$D38="",NOT(ISNUMBER($E38)),$F38="",$I38=""),"ขาดวัน/Campaign/Spend/สกุล/หลักฐาน",IF(COUNTIFS('Media_Daily'!$A$8:$A$107,$A38,'Media_Daily'!$B$8:$B$107,$B38,'Media_Daily'!$C$8:$C$107,$C38)&gt;1,"วัน/แพลตฟอร์ม/Campaign ซ้ำ","ครบ")))</x:f>
      </x:c>
    </x:row>
    <x:row r="39" ht="30" customHeight="1">
      <x:c r="A39" s="100"/>
      <x:c r="B39" s="36"/>
      <x:c r="C39" s="96"/>
      <x:c r="D39" s="36"/>
      <x:c r="E39" s="84"/>
      <x:c r="F39" s="36"/>
      <x:c r="G39" s="36"/>
      <x:c r="H39" s="36"/>
      <x:c r="I39" s="36"/>
      <x:c r="J39" s="82"/>
      <x:c r="K39" s="42" t="str">
        <x:f>IF(AND($A39="",$C39=""),"",IF(OR(NOT(ISNUMBER($A39)),$B39="",$C39="",$D39="",NOT(ISNUMBER($E39)),$F39="",$I39=""),"ขาดวัน/Campaign/Spend/สกุล/หลักฐาน",IF(COUNTIFS('Media_Daily'!$A$8:$A$107,$A39,'Media_Daily'!$B$8:$B$107,$B39,'Media_Daily'!$C$8:$C$107,$C39)&gt;1,"วัน/แพลตฟอร์ม/Campaign ซ้ำ","ครบ")))</x:f>
      </x:c>
    </x:row>
    <x:row r="40" ht="30" customHeight="1">
      <x:c r="A40" s="100"/>
      <x:c r="B40" s="36"/>
      <x:c r="C40" s="96"/>
      <x:c r="D40" s="36"/>
      <x:c r="E40" s="84"/>
      <x:c r="F40" s="36"/>
      <x:c r="G40" s="36"/>
      <x:c r="H40" s="36"/>
      <x:c r="I40" s="36"/>
      <x:c r="J40" s="82"/>
      <x:c r="K40" s="42" t="str">
        <x:f>IF(AND($A40="",$C40=""),"",IF(OR(NOT(ISNUMBER($A40)),$B40="",$C40="",$D40="",NOT(ISNUMBER($E40)),$F40="",$I40=""),"ขาดวัน/Campaign/Spend/สกุล/หลักฐาน",IF(COUNTIFS('Media_Daily'!$A$8:$A$107,$A40,'Media_Daily'!$B$8:$B$107,$B40,'Media_Daily'!$C$8:$C$107,$C40)&gt;1,"วัน/แพลตฟอร์ม/Campaign ซ้ำ","ครบ")))</x:f>
      </x:c>
    </x:row>
    <x:row r="41" ht="30" customHeight="1">
      <x:c r="A41" s="100"/>
      <x:c r="B41" s="36"/>
      <x:c r="C41" s="96"/>
      <x:c r="D41" s="36"/>
      <x:c r="E41" s="84"/>
      <x:c r="F41" s="36"/>
      <x:c r="G41" s="36"/>
      <x:c r="H41" s="36"/>
      <x:c r="I41" s="36"/>
      <x:c r="J41" s="82"/>
      <x:c r="K41" s="42" t="str">
        <x:f>IF(AND($A41="",$C41=""),"",IF(OR(NOT(ISNUMBER($A41)),$B41="",$C41="",$D41="",NOT(ISNUMBER($E41)),$F41="",$I41=""),"ขาดวัน/Campaign/Spend/สกุล/หลักฐาน",IF(COUNTIFS('Media_Daily'!$A$8:$A$107,$A41,'Media_Daily'!$B$8:$B$107,$B41,'Media_Daily'!$C$8:$C$107,$C41)&gt;1,"วัน/แพลตฟอร์ม/Campaign ซ้ำ","ครบ")))</x:f>
      </x:c>
    </x:row>
    <x:row r="42" ht="30" customHeight="1">
      <x:c r="A42" s="100"/>
      <x:c r="B42" s="36"/>
      <x:c r="C42" s="96"/>
      <x:c r="D42" s="36"/>
      <x:c r="E42" s="84"/>
      <x:c r="F42" s="36"/>
      <x:c r="G42" s="36"/>
      <x:c r="H42" s="36"/>
      <x:c r="I42" s="36"/>
      <x:c r="J42" s="82"/>
      <x:c r="K42" s="42" t="str">
        <x:f>IF(AND($A42="",$C42=""),"",IF(OR(NOT(ISNUMBER($A42)),$B42="",$C42="",$D42="",NOT(ISNUMBER($E42)),$F42="",$I42=""),"ขาดวัน/Campaign/Spend/สกุล/หลักฐาน",IF(COUNTIFS('Media_Daily'!$A$8:$A$107,$A42,'Media_Daily'!$B$8:$B$107,$B42,'Media_Daily'!$C$8:$C$107,$C42)&gt;1,"วัน/แพลตฟอร์ม/Campaign ซ้ำ","ครบ")))</x:f>
      </x:c>
    </x:row>
    <x:row r="43" ht="30" customHeight="1">
      <x:c r="A43" s="100"/>
      <x:c r="B43" s="36"/>
      <x:c r="C43" s="96"/>
      <x:c r="D43" s="36"/>
      <x:c r="E43" s="84"/>
      <x:c r="F43" s="36"/>
      <x:c r="G43" s="36"/>
      <x:c r="H43" s="36"/>
      <x:c r="I43" s="36"/>
      <x:c r="J43" s="82"/>
      <x:c r="K43" s="42" t="str">
        <x:f>IF(AND($A43="",$C43=""),"",IF(OR(NOT(ISNUMBER($A43)),$B43="",$C43="",$D43="",NOT(ISNUMBER($E43)),$F43="",$I43=""),"ขาดวัน/Campaign/Spend/สกุล/หลักฐาน",IF(COUNTIFS('Media_Daily'!$A$8:$A$107,$A43,'Media_Daily'!$B$8:$B$107,$B43,'Media_Daily'!$C$8:$C$107,$C43)&gt;1,"วัน/แพลตฟอร์ม/Campaign ซ้ำ","ครบ")))</x:f>
      </x:c>
    </x:row>
    <x:row r="44" ht="30" customHeight="1">
      <x:c r="A44" s="100"/>
      <x:c r="B44" s="36"/>
      <x:c r="C44" s="96"/>
      <x:c r="D44" s="36"/>
      <x:c r="E44" s="84"/>
      <x:c r="F44" s="36"/>
      <x:c r="G44" s="36"/>
      <x:c r="H44" s="36"/>
      <x:c r="I44" s="36"/>
      <x:c r="J44" s="82"/>
      <x:c r="K44" s="42" t="str">
        <x:f>IF(AND($A44="",$C44=""),"",IF(OR(NOT(ISNUMBER($A44)),$B44="",$C44="",$D44="",NOT(ISNUMBER($E44)),$F44="",$I44=""),"ขาดวัน/Campaign/Spend/สกุล/หลักฐาน",IF(COUNTIFS('Media_Daily'!$A$8:$A$107,$A44,'Media_Daily'!$B$8:$B$107,$B44,'Media_Daily'!$C$8:$C$107,$C44)&gt;1,"วัน/แพลตฟอร์ม/Campaign ซ้ำ","ครบ")))</x:f>
      </x:c>
    </x:row>
    <x:row r="45" ht="30" customHeight="1">
      <x:c r="A45" s="100"/>
      <x:c r="B45" s="36"/>
      <x:c r="C45" s="96"/>
      <x:c r="D45" s="36"/>
      <x:c r="E45" s="84"/>
      <x:c r="F45" s="36"/>
      <x:c r="G45" s="36"/>
      <x:c r="H45" s="36"/>
      <x:c r="I45" s="36"/>
      <x:c r="J45" s="82"/>
      <x:c r="K45" s="42" t="str">
        <x:f>IF(AND($A45="",$C45=""),"",IF(OR(NOT(ISNUMBER($A45)),$B45="",$C45="",$D45="",NOT(ISNUMBER($E45)),$F45="",$I45=""),"ขาดวัน/Campaign/Spend/สกุล/หลักฐาน",IF(COUNTIFS('Media_Daily'!$A$8:$A$107,$A45,'Media_Daily'!$B$8:$B$107,$B45,'Media_Daily'!$C$8:$C$107,$C45)&gt;1,"วัน/แพลตฟอร์ม/Campaign ซ้ำ","ครบ")))</x:f>
      </x:c>
    </x:row>
    <x:row r="46" ht="30" customHeight="1">
      <x:c r="A46" s="100"/>
      <x:c r="B46" s="36"/>
      <x:c r="C46" s="96"/>
      <x:c r="D46" s="36"/>
      <x:c r="E46" s="84"/>
      <x:c r="F46" s="36"/>
      <x:c r="G46" s="36"/>
      <x:c r="H46" s="36"/>
      <x:c r="I46" s="36"/>
      <x:c r="J46" s="82"/>
      <x:c r="K46" s="42" t="str">
        <x:f>IF(AND($A46="",$C46=""),"",IF(OR(NOT(ISNUMBER($A46)),$B46="",$C46="",$D46="",NOT(ISNUMBER($E46)),$F46="",$I46=""),"ขาดวัน/Campaign/Spend/สกุล/หลักฐาน",IF(COUNTIFS('Media_Daily'!$A$8:$A$107,$A46,'Media_Daily'!$B$8:$B$107,$B46,'Media_Daily'!$C$8:$C$107,$C46)&gt;1,"วัน/แพลตฟอร์ม/Campaign ซ้ำ","ครบ")))</x:f>
      </x:c>
    </x:row>
    <x:row r="47" ht="30" customHeight="1">
      <x:c r="A47" s="100"/>
      <x:c r="B47" s="36"/>
      <x:c r="C47" s="96"/>
      <x:c r="D47" s="36"/>
      <x:c r="E47" s="84"/>
      <x:c r="F47" s="36"/>
      <x:c r="G47" s="36"/>
      <x:c r="H47" s="36"/>
      <x:c r="I47" s="36"/>
      <x:c r="J47" s="82"/>
      <x:c r="K47" s="42" t="str">
        <x:f>IF(AND($A47="",$C47=""),"",IF(OR(NOT(ISNUMBER($A47)),$B47="",$C47="",$D47="",NOT(ISNUMBER($E47)),$F47="",$I47=""),"ขาดวัน/Campaign/Spend/สกุล/หลักฐาน",IF(COUNTIFS('Media_Daily'!$A$8:$A$107,$A47,'Media_Daily'!$B$8:$B$107,$B47,'Media_Daily'!$C$8:$C$107,$C47)&gt;1,"วัน/แพลตฟอร์ม/Campaign ซ้ำ","ครบ")))</x:f>
      </x:c>
    </x:row>
    <x:row r="48" ht="30" customHeight="1">
      <x:c r="A48" s="100"/>
      <x:c r="B48" s="36"/>
      <x:c r="C48" s="96"/>
      <x:c r="D48" s="36"/>
      <x:c r="E48" s="84"/>
      <x:c r="F48" s="36"/>
      <x:c r="G48" s="36"/>
      <x:c r="H48" s="36"/>
      <x:c r="I48" s="36"/>
      <x:c r="J48" s="82"/>
      <x:c r="K48" s="42" t="str">
        <x:f>IF(AND($A48="",$C48=""),"",IF(OR(NOT(ISNUMBER($A48)),$B48="",$C48="",$D48="",NOT(ISNUMBER($E48)),$F48="",$I48=""),"ขาดวัน/Campaign/Spend/สกุล/หลักฐาน",IF(COUNTIFS('Media_Daily'!$A$8:$A$107,$A48,'Media_Daily'!$B$8:$B$107,$B48,'Media_Daily'!$C$8:$C$107,$C48)&gt;1,"วัน/แพลตฟอร์ม/Campaign ซ้ำ","ครบ")))</x:f>
      </x:c>
    </x:row>
    <x:row r="49" ht="30" customHeight="1">
      <x:c r="A49" s="100"/>
      <x:c r="B49" s="36"/>
      <x:c r="C49" s="96"/>
      <x:c r="D49" s="36"/>
      <x:c r="E49" s="84"/>
      <x:c r="F49" s="36"/>
      <x:c r="G49" s="36"/>
      <x:c r="H49" s="36"/>
      <x:c r="I49" s="36"/>
      <x:c r="J49" s="82"/>
      <x:c r="K49" s="42" t="str">
        <x:f>IF(AND($A49="",$C49=""),"",IF(OR(NOT(ISNUMBER($A49)),$B49="",$C49="",$D49="",NOT(ISNUMBER($E49)),$F49="",$I49=""),"ขาดวัน/Campaign/Spend/สกุล/หลักฐาน",IF(COUNTIFS('Media_Daily'!$A$8:$A$107,$A49,'Media_Daily'!$B$8:$B$107,$B49,'Media_Daily'!$C$8:$C$107,$C49)&gt;1,"วัน/แพลตฟอร์ม/Campaign ซ้ำ","ครบ")))</x:f>
      </x:c>
    </x:row>
    <x:row r="50" ht="30" customHeight="1">
      <x:c r="A50" s="100"/>
      <x:c r="B50" s="36"/>
      <x:c r="C50" s="96"/>
      <x:c r="D50" s="36"/>
      <x:c r="E50" s="84"/>
      <x:c r="F50" s="36"/>
      <x:c r="G50" s="36"/>
      <x:c r="H50" s="36"/>
      <x:c r="I50" s="36"/>
      <x:c r="J50" s="82"/>
      <x:c r="K50" s="42" t="str">
        <x:f>IF(AND($A50="",$C50=""),"",IF(OR(NOT(ISNUMBER($A50)),$B50="",$C50="",$D50="",NOT(ISNUMBER($E50)),$F50="",$I50=""),"ขาดวัน/Campaign/Spend/สกุล/หลักฐาน",IF(COUNTIFS('Media_Daily'!$A$8:$A$107,$A50,'Media_Daily'!$B$8:$B$107,$B50,'Media_Daily'!$C$8:$C$107,$C50)&gt;1,"วัน/แพลตฟอร์ม/Campaign ซ้ำ","ครบ")))</x:f>
      </x:c>
    </x:row>
    <x:row r="51" ht="30" customHeight="1">
      <x:c r="A51" s="100"/>
      <x:c r="B51" s="36"/>
      <x:c r="C51" s="96"/>
      <x:c r="D51" s="36"/>
      <x:c r="E51" s="84"/>
      <x:c r="F51" s="36"/>
      <x:c r="G51" s="36"/>
      <x:c r="H51" s="36"/>
      <x:c r="I51" s="36"/>
      <x:c r="J51" s="82"/>
      <x:c r="K51" s="42" t="str">
        <x:f>IF(AND($A51="",$C51=""),"",IF(OR(NOT(ISNUMBER($A51)),$B51="",$C51="",$D51="",NOT(ISNUMBER($E51)),$F51="",$I51=""),"ขาดวัน/Campaign/Spend/สกุล/หลักฐาน",IF(COUNTIFS('Media_Daily'!$A$8:$A$107,$A51,'Media_Daily'!$B$8:$B$107,$B51,'Media_Daily'!$C$8:$C$107,$C51)&gt;1,"วัน/แพลตฟอร์ม/Campaign ซ้ำ","ครบ")))</x:f>
      </x:c>
    </x:row>
    <x:row r="52" ht="30" customHeight="1">
      <x:c r="A52" s="100"/>
      <x:c r="B52" s="36"/>
      <x:c r="C52" s="96"/>
      <x:c r="D52" s="36"/>
      <x:c r="E52" s="84"/>
      <x:c r="F52" s="36"/>
      <x:c r="G52" s="36"/>
      <x:c r="H52" s="36"/>
      <x:c r="I52" s="36"/>
      <x:c r="J52" s="82"/>
      <x:c r="K52" s="42" t="str">
        <x:f>IF(AND($A52="",$C52=""),"",IF(OR(NOT(ISNUMBER($A52)),$B52="",$C52="",$D52="",NOT(ISNUMBER($E52)),$F52="",$I52=""),"ขาดวัน/Campaign/Spend/สกุล/หลักฐาน",IF(COUNTIFS('Media_Daily'!$A$8:$A$107,$A52,'Media_Daily'!$B$8:$B$107,$B52,'Media_Daily'!$C$8:$C$107,$C52)&gt;1,"วัน/แพลตฟอร์ม/Campaign ซ้ำ","ครบ")))</x:f>
      </x:c>
    </x:row>
    <x:row r="53" ht="30" customHeight="1">
      <x:c r="A53" s="100"/>
      <x:c r="B53" s="36"/>
      <x:c r="C53" s="96"/>
      <x:c r="D53" s="36"/>
      <x:c r="E53" s="84"/>
      <x:c r="F53" s="36"/>
      <x:c r="G53" s="36"/>
      <x:c r="H53" s="36"/>
      <x:c r="I53" s="36"/>
      <x:c r="J53" s="82"/>
      <x:c r="K53" s="42" t="str">
        <x:f>IF(AND($A53="",$C53=""),"",IF(OR(NOT(ISNUMBER($A53)),$B53="",$C53="",$D53="",NOT(ISNUMBER($E53)),$F53="",$I53=""),"ขาดวัน/Campaign/Spend/สกุล/หลักฐาน",IF(COUNTIFS('Media_Daily'!$A$8:$A$107,$A53,'Media_Daily'!$B$8:$B$107,$B53,'Media_Daily'!$C$8:$C$107,$C53)&gt;1,"วัน/แพลตฟอร์ม/Campaign ซ้ำ","ครบ")))</x:f>
      </x:c>
    </x:row>
    <x:row r="54" ht="30" customHeight="1">
      <x:c r="A54" s="100"/>
      <x:c r="B54" s="36"/>
      <x:c r="C54" s="96"/>
      <x:c r="D54" s="36"/>
      <x:c r="E54" s="84"/>
      <x:c r="F54" s="36"/>
      <x:c r="G54" s="36"/>
      <x:c r="H54" s="36"/>
      <x:c r="I54" s="36"/>
      <x:c r="J54" s="82"/>
      <x:c r="K54" s="42" t="str">
        <x:f>IF(AND($A54="",$C54=""),"",IF(OR(NOT(ISNUMBER($A54)),$B54="",$C54="",$D54="",NOT(ISNUMBER($E54)),$F54="",$I54=""),"ขาดวัน/Campaign/Spend/สกุล/หลักฐาน",IF(COUNTIFS('Media_Daily'!$A$8:$A$107,$A54,'Media_Daily'!$B$8:$B$107,$B54,'Media_Daily'!$C$8:$C$107,$C54)&gt;1,"วัน/แพลตฟอร์ม/Campaign ซ้ำ","ครบ")))</x:f>
      </x:c>
    </x:row>
    <x:row r="55" ht="30" customHeight="1">
      <x:c r="A55" s="100"/>
      <x:c r="B55" s="36"/>
      <x:c r="C55" s="96"/>
      <x:c r="D55" s="36"/>
      <x:c r="E55" s="84"/>
      <x:c r="F55" s="36"/>
      <x:c r="G55" s="36"/>
      <x:c r="H55" s="36"/>
      <x:c r="I55" s="36"/>
      <x:c r="J55" s="82"/>
      <x:c r="K55" s="42" t="str">
        <x:f>IF(AND($A55="",$C55=""),"",IF(OR(NOT(ISNUMBER($A55)),$B55="",$C55="",$D55="",NOT(ISNUMBER($E55)),$F55="",$I55=""),"ขาดวัน/Campaign/Spend/สกุล/หลักฐาน",IF(COUNTIFS('Media_Daily'!$A$8:$A$107,$A55,'Media_Daily'!$B$8:$B$107,$B55,'Media_Daily'!$C$8:$C$107,$C55)&gt;1,"วัน/แพลตฟอร์ม/Campaign ซ้ำ","ครบ")))</x:f>
      </x:c>
    </x:row>
    <x:row r="56" ht="30" customHeight="1">
      <x:c r="A56" s="100"/>
      <x:c r="B56" s="36"/>
      <x:c r="C56" s="96"/>
      <x:c r="D56" s="36"/>
      <x:c r="E56" s="84"/>
      <x:c r="F56" s="36"/>
      <x:c r="G56" s="36"/>
      <x:c r="H56" s="36"/>
      <x:c r="I56" s="36"/>
      <x:c r="J56" s="82"/>
      <x:c r="K56" s="42" t="str">
        <x:f>IF(AND($A56="",$C56=""),"",IF(OR(NOT(ISNUMBER($A56)),$B56="",$C56="",$D56="",NOT(ISNUMBER($E56)),$F56="",$I56=""),"ขาดวัน/Campaign/Spend/สกุล/หลักฐาน",IF(COUNTIFS('Media_Daily'!$A$8:$A$107,$A56,'Media_Daily'!$B$8:$B$107,$B56,'Media_Daily'!$C$8:$C$107,$C56)&gt;1,"วัน/แพลตฟอร์ม/Campaign ซ้ำ","ครบ")))</x:f>
      </x:c>
    </x:row>
    <x:row r="57" ht="30" customHeight="1">
      <x:c r="A57" s="100"/>
      <x:c r="B57" s="36"/>
      <x:c r="C57" s="96"/>
      <x:c r="D57" s="36"/>
      <x:c r="E57" s="84"/>
      <x:c r="F57" s="36"/>
      <x:c r="G57" s="36"/>
      <x:c r="H57" s="36"/>
      <x:c r="I57" s="36"/>
      <x:c r="J57" s="82"/>
      <x:c r="K57" s="42" t="str">
        <x:f>IF(AND($A57="",$C57=""),"",IF(OR(NOT(ISNUMBER($A57)),$B57="",$C57="",$D57="",NOT(ISNUMBER($E57)),$F57="",$I57=""),"ขาดวัน/Campaign/Spend/สกุล/หลักฐาน",IF(COUNTIFS('Media_Daily'!$A$8:$A$107,$A57,'Media_Daily'!$B$8:$B$107,$B57,'Media_Daily'!$C$8:$C$107,$C57)&gt;1,"วัน/แพลตฟอร์ม/Campaign ซ้ำ","ครบ")))</x:f>
      </x:c>
    </x:row>
    <x:row r="58" ht="30" customHeight="1">
      <x:c r="A58" s="100"/>
      <x:c r="B58" s="36"/>
      <x:c r="C58" s="96"/>
      <x:c r="D58" s="36"/>
      <x:c r="E58" s="84"/>
      <x:c r="F58" s="36"/>
      <x:c r="G58" s="36"/>
      <x:c r="H58" s="36"/>
      <x:c r="I58" s="36"/>
      <x:c r="J58" s="82"/>
      <x:c r="K58" s="42" t="str">
        <x:f>IF(AND($A58="",$C58=""),"",IF(OR(NOT(ISNUMBER($A58)),$B58="",$C58="",$D58="",NOT(ISNUMBER($E58)),$F58="",$I58=""),"ขาดวัน/Campaign/Spend/สกุล/หลักฐาน",IF(COUNTIFS('Media_Daily'!$A$8:$A$107,$A58,'Media_Daily'!$B$8:$B$107,$B58,'Media_Daily'!$C$8:$C$107,$C58)&gt;1,"วัน/แพลตฟอร์ม/Campaign ซ้ำ","ครบ")))</x:f>
      </x:c>
    </x:row>
    <x:row r="59" ht="30" customHeight="1">
      <x:c r="A59" s="100"/>
      <x:c r="B59" s="36"/>
      <x:c r="C59" s="96"/>
      <x:c r="D59" s="36"/>
      <x:c r="E59" s="84"/>
      <x:c r="F59" s="36"/>
      <x:c r="G59" s="36"/>
      <x:c r="H59" s="36"/>
      <x:c r="I59" s="36"/>
      <x:c r="J59" s="82"/>
      <x:c r="K59" s="42" t="str">
        <x:f>IF(AND($A59="",$C59=""),"",IF(OR(NOT(ISNUMBER($A59)),$B59="",$C59="",$D59="",NOT(ISNUMBER($E59)),$F59="",$I59=""),"ขาดวัน/Campaign/Spend/สกุล/หลักฐาน",IF(COUNTIFS('Media_Daily'!$A$8:$A$107,$A59,'Media_Daily'!$B$8:$B$107,$B59,'Media_Daily'!$C$8:$C$107,$C59)&gt;1,"วัน/แพลตฟอร์ม/Campaign ซ้ำ","ครบ")))</x:f>
      </x:c>
    </x:row>
    <x:row r="60" ht="30" customHeight="1">
      <x:c r="A60" s="100"/>
      <x:c r="B60" s="36"/>
      <x:c r="C60" s="96"/>
      <x:c r="D60" s="36"/>
      <x:c r="E60" s="84"/>
      <x:c r="F60" s="36"/>
      <x:c r="G60" s="36"/>
      <x:c r="H60" s="36"/>
      <x:c r="I60" s="36"/>
      <x:c r="J60" s="82"/>
      <x:c r="K60" s="42" t="str">
        <x:f>IF(AND($A60="",$C60=""),"",IF(OR(NOT(ISNUMBER($A60)),$B60="",$C60="",$D60="",NOT(ISNUMBER($E60)),$F60="",$I60=""),"ขาดวัน/Campaign/Spend/สกุล/หลักฐาน",IF(COUNTIFS('Media_Daily'!$A$8:$A$107,$A60,'Media_Daily'!$B$8:$B$107,$B60,'Media_Daily'!$C$8:$C$107,$C60)&gt;1,"วัน/แพลตฟอร์ม/Campaign ซ้ำ","ครบ")))</x:f>
      </x:c>
    </x:row>
    <x:row r="61" ht="30" customHeight="1">
      <x:c r="A61" s="100"/>
      <x:c r="B61" s="36"/>
      <x:c r="C61" s="96"/>
      <x:c r="D61" s="36"/>
      <x:c r="E61" s="84"/>
      <x:c r="F61" s="36"/>
      <x:c r="G61" s="36"/>
      <x:c r="H61" s="36"/>
      <x:c r="I61" s="36"/>
      <x:c r="J61" s="82"/>
      <x:c r="K61" s="42" t="str">
        <x:f>IF(AND($A61="",$C61=""),"",IF(OR(NOT(ISNUMBER($A61)),$B61="",$C61="",$D61="",NOT(ISNUMBER($E61)),$F61="",$I61=""),"ขาดวัน/Campaign/Spend/สกุล/หลักฐาน",IF(COUNTIFS('Media_Daily'!$A$8:$A$107,$A61,'Media_Daily'!$B$8:$B$107,$B61,'Media_Daily'!$C$8:$C$107,$C61)&gt;1,"วัน/แพลตฟอร์ม/Campaign ซ้ำ","ครบ")))</x:f>
      </x:c>
    </x:row>
    <x:row r="62" ht="30" customHeight="1">
      <x:c r="A62" s="100"/>
      <x:c r="B62" s="36"/>
      <x:c r="C62" s="96"/>
      <x:c r="D62" s="36"/>
      <x:c r="E62" s="84"/>
      <x:c r="F62" s="36"/>
      <x:c r="G62" s="36"/>
      <x:c r="H62" s="36"/>
      <x:c r="I62" s="36"/>
      <x:c r="J62" s="82"/>
      <x:c r="K62" s="42" t="str">
        <x:f>IF(AND($A62="",$C62=""),"",IF(OR(NOT(ISNUMBER($A62)),$B62="",$C62="",$D62="",NOT(ISNUMBER($E62)),$F62="",$I62=""),"ขาดวัน/Campaign/Spend/สกุล/หลักฐาน",IF(COUNTIFS('Media_Daily'!$A$8:$A$107,$A62,'Media_Daily'!$B$8:$B$107,$B62,'Media_Daily'!$C$8:$C$107,$C62)&gt;1,"วัน/แพลตฟอร์ม/Campaign ซ้ำ","ครบ")))</x:f>
      </x:c>
    </x:row>
    <x:row r="63" ht="30" customHeight="1">
      <x:c r="A63" s="100"/>
      <x:c r="B63" s="36"/>
      <x:c r="C63" s="96"/>
      <x:c r="D63" s="36"/>
      <x:c r="E63" s="84"/>
      <x:c r="F63" s="36"/>
      <x:c r="G63" s="36"/>
      <x:c r="H63" s="36"/>
      <x:c r="I63" s="36"/>
      <x:c r="J63" s="82"/>
      <x:c r="K63" s="42" t="str">
        <x:f>IF(AND($A63="",$C63=""),"",IF(OR(NOT(ISNUMBER($A63)),$B63="",$C63="",$D63="",NOT(ISNUMBER($E63)),$F63="",$I63=""),"ขาดวัน/Campaign/Spend/สกุล/หลักฐาน",IF(COUNTIFS('Media_Daily'!$A$8:$A$107,$A63,'Media_Daily'!$B$8:$B$107,$B63,'Media_Daily'!$C$8:$C$107,$C63)&gt;1,"วัน/แพลตฟอร์ม/Campaign ซ้ำ","ครบ")))</x:f>
      </x:c>
    </x:row>
    <x:row r="64" ht="30" customHeight="1">
      <x:c r="A64" s="100"/>
      <x:c r="B64" s="36"/>
      <x:c r="C64" s="96"/>
      <x:c r="D64" s="36"/>
      <x:c r="E64" s="84"/>
      <x:c r="F64" s="36"/>
      <x:c r="G64" s="36"/>
      <x:c r="H64" s="36"/>
      <x:c r="I64" s="36"/>
      <x:c r="J64" s="82"/>
      <x:c r="K64" s="42" t="str">
        <x:f>IF(AND($A64="",$C64=""),"",IF(OR(NOT(ISNUMBER($A64)),$B64="",$C64="",$D64="",NOT(ISNUMBER($E64)),$F64="",$I64=""),"ขาดวัน/Campaign/Spend/สกุล/หลักฐาน",IF(COUNTIFS('Media_Daily'!$A$8:$A$107,$A64,'Media_Daily'!$B$8:$B$107,$B64,'Media_Daily'!$C$8:$C$107,$C64)&gt;1,"วัน/แพลตฟอร์ม/Campaign ซ้ำ","ครบ")))</x:f>
      </x:c>
    </x:row>
    <x:row r="65" ht="30" customHeight="1">
      <x:c r="A65" s="100"/>
      <x:c r="B65" s="36"/>
      <x:c r="C65" s="96"/>
      <x:c r="D65" s="36"/>
      <x:c r="E65" s="84"/>
      <x:c r="F65" s="36"/>
      <x:c r="G65" s="36"/>
      <x:c r="H65" s="36"/>
      <x:c r="I65" s="36"/>
      <x:c r="J65" s="82"/>
      <x:c r="K65" s="42" t="str">
        <x:f>IF(AND($A65="",$C65=""),"",IF(OR(NOT(ISNUMBER($A65)),$B65="",$C65="",$D65="",NOT(ISNUMBER($E65)),$F65="",$I65=""),"ขาดวัน/Campaign/Spend/สกุล/หลักฐาน",IF(COUNTIFS('Media_Daily'!$A$8:$A$107,$A65,'Media_Daily'!$B$8:$B$107,$B65,'Media_Daily'!$C$8:$C$107,$C65)&gt;1,"วัน/แพลตฟอร์ม/Campaign ซ้ำ","ครบ")))</x:f>
      </x:c>
    </x:row>
    <x:row r="66" ht="30" customHeight="1">
      <x:c r="A66" s="100"/>
      <x:c r="B66" s="36"/>
      <x:c r="C66" s="96"/>
      <x:c r="D66" s="36"/>
      <x:c r="E66" s="84"/>
      <x:c r="F66" s="36"/>
      <x:c r="G66" s="36"/>
      <x:c r="H66" s="36"/>
      <x:c r="I66" s="36"/>
      <x:c r="J66" s="82"/>
      <x:c r="K66" s="42" t="str">
        <x:f>IF(AND($A66="",$C66=""),"",IF(OR(NOT(ISNUMBER($A66)),$B66="",$C66="",$D66="",NOT(ISNUMBER($E66)),$F66="",$I66=""),"ขาดวัน/Campaign/Spend/สกุล/หลักฐาน",IF(COUNTIFS('Media_Daily'!$A$8:$A$107,$A66,'Media_Daily'!$B$8:$B$107,$B66,'Media_Daily'!$C$8:$C$107,$C66)&gt;1,"วัน/แพลตฟอร์ม/Campaign ซ้ำ","ครบ")))</x:f>
      </x:c>
    </x:row>
    <x:row r="67" ht="30" customHeight="1">
      <x:c r="A67" s="100"/>
      <x:c r="B67" s="36"/>
      <x:c r="C67" s="96"/>
      <x:c r="D67" s="36"/>
      <x:c r="E67" s="84"/>
      <x:c r="F67" s="36"/>
      <x:c r="G67" s="36"/>
      <x:c r="H67" s="36"/>
      <x:c r="I67" s="36"/>
      <x:c r="J67" s="82"/>
      <x:c r="K67" s="42" t="str">
        <x:f>IF(AND($A67="",$C67=""),"",IF(OR(NOT(ISNUMBER($A67)),$B67="",$C67="",$D67="",NOT(ISNUMBER($E67)),$F67="",$I67=""),"ขาดวัน/Campaign/Spend/สกุล/หลักฐาน",IF(COUNTIFS('Media_Daily'!$A$8:$A$107,$A67,'Media_Daily'!$B$8:$B$107,$B67,'Media_Daily'!$C$8:$C$107,$C67)&gt;1,"วัน/แพลตฟอร์ม/Campaign ซ้ำ","ครบ")))</x:f>
      </x:c>
    </x:row>
    <x:row r="68" ht="30" customHeight="1">
      <x:c r="A68" s="100"/>
      <x:c r="B68" s="36"/>
      <x:c r="C68" s="96"/>
      <x:c r="D68" s="36"/>
      <x:c r="E68" s="84"/>
      <x:c r="F68" s="36"/>
      <x:c r="G68" s="36"/>
      <x:c r="H68" s="36"/>
      <x:c r="I68" s="36"/>
      <x:c r="J68" s="82"/>
      <x:c r="K68" s="42" t="str">
        <x:f>IF(AND($A68="",$C68=""),"",IF(OR(NOT(ISNUMBER($A68)),$B68="",$C68="",$D68="",NOT(ISNUMBER($E68)),$F68="",$I68=""),"ขาดวัน/Campaign/Spend/สกุล/หลักฐาน",IF(COUNTIFS('Media_Daily'!$A$8:$A$107,$A68,'Media_Daily'!$B$8:$B$107,$B68,'Media_Daily'!$C$8:$C$107,$C68)&gt;1,"วัน/แพลตฟอร์ม/Campaign ซ้ำ","ครบ")))</x:f>
      </x:c>
    </x:row>
    <x:row r="69" ht="30" customHeight="1">
      <x:c r="A69" s="100"/>
      <x:c r="B69" s="36"/>
      <x:c r="C69" s="96"/>
      <x:c r="D69" s="36"/>
      <x:c r="E69" s="84"/>
      <x:c r="F69" s="36"/>
      <x:c r="G69" s="36"/>
      <x:c r="H69" s="36"/>
      <x:c r="I69" s="36"/>
      <x:c r="J69" s="82"/>
      <x:c r="K69" s="42" t="str">
        <x:f>IF(AND($A69="",$C69=""),"",IF(OR(NOT(ISNUMBER($A69)),$B69="",$C69="",$D69="",NOT(ISNUMBER($E69)),$F69="",$I69=""),"ขาดวัน/Campaign/Spend/สกุล/หลักฐาน",IF(COUNTIFS('Media_Daily'!$A$8:$A$107,$A69,'Media_Daily'!$B$8:$B$107,$B69,'Media_Daily'!$C$8:$C$107,$C69)&gt;1,"วัน/แพลตฟอร์ม/Campaign ซ้ำ","ครบ")))</x:f>
      </x:c>
    </x:row>
    <x:row r="70" ht="30" customHeight="1">
      <x:c r="A70" s="100"/>
      <x:c r="B70" s="36"/>
      <x:c r="C70" s="96"/>
      <x:c r="D70" s="36"/>
      <x:c r="E70" s="84"/>
      <x:c r="F70" s="36"/>
      <x:c r="G70" s="36"/>
      <x:c r="H70" s="36"/>
      <x:c r="I70" s="36"/>
      <x:c r="J70" s="82"/>
      <x:c r="K70" s="42" t="str">
        <x:f>IF(AND($A70="",$C70=""),"",IF(OR(NOT(ISNUMBER($A70)),$B70="",$C70="",$D70="",NOT(ISNUMBER($E70)),$F70="",$I70=""),"ขาดวัน/Campaign/Spend/สกุล/หลักฐาน",IF(COUNTIFS('Media_Daily'!$A$8:$A$107,$A70,'Media_Daily'!$B$8:$B$107,$B70,'Media_Daily'!$C$8:$C$107,$C70)&gt;1,"วัน/แพลตฟอร์ม/Campaign ซ้ำ","ครบ")))</x:f>
      </x:c>
    </x:row>
    <x:row r="71" ht="30" customHeight="1">
      <x:c r="A71" s="100"/>
      <x:c r="B71" s="36"/>
      <x:c r="C71" s="96"/>
      <x:c r="D71" s="36"/>
      <x:c r="E71" s="84"/>
      <x:c r="F71" s="36"/>
      <x:c r="G71" s="36"/>
      <x:c r="H71" s="36"/>
      <x:c r="I71" s="36"/>
      <x:c r="J71" s="82"/>
      <x:c r="K71" s="42" t="str">
        <x:f>IF(AND($A71="",$C71=""),"",IF(OR(NOT(ISNUMBER($A71)),$B71="",$C71="",$D71="",NOT(ISNUMBER($E71)),$F71="",$I71=""),"ขาดวัน/Campaign/Spend/สกุล/หลักฐาน",IF(COUNTIFS('Media_Daily'!$A$8:$A$107,$A71,'Media_Daily'!$B$8:$B$107,$B71,'Media_Daily'!$C$8:$C$107,$C71)&gt;1,"วัน/แพลตฟอร์ม/Campaign ซ้ำ","ครบ")))</x:f>
      </x:c>
    </x:row>
    <x:row r="72" ht="30" customHeight="1">
      <x:c r="A72" s="100"/>
      <x:c r="B72" s="36"/>
      <x:c r="C72" s="96"/>
      <x:c r="D72" s="36"/>
      <x:c r="E72" s="84"/>
      <x:c r="F72" s="36"/>
      <x:c r="G72" s="36"/>
      <x:c r="H72" s="36"/>
      <x:c r="I72" s="36"/>
      <x:c r="J72" s="82"/>
      <x:c r="K72" s="42" t="str">
        <x:f>IF(AND($A72="",$C72=""),"",IF(OR(NOT(ISNUMBER($A72)),$B72="",$C72="",$D72="",NOT(ISNUMBER($E72)),$F72="",$I72=""),"ขาดวัน/Campaign/Spend/สกุล/หลักฐาน",IF(COUNTIFS('Media_Daily'!$A$8:$A$107,$A72,'Media_Daily'!$B$8:$B$107,$B72,'Media_Daily'!$C$8:$C$107,$C72)&gt;1,"วัน/แพลตฟอร์ม/Campaign ซ้ำ","ครบ")))</x:f>
      </x:c>
    </x:row>
    <x:row r="73" ht="30" customHeight="1">
      <x:c r="A73" s="100"/>
      <x:c r="B73" s="36"/>
      <x:c r="C73" s="96"/>
      <x:c r="D73" s="36"/>
      <x:c r="E73" s="84"/>
      <x:c r="F73" s="36"/>
      <x:c r="G73" s="36"/>
      <x:c r="H73" s="36"/>
      <x:c r="I73" s="36"/>
      <x:c r="J73" s="82"/>
      <x:c r="K73" s="42" t="str">
        <x:f>IF(AND($A73="",$C73=""),"",IF(OR(NOT(ISNUMBER($A73)),$B73="",$C73="",$D73="",NOT(ISNUMBER($E73)),$F73="",$I73=""),"ขาดวัน/Campaign/Spend/สกุล/หลักฐาน",IF(COUNTIFS('Media_Daily'!$A$8:$A$107,$A73,'Media_Daily'!$B$8:$B$107,$B73,'Media_Daily'!$C$8:$C$107,$C73)&gt;1,"วัน/แพลตฟอร์ม/Campaign ซ้ำ","ครบ")))</x:f>
      </x:c>
    </x:row>
    <x:row r="74" ht="30" customHeight="1">
      <x:c r="A74" s="100"/>
      <x:c r="B74" s="36"/>
      <x:c r="C74" s="96"/>
      <x:c r="D74" s="36"/>
      <x:c r="E74" s="84"/>
      <x:c r="F74" s="36"/>
      <x:c r="G74" s="36"/>
      <x:c r="H74" s="36"/>
      <x:c r="I74" s="36"/>
      <x:c r="J74" s="82"/>
      <x:c r="K74" s="42" t="str">
        <x:f>IF(AND($A74="",$C74=""),"",IF(OR(NOT(ISNUMBER($A74)),$B74="",$C74="",$D74="",NOT(ISNUMBER($E74)),$F74="",$I74=""),"ขาดวัน/Campaign/Spend/สกุล/หลักฐาน",IF(COUNTIFS('Media_Daily'!$A$8:$A$107,$A74,'Media_Daily'!$B$8:$B$107,$B74,'Media_Daily'!$C$8:$C$107,$C74)&gt;1,"วัน/แพลตฟอร์ม/Campaign ซ้ำ","ครบ")))</x:f>
      </x:c>
    </x:row>
    <x:row r="75" ht="30" customHeight="1">
      <x:c r="A75" s="100"/>
      <x:c r="B75" s="36"/>
      <x:c r="C75" s="96"/>
      <x:c r="D75" s="36"/>
      <x:c r="E75" s="84"/>
      <x:c r="F75" s="36"/>
      <x:c r="G75" s="36"/>
      <x:c r="H75" s="36"/>
      <x:c r="I75" s="36"/>
      <x:c r="J75" s="82"/>
      <x:c r="K75" s="42" t="str">
        <x:f>IF(AND($A75="",$C75=""),"",IF(OR(NOT(ISNUMBER($A75)),$B75="",$C75="",$D75="",NOT(ISNUMBER($E75)),$F75="",$I75=""),"ขาดวัน/Campaign/Spend/สกุล/หลักฐาน",IF(COUNTIFS('Media_Daily'!$A$8:$A$107,$A75,'Media_Daily'!$B$8:$B$107,$B75,'Media_Daily'!$C$8:$C$107,$C75)&gt;1,"วัน/แพลตฟอร์ม/Campaign ซ้ำ","ครบ")))</x:f>
      </x:c>
    </x:row>
    <x:row r="76" ht="30" customHeight="1">
      <x:c r="A76" s="100"/>
      <x:c r="B76" s="36"/>
      <x:c r="C76" s="96"/>
      <x:c r="D76" s="36"/>
      <x:c r="E76" s="84"/>
      <x:c r="F76" s="36"/>
      <x:c r="G76" s="36"/>
      <x:c r="H76" s="36"/>
      <x:c r="I76" s="36"/>
      <x:c r="J76" s="82"/>
      <x:c r="K76" s="42" t="str">
        <x:f>IF(AND($A76="",$C76=""),"",IF(OR(NOT(ISNUMBER($A76)),$B76="",$C76="",$D76="",NOT(ISNUMBER($E76)),$F76="",$I76=""),"ขาดวัน/Campaign/Spend/สกุล/หลักฐาน",IF(COUNTIFS('Media_Daily'!$A$8:$A$107,$A76,'Media_Daily'!$B$8:$B$107,$B76,'Media_Daily'!$C$8:$C$107,$C76)&gt;1,"วัน/แพลตฟอร์ม/Campaign ซ้ำ","ครบ")))</x:f>
      </x:c>
    </x:row>
    <x:row r="77" ht="30" customHeight="1">
      <x:c r="A77" s="100"/>
      <x:c r="B77" s="36"/>
      <x:c r="C77" s="96"/>
      <x:c r="D77" s="36"/>
      <x:c r="E77" s="84"/>
      <x:c r="F77" s="36"/>
      <x:c r="G77" s="36"/>
      <x:c r="H77" s="36"/>
      <x:c r="I77" s="36"/>
      <x:c r="J77" s="82"/>
      <x:c r="K77" s="42" t="str">
        <x:f>IF(AND($A77="",$C77=""),"",IF(OR(NOT(ISNUMBER($A77)),$B77="",$C77="",$D77="",NOT(ISNUMBER($E77)),$F77="",$I77=""),"ขาดวัน/Campaign/Spend/สกุล/หลักฐาน",IF(COUNTIFS('Media_Daily'!$A$8:$A$107,$A77,'Media_Daily'!$B$8:$B$107,$B77,'Media_Daily'!$C$8:$C$107,$C77)&gt;1,"วัน/แพลตฟอร์ม/Campaign ซ้ำ","ครบ")))</x:f>
      </x:c>
    </x:row>
    <x:row r="78" ht="30" customHeight="1">
      <x:c r="A78" s="100"/>
      <x:c r="B78" s="36"/>
      <x:c r="C78" s="96"/>
      <x:c r="D78" s="36"/>
      <x:c r="E78" s="84"/>
      <x:c r="F78" s="36"/>
      <x:c r="G78" s="36"/>
      <x:c r="H78" s="36"/>
      <x:c r="I78" s="36"/>
      <x:c r="J78" s="82"/>
      <x:c r="K78" s="42" t="str">
        <x:f>IF(AND($A78="",$C78=""),"",IF(OR(NOT(ISNUMBER($A78)),$B78="",$C78="",$D78="",NOT(ISNUMBER($E78)),$F78="",$I78=""),"ขาดวัน/Campaign/Spend/สกุล/หลักฐาน",IF(COUNTIFS('Media_Daily'!$A$8:$A$107,$A78,'Media_Daily'!$B$8:$B$107,$B78,'Media_Daily'!$C$8:$C$107,$C78)&gt;1,"วัน/แพลตฟอร์ม/Campaign ซ้ำ","ครบ")))</x:f>
      </x:c>
    </x:row>
    <x:row r="79" ht="30" customHeight="1">
      <x:c r="A79" s="100"/>
      <x:c r="B79" s="36"/>
      <x:c r="C79" s="96"/>
      <x:c r="D79" s="36"/>
      <x:c r="E79" s="84"/>
      <x:c r="F79" s="36"/>
      <x:c r="G79" s="36"/>
      <x:c r="H79" s="36"/>
      <x:c r="I79" s="36"/>
      <x:c r="J79" s="82"/>
      <x:c r="K79" s="42" t="str">
        <x:f>IF(AND($A79="",$C79=""),"",IF(OR(NOT(ISNUMBER($A79)),$B79="",$C79="",$D79="",NOT(ISNUMBER($E79)),$F79="",$I79=""),"ขาดวัน/Campaign/Spend/สกุล/หลักฐาน",IF(COUNTIFS('Media_Daily'!$A$8:$A$107,$A79,'Media_Daily'!$B$8:$B$107,$B79,'Media_Daily'!$C$8:$C$107,$C79)&gt;1,"วัน/แพลตฟอร์ม/Campaign ซ้ำ","ครบ")))</x:f>
      </x:c>
    </x:row>
    <x:row r="80" ht="30" customHeight="1">
      <x:c r="A80" s="100"/>
      <x:c r="B80" s="36"/>
      <x:c r="C80" s="96"/>
      <x:c r="D80" s="36"/>
      <x:c r="E80" s="84"/>
      <x:c r="F80" s="36"/>
      <x:c r="G80" s="36"/>
      <x:c r="H80" s="36"/>
      <x:c r="I80" s="36"/>
      <x:c r="J80" s="82"/>
      <x:c r="K80" s="42" t="str">
        <x:f>IF(AND($A80="",$C80=""),"",IF(OR(NOT(ISNUMBER($A80)),$B80="",$C80="",$D80="",NOT(ISNUMBER($E80)),$F80="",$I80=""),"ขาดวัน/Campaign/Spend/สกุล/หลักฐาน",IF(COUNTIFS('Media_Daily'!$A$8:$A$107,$A80,'Media_Daily'!$B$8:$B$107,$B80,'Media_Daily'!$C$8:$C$107,$C80)&gt;1,"วัน/แพลตฟอร์ม/Campaign ซ้ำ","ครบ")))</x:f>
      </x:c>
    </x:row>
    <x:row r="81" ht="30" customHeight="1">
      <x:c r="A81" s="100"/>
      <x:c r="B81" s="36"/>
      <x:c r="C81" s="96"/>
      <x:c r="D81" s="36"/>
      <x:c r="E81" s="84"/>
      <x:c r="F81" s="36"/>
      <x:c r="G81" s="36"/>
      <x:c r="H81" s="36"/>
      <x:c r="I81" s="36"/>
      <x:c r="J81" s="82"/>
      <x:c r="K81" s="42" t="str">
        <x:f>IF(AND($A81="",$C81=""),"",IF(OR(NOT(ISNUMBER($A81)),$B81="",$C81="",$D81="",NOT(ISNUMBER($E81)),$F81="",$I81=""),"ขาดวัน/Campaign/Spend/สกุล/หลักฐาน",IF(COUNTIFS('Media_Daily'!$A$8:$A$107,$A81,'Media_Daily'!$B$8:$B$107,$B81,'Media_Daily'!$C$8:$C$107,$C81)&gt;1,"วัน/แพลตฟอร์ม/Campaign ซ้ำ","ครบ")))</x:f>
      </x:c>
    </x:row>
    <x:row r="82" ht="30" customHeight="1">
      <x:c r="A82" s="100"/>
      <x:c r="B82" s="36"/>
      <x:c r="C82" s="96"/>
      <x:c r="D82" s="36"/>
      <x:c r="E82" s="84"/>
      <x:c r="F82" s="36"/>
      <x:c r="G82" s="36"/>
      <x:c r="H82" s="36"/>
      <x:c r="I82" s="36"/>
      <x:c r="J82" s="82"/>
      <x:c r="K82" s="42" t="str">
        <x:f>IF(AND($A82="",$C82=""),"",IF(OR(NOT(ISNUMBER($A82)),$B82="",$C82="",$D82="",NOT(ISNUMBER($E82)),$F82="",$I82=""),"ขาดวัน/Campaign/Spend/สกุล/หลักฐาน",IF(COUNTIFS('Media_Daily'!$A$8:$A$107,$A82,'Media_Daily'!$B$8:$B$107,$B82,'Media_Daily'!$C$8:$C$107,$C82)&gt;1,"วัน/แพลตฟอร์ม/Campaign ซ้ำ","ครบ")))</x:f>
      </x:c>
    </x:row>
    <x:row r="83" ht="30" customHeight="1">
      <x:c r="A83" s="100"/>
      <x:c r="B83" s="36"/>
      <x:c r="C83" s="96"/>
      <x:c r="D83" s="36"/>
      <x:c r="E83" s="84"/>
      <x:c r="F83" s="36"/>
      <x:c r="G83" s="36"/>
      <x:c r="H83" s="36"/>
      <x:c r="I83" s="36"/>
      <x:c r="J83" s="82"/>
      <x:c r="K83" s="42" t="str">
        <x:f>IF(AND($A83="",$C83=""),"",IF(OR(NOT(ISNUMBER($A83)),$B83="",$C83="",$D83="",NOT(ISNUMBER($E83)),$F83="",$I83=""),"ขาดวัน/Campaign/Spend/สกุล/หลักฐาน",IF(COUNTIFS('Media_Daily'!$A$8:$A$107,$A83,'Media_Daily'!$B$8:$B$107,$B83,'Media_Daily'!$C$8:$C$107,$C83)&gt;1,"วัน/แพลตฟอร์ม/Campaign ซ้ำ","ครบ")))</x:f>
      </x:c>
    </x:row>
    <x:row r="84" ht="30" customHeight="1">
      <x:c r="A84" s="100"/>
      <x:c r="B84" s="36"/>
      <x:c r="C84" s="96"/>
      <x:c r="D84" s="36"/>
      <x:c r="E84" s="84"/>
      <x:c r="F84" s="36"/>
      <x:c r="G84" s="36"/>
      <x:c r="H84" s="36"/>
      <x:c r="I84" s="36"/>
      <x:c r="J84" s="82"/>
      <x:c r="K84" s="42" t="str">
        <x:f>IF(AND($A84="",$C84=""),"",IF(OR(NOT(ISNUMBER($A84)),$B84="",$C84="",$D84="",NOT(ISNUMBER($E84)),$F84="",$I84=""),"ขาดวัน/Campaign/Spend/สกุล/หลักฐาน",IF(COUNTIFS('Media_Daily'!$A$8:$A$107,$A84,'Media_Daily'!$B$8:$B$107,$B84,'Media_Daily'!$C$8:$C$107,$C84)&gt;1,"วัน/แพลตฟอร์ม/Campaign ซ้ำ","ครบ")))</x:f>
      </x:c>
    </x:row>
    <x:row r="85" ht="30" customHeight="1">
      <x:c r="A85" s="100"/>
      <x:c r="B85" s="36"/>
      <x:c r="C85" s="96"/>
      <x:c r="D85" s="36"/>
      <x:c r="E85" s="84"/>
      <x:c r="F85" s="36"/>
      <x:c r="G85" s="36"/>
      <x:c r="H85" s="36"/>
      <x:c r="I85" s="36"/>
      <x:c r="J85" s="82"/>
      <x:c r="K85" s="42" t="str">
        <x:f>IF(AND($A85="",$C85=""),"",IF(OR(NOT(ISNUMBER($A85)),$B85="",$C85="",$D85="",NOT(ISNUMBER($E85)),$F85="",$I85=""),"ขาดวัน/Campaign/Spend/สกุล/หลักฐาน",IF(COUNTIFS('Media_Daily'!$A$8:$A$107,$A85,'Media_Daily'!$B$8:$B$107,$B85,'Media_Daily'!$C$8:$C$107,$C85)&gt;1,"วัน/แพลตฟอร์ม/Campaign ซ้ำ","ครบ")))</x:f>
      </x:c>
    </x:row>
    <x:row r="86" ht="30" customHeight="1">
      <x:c r="A86" s="100"/>
      <x:c r="B86" s="36"/>
      <x:c r="C86" s="96"/>
      <x:c r="D86" s="36"/>
      <x:c r="E86" s="84"/>
      <x:c r="F86" s="36"/>
      <x:c r="G86" s="36"/>
      <x:c r="H86" s="36"/>
      <x:c r="I86" s="36"/>
      <x:c r="J86" s="82"/>
      <x:c r="K86" s="42" t="str">
        <x:f>IF(AND($A86="",$C86=""),"",IF(OR(NOT(ISNUMBER($A86)),$B86="",$C86="",$D86="",NOT(ISNUMBER($E86)),$F86="",$I86=""),"ขาดวัน/Campaign/Spend/สกุล/หลักฐาน",IF(COUNTIFS('Media_Daily'!$A$8:$A$107,$A86,'Media_Daily'!$B$8:$B$107,$B86,'Media_Daily'!$C$8:$C$107,$C86)&gt;1,"วัน/แพลตฟอร์ม/Campaign ซ้ำ","ครบ")))</x:f>
      </x:c>
    </x:row>
    <x:row r="87" ht="30" customHeight="1">
      <x:c r="A87" s="100"/>
      <x:c r="B87" s="36"/>
      <x:c r="C87" s="96"/>
      <x:c r="D87" s="36"/>
      <x:c r="E87" s="84"/>
      <x:c r="F87" s="36"/>
      <x:c r="G87" s="36"/>
      <x:c r="H87" s="36"/>
      <x:c r="I87" s="36"/>
      <x:c r="J87" s="82"/>
      <x:c r="K87" s="42" t="str">
        <x:f>IF(AND($A87="",$C87=""),"",IF(OR(NOT(ISNUMBER($A87)),$B87="",$C87="",$D87="",NOT(ISNUMBER($E87)),$F87="",$I87=""),"ขาดวัน/Campaign/Spend/สกุล/หลักฐาน",IF(COUNTIFS('Media_Daily'!$A$8:$A$107,$A87,'Media_Daily'!$B$8:$B$107,$B87,'Media_Daily'!$C$8:$C$107,$C87)&gt;1,"วัน/แพลตฟอร์ม/Campaign ซ้ำ","ครบ")))</x:f>
      </x:c>
    </x:row>
    <x:row r="88" ht="30" customHeight="1">
      <x:c r="A88" s="100"/>
      <x:c r="B88" s="36"/>
      <x:c r="C88" s="96"/>
      <x:c r="D88" s="36"/>
      <x:c r="E88" s="84"/>
      <x:c r="F88" s="36"/>
      <x:c r="G88" s="36"/>
      <x:c r="H88" s="36"/>
      <x:c r="I88" s="36"/>
      <x:c r="J88" s="82"/>
      <x:c r="K88" s="42" t="str">
        <x:f>IF(AND($A88="",$C88=""),"",IF(OR(NOT(ISNUMBER($A88)),$B88="",$C88="",$D88="",NOT(ISNUMBER($E88)),$F88="",$I88=""),"ขาดวัน/Campaign/Spend/สกุล/หลักฐาน",IF(COUNTIFS('Media_Daily'!$A$8:$A$107,$A88,'Media_Daily'!$B$8:$B$107,$B88,'Media_Daily'!$C$8:$C$107,$C88)&gt;1,"วัน/แพลตฟอร์ม/Campaign ซ้ำ","ครบ")))</x:f>
      </x:c>
    </x:row>
    <x:row r="89" ht="30" customHeight="1">
      <x:c r="A89" s="100"/>
      <x:c r="B89" s="36"/>
      <x:c r="C89" s="96"/>
      <x:c r="D89" s="36"/>
      <x:c r="E89" s="84"/>
      <x:c r="F89" s="36"/>
      <x:c r="G89" s="36"/>
      <x:c r="H89" s="36"/>
      <x:c r="I89" s="36"/>
      <x:c r="J89" s="82"/>
      <x:c r="K89" s="42" t="str">
        <x:f>IF(AND($A89="",$C89=""),"",IF(OR(NOT(ISNUMBER($A89)),$B89="",$C89="",$D89="",NOT(ISNUMBER($E89)),$F89="",$I89=""),"ขาดวัน/Campaign/Spend/สกุล/หลักฐาน",IF(COUNTIFS('Media_Daily'!$A$8:$A$107,$A89,'Media_Daily'!$B$8:$B$107,$B89,'Media_Daily'!$C$8:$C$107,$C89)&gt;1,"วัน/แพลตฟอร์ม/Campaign ซ้ำ","ครบ")))</x:f>
      </x:c>
    </x:row>
    <x:row r="90" ht="30" customHeight="1">
      <x:c r="A90" s="100"/>
      <x:c r="B90" s="36"/>
      <x:c r="C90" s="96"/>
      <x:c r="D90" s="36"/>
      <x:c r="E90" s="84"/>
      <x:c r="F90" s="36"/>
      <x:c r="G90" s="36"/>
      <x:c r="H90" s="36"/>
      <x:c r="I90" s="36"/>
      <x:c r="J90" s="82"/>
      <x:c r="K90" s="42" t="str">
        <x:f>IF(AND($A90="",$C90=""),"",IF(OR(NOT(ISNUMBER($A90)),$B90="",$C90="",$D90="",NOT(ISNUMBER($E90)),$F90="",$I90=""),"ขาดวัน/Campaign/Spend/สกุล/หลักฐาน",IF(COUNTIFS('Media_Daily'!$A$8:$A$107,$A90,'Media_Daily'!$B$8:$B$107,$B90,'Media_Daily'!$C$8:$C$107,$C90)&gt;1,"วัน/แพลตฟอร์ม/Campaign ซ้ำ","ครบ")))</x:f>
      </x:c>
    </x:row>
    <x:row r="91" ht="30" customHeight="1">
      <x:c r="A91" s="100"/>
      <x:c r="B91" s="36"/>
      <x:c r="C91" s="96"/>
      <x:c r="D91" s="36"/>
      <x:c r="E91" s="84"/>
      <x:c r="F91" s="36"/>
      <x:c r="G91" s="36"/>
      <x:c r="H91" s="36"/>
      <x:c r="I91" s="36"/>
      <x:c r="J91" s="82"/>
      <x:c r="K91" s="42" t="str">
        <x:f>IF(AND($A91="",$C91=""),"",IF(OR(NOT(ISNUMBER($A91)),$B91="",$C91="",$D91="",NOT(ISNUMBER($E91)),$F91="",$I91=""),"ขาดวัน/Campaign/Spend/สกุล/หลักฐาน",IF(COUNTIFS('Media_Daily'!$A$8:$A$107,$A91,'Media_Daily'!$B$8:$B$107,$B91,'Media_Daily'!$C$8:$C$107,$C91)&gt;1,"วัน/แพลตฟอร์ม/Campaign ซ้ำ","ครบ")))</x:f>
      </x:c>
    </x:row>
    <x:row r="92" ht="30" customHeight="1">
      <x:c r="A92" s="100"/>
      <x:c r="B92" s="36"/>
      <x:c r="C92" s="96"/>
      <x:c r="D92" s="36"/>
      <x:c r="E92" s="84"/>
      <x:c r="F92" s="36"/>
      <x:c r="G92" s="36"/>
      <x:c r="H92" s="36"/>
      <x:c r="I92" s="36"/>
      <x:c r="J92" s="82"/>
      <x:c r="K92" s="42" t="str">
        <x:f>IF(AND($A92="",$C92=""),"",IF(OR(NOT(ISNUMBER($A92)),$B92="",$C92="",$D92="",NOT(ISNUMBER($E92)),$F92="",$I92=""),"ขาดวัน/Campaign/Spend/สกุล/หลักฐาน",IF(COUNTIFS('Media_Daily'!$A$8:$A$107,$A92,'Media_Daily'!$B$8:$B$107,$B92,'Media_Daily'!$C$8:$C$107,$C92)&gt;1,"วัน/แพลตฟอร์ม/Campaign ซ้ำ","ครบ")))</x:f>
      </x:c>
    </x:row>
    <x:row r="93" ht="30" customHeight="1">
      <x:c r="A93" s="100"/>
      <x:c r="B93" s="36"/>
      <x:c r="C93" s="96"/>
      <x:c r="D93" s="36"/>
      <x:c r="E93" s="84"/>
      <x:c r="F93" s="36"/>
      <x:c r="G93" s="36"/>
      <x:c r="H93" s="36"/>
      <x:c r="I93" s="36"/>
      <x:c r="J93" s="82"/>
      <x:c r="K93" s="42" t="str">
        <x:f>IF(AND($A93="",$C93=""),"",IF(OR(NOT(ISNUMBER($A93)),$B93="",$C93="",$D93="",NOT(ISNUMBER($E93)),$F93="",$I93=""),"ขาดวัน/Campaign/Spend/สกุล/หลักฐาน",IF(COUNTIFS('Media_Daily'!$A$8:$A$107,$A93,'Media_Daily'!$B$8:$B$107,$B93,'Media_Daily'!$C$8:$C$107,$C93)&gt;1,"วัน/แพลตฟอร์ม/Campaign ซ้ำ","ครบ")))</x:f>
      </x:c>
    </x:row>
    <x:row r="94" ht="30" customHeight="1">
      <x:c r="A94" s="100"/>
      <x:c r="B94" s="36"/>
      <x:c r="C94" s="96"/>
      <x:c r="D94" s="36"/>
      <x:c r="E94" s="84"/>
      <x:c r="F94" s="36"/>
      <x:c r="G94" s="36"/>
      <x:c r="H94" s="36"/>
      <x:c r="I94" s="36"/>
      <x:c r="J94" s="82"/>
      <x:c r="K94" s="42" t="str">
        <x:f>IF(AND($A94="",$C94=""),"",IF(OR(NOT(ISNUMBER($A94)),$B94="",$C94="",$D94="",NOT(ISNUMBER($E94)),$F94="",$I94=""),"ขาดวัน/Campaign/Spend/สกุล/หลักฐาน",IF(COUNTIFS('Media_Daily'!$A$8:$A$107,$A94,'Media_Daily'!$B$8:$B$107,$B94,'Media_Daily'!$C$8:$C$107,$C94)&gt;1,"วัน/แพลตฟอร์ม/Campaign ซ้ำ","ครบ")))</x:f>
      </x:c>
    </x:row>
    <x:row r="95" ht="30" customHeight="1">
      <x:c r="A95" s="100"/>
      <x:c r="B95" s="36"/>
      <x:c r="C95" s="96"/>
      <x:c r="D95" s="36"/>
      <x:c r="E95" s="84"/>
      <x:c r="F95" s="36"/>
      <x:c r="G95" s="36"/>
      <x:c r="H95" s="36"/>
      <x:c r="I95" s="36"/>
      <x:c r="J95" s="82"/>
      <x:c r="K95" s="42" t="str">
        <x:f>IF(AND($A95="",$C95=""),"",IF(OR(NOT(ISNUMBER($A95)),$B95="",$C95="",$D95="",NOT(ISNUMBER($E95)),$F95="",$I95=""),"ขาดวัน/Campaign/Spend/สกุล/หลักฐาน",IF(COUNTIFS('Media_Daily'!$A$8:$A$107,$A95,'Media_Daily'!$B$8:$B$107,$B95,'Media_Daily'!$C$8:$C$107,$C95)&gt;1,"วัน/แพลตฟอร์ม/Campaign ซ้ำ","ครบ")))</x:f>
      </x:c>
    </x:row>
    <x:row r="96" ht="30" customHeight="1">
      <x:c r="A96" s="100"/>
      <x:c r="B96" s="36"/>
      <x:c r="C96" s="96"/>
      <x:c r="D96" s="36"/>
      <x:c r="E96" s="84"/>
      <x:c r="F96" s="36"/>
      <x:c r="G96" s="36"/>
      <x:c r="H96" s="36"/>
      <x:c r="I96" s="36"/>
      <x:c r="J96" s="82"/>
      <x:c r="K96" s="42" t="str">
        <x:f>IF(AND($A96="",$C96=""),"",IF(OR(NOT(ISNUMBER($A96)),$B96="",$C96="",$D96="",NOT(ISNUMBER($E96)),$F96="",$I96=""),"ขาดวัน/Campaign/Spend/สกุล/หลักฐาน",IF(COUNTIFS('Media_Daily'!$A$8:$A$107,$A96,'Media_Daily'!$B$8:$B$107,$B96,'Media_Daily'!$C$8:$C$107,$C96)&gt;1,"วัน/แพลตฟอร์ม/Campaign ซ้ำ","ครบ")))</x:f>
      </x:c>
    </x:row>
    <x:row r="97" ht="30" customHeight="1">
      <x:c r="A97" s="100"/>
      <x:c r="B97" s="36"/>
      <x:c r="C97" s="96"/>
      <x:c r="D97" s="36"/>
      <x:c r="E97" s="84"/>
      <x:c r="F97" s="36"/>
      <x:c r="G97" s="36"/>
      <x:c r="H97" s="36"/>
      <x:c r="I97" s="36"/>
      <x:c r="J97" s="82"/>
      <x:c r="K97" s="42" t="str">
        <x:f>IF(AND($A97="",$C97=""),"",IF(OR(NOT(ISNUMBER($A97)),$B97="",$C97="",$D97="",NOT(ISNUMBER($E97)),$F97="",$I97=""),"ขาดวัน/Campaign/Spend/สกุล/หลักฐาน",IF(COUNTIFS('Media_Daily'!$A$8:$A$107,$A97,'Media_Daily'!$B$8:$B$107,$B97,'Media_Daily'!$C$8:$C$107,$C97)&gt;1,"วัน/แพลตฟอร์ม/Campaign ซ้ำ","ครบ")))</x:f>
      </x:c>
    </x:row>
    <x:row r="98" ht="30" customHeight="1">
      <x:c r="A98" s="100"/>
      <x:c r="B98" s="36"/>
      <x:c r="C98" s="96"/>
      <x:c r="D98" s="36"/>
      <x:c r="E98" s="84"/>
      <x:c r="F98" s="36"/>
      <x:c r="G98" s="36"/>
      <x:c r="H98" s="36"/>
      <x:c r="I98" s="36"/>
      <x:c r="J98" s="82"/>
      <x:c r="K98" s="42" t="str">
        <x:f>IF(AND($A98="",$C98=""),"",IF(OR(NOT(ISNUMBER($A98)),$B98="",$C98="",$D98="",NOT(ISNUMBER($E98)),$F98="",$I98=""),"ขาดวัน/Campaign/Spend/สกุล/หลักฐาน",IF(COUNTIFS('Media_Daily'!$A$8:$A$107,$A98,'Media_Daily'!$B$8:$B$107,$B98,'Media_Daily'!$C$8:$C$107,$C98)&gt;1,"วัน/แพลตฟอร์ม/Campaign ซ้ำ","ครบ")))</x:f>
      </x:c>
    </x:row>
    <x:row r="99" ht="30" customHeight="1">
      <x:c r="A99" s="100"/>
      <x:c r="B99" s="36"/>
      <x:c r="C99" s="96"/>
      <x:c r="D99" s="36"/>
      <x:c r="E99" s="84"/>
      <x:c r="F99" s="36"/>
      <x:c r="G99" s="36"/>
      <x:c r="H99" s="36"/>
      <x:c r="I99" s="36"/>
      <x:c r="J99" s="82"/>
      <x:c r="K99" s="42" t="str">
        <x:f>IF(AND($A99="",$C99=""),"",IF(OR(NOT(ISNUMBER($A99)),$B99="",$C99="",$D99="",NOT(ISNUMBER($E99)),$F99="",$I99=""),"ขาดวัน/Campaign/Spend/สกุล/หลักฐาน",IF(COUNTIFS('Media_Daily'!$A$8:$A$107,$A99,'Media_Daily'!$B$8:$B$107,$B99,'Media_Daily'!$C$8:$C$107,$C99)&gt;1,"วัน/แพลตฟอร์ม/Campaign ซ้ำ","ครบ")))</x:f>
      </x:c>
    </x:row>
    <x:row r="100" ht="30" customHeight="1">
      <x:c r="A100" s="100"/>
      <x:c r="B100" s="36"/>
      <x:c r="C100" s="96"/>
      <x:c r="D100" s="36"/>
      <x:c r="E100" s="84"/>
      <x:c r="F100" s="36"/>
      <x:c r="G100" s="36"/>
      <x:c r="H100" s="36"/>
      <x:c r="I100" s="36"/>
      <x:c r="J100" s="82"/>
      <x:c r="K100" s="42" t="str">
        <x:f>IF(AND($A100="",$C100=""),"",IF(OR(NOT(ISNUMBER($A100)),$B100="",$C100="",$D100="",NOT(ISNUMBER($E100)),$F100="",$I100=""),"ขาดวัน/Campaign/Spend/สกุล/หลักฐาน",IF(COUNTIFS('Media_Daily'!$A$8:$A$107,$A100,'Media_Daily'!$B$8:$B$107,$B100,'Media_Daily'!$C$8:$C$107,$C100)&gt;1,"วัน/แพลตฟอร์ม/Campaign ซ้ำ","ครบ")))</x:f>
      </x:c>
    </x:row>
    <x:row r="101" ht="30" customHeight="1">
      <x:c r="A101" s="100"/>
      <x:c r="B101" s="36"/>
      <x:c r="C101" s="96"/>
      <x:c r="D101" s="36"/>
      <x:c r="E101" s="84"/>
      <x:c r="F101" s="36"/>
      <x:c r="G101" s="36"/>
      <x:c r="H101" s="36"/>
      <x:c r="I101" s="36"/>
      <x:c r="J101" s="82"/>
      <x:c r="K101" s="42" t="str">
        <x:f>IF(AND($A101="",$C101=""),"",IF(OR(NOT(ISNUMBER($A101)),$B101="",$C101="",$D101="",NOT(ISNUMBER($E101)),$F101="",$I101=""),"ขาดวัน/Campaign/Spend/สกุล/หลักฐาน",IF(COUNTIFS('Media_Daily'!$A$8:$A$107,$A101,'Media_Daily'!$B$8:$B$107,$B101,'Media_Daily'!$C$8:$C$107,$C101)&gt;1,"วัน/แพลตฟอร์ม/Campaign ซ้ำ","ครบ")))</x:f>
      </x:c>
    </x:row>
    <x:row r="102" ht="30" customHeight="1">
      <x:c r="A102" s="100"/>
      <x:c r="B102" s="36"/>
      <x:c r="C102" s="96"/>
      <x:c r="D102" s="36"/>
      <x:c r="E102" s="84"/>
      <x:c r="F102" s="36"/>
      <x:c r="G102" s="36"/>
      <x:c r="H102" s="36"/>
      <x:c r="I102" s="36"/>
      <x:c r="J102" s="82"/>
      <x:c r="K102" s="42" t="str">
        <x:f>IF(AND($A102="",$C102=""),"",IF(OR(NOT(ISNUMBER($A102)),$B102="",$C102="",$D102="",NOT(ISNUMBER($E102)),$F102="",$I102=""),"ขาดวัน/Campaign/Spend/สกุล/หลักฐาน",IF(COUNTIFS('Media_Daily'!$A$8:$A$107,$A102,'Media_Daily'!$B$8:$B$107,$B102,'Media_Daily'!$C$8:$C$107,$C102)&gt;1,"วัน/แพลตฟอร์ม/Campaign ซ้ำ","ครบ")))</x:f>
      </x:c>
    </x:row>
    <x:row r="103" ht="30" customHeight="1">
      <x:c r="A103" s="100"/>
      <x:c r="B103" s="36"/>
      <x:c r="C103" s="96"/>
      <x:c r="D103" s="36"/>
      <x:c r="E103" s="84"/>
      <x:c r="F103" s="36"/>
      <x:c r="G103" s="36"/>
      <x:c r="H103" s="36"/>
      <x:c r="I103" s="36"/>
      <x:c r="J103" s="82"/>
      <x:c r="K103" s="42" t="str">
        <x:f>IF(AND($A103="",$C103=""),"",IF(OR(NOT(ISNUMBER($A103)),$B103="",$C103="",$D103="",NOT(ISNUMBER($E103)),$F103="",$I103=""),"ขาดวัน/Campaign/Spend/สกุล/หลักฐาน",IF(COUNTIFS('Media_Daily'!$A$8:$A$107,$A103,'Media_Daily'!$B$8:$B$107,$B103,'Media_Daily'!$C$8:$C$107,$C103)&gt;1,"วัน/แพลตฟอร์ม/Campaign ซ้ำ","ครบ")))</x:f>
      </x:c>
    </x:row>
    <x:row r="104" ht="30" customHeight="1">
      <x:c r="A104" s="100"/>
      <x:c r="B104" s="36"/>
      <x:c r="C104" s="96"/>
      <x:c r="D104" s="36"/>
      <x:c r="E104" s="84"/>
      <x:c r="F104" s="36"/>
      <x:c r="G104" s="36"/>
      <x:c r="H104" s="36"/>
      <x:c r="I104" s="36"/>
      <x:c r="J104" s="82"/>
      <x:c r="K104" s="42" t="str">
        <x:f>IF(AND($A104="",$C104=""),"",IF(OR(NOT(ISNUMBER($A104)),$B104="",$C104="",$D104="",NOT(ISNUMBER($E104)),$F104="",$I104=""),"ขาดวัน/Campaign/Spend/สกุล/หลักฐาน",IF(COUNTIFS('Media_Daily'!$A$8:$A$107,$A104,'Media_Daily'!$B$8:$B$107,$B104,'Media_Daily'!$C$8:$C$107,$C104)&gt;1,"วัน/แพลตฟอร์ม/Campaign ซ้ำ","ครบ")))</x:f>
      </x:c>
    </x:row>
    <x:row r="105" ht="30" customHeight="1">
      <x:c r="A105" s="100"/>
      <x:c r="B105" s="36"/>
      <x:c r="C105" s="96"/>
      <x:c r="D105" s="36"/>
      <x:c r="E105" s="84"/>
      <x:c r="F105" s="36"/>
      <x:c r="G105" s="36"/>
      <x:c r="H105" s="36"/>
      <x:c r="I105" s="36"/>
      <x:c r="J105" s="82"/>
      <x:c r="K105" s="42" t="str">
        <x:f>IF(AND($A105="",$C105=""),"",IF(OR(NOT(ISNUMBER($A105)),$B105="",$C105="",$D105="",NOT(ISNUMBER($E105)),$F105="",$I105=""),"ขาดวัน/Campaign/Spend/สกุล/หลักฐาน",IF(COUNTIFS('Media_Daily'!$A$8:$A$107,$A105,'Media_Daily'!$B$8:$B$107,$B105,'Media_Daily'!$C$8:$C$107,$C105)&gt;1,"วัน/แพลตฟอร์ม/Campaign ซ้ำ","ครบ")))</x:f>
      </x:c>
    </x:row>
    <x:row r="106" ht="30" customHeight="1">
      <x:c r="A106" s="100"/>
      <x:c r="B106" s="36"/>
      <x:c r="C106" s="96"/>
      <x:c r="D106" s="36"/>
      <x:c r="E106" s="84"/>
      <x:c r="F106" s="36"/>
      <x:c r="G106" s="36"/>
      <x:c r="H106" s="36"/>
      <x:c r="I106" s="36"/>
      <x:c r="J106" s="82"/>
      <x:c r="K106" s="42" t="str">
        <x:f>IF(AND($A106="",$C106=""),"",IF(OR(NOT(ISNUMBER($A106)),$B106="",$C106="",$D106="",NOT(ISNUMBER($E106)),$F106="",$I106=""),"ขาดวัน/Campaign/Spend/สกุล/หลักฐาน",IF(COUNTIFS('Media_Daily'!$A$8:$A$107,$A106,'Media_Daily'!$B$8:$B$107,$B106,'Media_Daily'!$C$8:$C$107,$C106)&gt;1,"วัน/แพลตฟอร์ม/Campaign ซ้ำ","ครบ")))</x:f>
      </x:c>
    </x:row>
    <x:row r="107" ht="30" customHeight="1">
      <x:c r="A107" s="100"/>
      <x:c r="B107" s="36"/>
      <x:c r="C107" s="96"/>
      <x:c r="D107" s="36"/>
      <x:c r="E107" s="84"/>
      <x:c r="F107" s="36"/>
      <x:c r="G107" s="36"/>
      <x:c r="H107" s="36"/>
      <x:c r="I107" s="36"/>
      <x:c r="J107" s="82"/>
      <x:c r="K107" s="42" t="str">
        <x:f>IF(AND($A107="",$C107=""),"",IF(OR(NOT(ISNUMBER($A107)),$B107="",$C107="",$D107="",NOT(ISNUMBER($E107)),$F107="",$I107=""),"ขาดวัน/Campaign/Spend/สกุล/หลักฐาน",IF(COUNTIFS('Media_Daily'!$A$8:$A$107,$A107,'Media_Daily'!$B$8:$B$107,$B107,'Media_Daily'!$C$8:$C$107,$C107)&gt;1,"วัน/แพลตฟอร์ม/Campaign ซ้ำ","ครบ")))</x:f>
      </x:c>
    </x:row>
  </x:sheetData>
  <x:mergeCells>
    <x:mergeCell ref="A1:J2"/>
    <x:mergeCell ref="A3:J3"/>
    <x:mergeCell ref="A4:C4"/>
    <x:mergeCell ref="D4:F4"/>
    <x:mergeCell ref="A5:D5"/>
    <x:mergeCell ref="E5:H5"/>
    <x:mergeCell ref="I5:K5"/>
  </x:mergeCells>
  <x:conditionalFormatting sqref="K8:K107">
    <x:cfRule type="expression" dxfId="10" priority="1">
      <x:formula>AND($K8&lt;&gt;"",$K8&lt;&gt;"ครบ")</x:formula>
    </x:cfRule>
  </x:conditionalFormatting>
  <x:dataValidations count="7">
    <x:dataValidation type="date" operator="between" allowBlank="1" sqref="A8:A107">
      <x:formula1>DATE(2020,1,1)</x:formula1>
      <x:formula2>DATE(2100,12,31)</x:formula2>
    </x:dataValidation>
    <x:dataValidation type="date" operator="between" allowBlank="1" sqref="J8:J107">
      <x:formula1>DATE(2020,1,1)</x:formula1>
      <x:formula2>DATE(2100,12,31)</x:formula2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B8:B107">
      <x:formula1>'Guide_Lists'!$AQ$2:$AQ$4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F8:F107">
      <x:formula1>'Guide_Lists'!$AO$2:$AO$5</x:formula1>
    </x:dataValidation>
    <x:dataValidation type="decimal" errorStyle="stop" operator="between" allowBlank="1" showErrorMessage="1" errorTitle="ใช้ค่าตัวเลข" error="ไม่ทราบให้เว้นว่าง ไม่ใช้ 0 แทนข้อมูลที่ยังไม่มี" sqref="E8:E107">
      <x:formula1>0</x:formula1>
      <x:formula2>1000000000</x:formula2>
    </x:dataValidation>
    <x:dataValidation type="whole" errorStyle="stop" operator="between" allowBlank="1" showErrorMessage="1" errorTitle="ใช้ค่าตัวเลข" error="ไม่ทราบให้เว้นว่าง ไม่ใช้ 0 แทนข้อมูลที่ยังไม่มี" sqref="G8:G107">
      <x:formula1>0</x:formula1>
      <x:formula2>1000000000</x:formula2>
    </x:dataValidation>
    <x:dataValidation type="whole" errorStyle="stop" operator="between" allowBlank="1" showErrorMessage="1" errorTitle="ใช้ค่าตัวเลข" error="ไม่ทราบให้เว้นว่าง ไม่ใช้ 0 แทนข้อมูลที่ยังไม่มี" sqref="H8:H107">
      <x:formula1>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e3518664dd84f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7" customHeight="1">
      <x:c r="A1" s="102" t="str">
        <x:v>ตัวอย่างวิธีกรอก  |  ข้อมูลสมมติเท่านั้น</x:v>
      </x:c>
      <x:c r="B1" s="102"/>
      <x:c r="C1" s="102"/>
      <x:c r="D1" s="102"/>
      <x:c r="E1" s="102"/>
      <x:c r="F1" s="102"/>
      <x:c r="G1" s="102"/>
      <x:c r="H1" s="102"/>
      <x:c r="I1" s="102"/>
      <x:c r="J1" s="102"/>
    </x:row>
    <x:row r="2" ht="27" customHeight="1">
      <x:c r="A2" s="102"/>
      <x:c r="B2" s="102"/>
      <x:c r="C2" s="102"/>
      <x:c r="D2" s="102"/>
      <x:c r="E2" s="102"/>
      <x:c r="F2" s="102"/>
      <x:c r="G2" s="102"/>
      <x:c r="H2" s="102"/>
      <x:c r="I2" s="102"/>
      <x:c r="J2" s="102"/>
    </x:row>
    <x:row r="3" ht="36" customHeight="1">
      <x:c r="A3" s="136" t="str">
        <x:v>ห้ามคัดลอกตัวอย่างไปนับเป็นลูกค้าจริง • Examples ไม่เชื่อม Dashboard • ไม่มีข้อมูลติดต่อจริงของลูกค้า</x:v>
      </x:c>
      <x:c r="B3" s="136"/>
      <x:c r="C3" s="136"/>
      <x:c r="D3" s="136"/>
      <x:c r="E3" s="136"/>
      <x:c r="F3" s="136"/>
      <x:c r="G3" s="136"/>
      <x:c r="H3" s="136"/>
      <x:c r="I3" s="136"/>
      <x:c r="J3" s="136"/>
    </x:row>
    <x:row r="4" ht="31" customHeight="1">
      <x:c r="A4" s="131"/>
      <x:c r="B4" s="131"/>
      <x:c r="C4" s="131"/>
      <x:c r="D4" s="131"/>
      <x:c r="E4" s="131"/>
      <x:c r="F4" s="131"/>
      <x:c r="G4" s="131"/>
      <x:c r="H4" s="131"/>
      <x:c r="I4" s="131"/>
      <x:c r="J4" s="131"/>
    </x:row>
    <x:row r="5" ht="31" customHeight="1">
      <x:c r="A5" s="138" t="str">
        <x:v>01  Leads — เลือกสถานะและนัดงานถัดไป</x:v>
      </x:c>
      <x:c r="B5" s="138"/>
      <x:c r="C5" s="138"/>
      <x:c r="D5" s="138"/>
      <x:c r="E5" s="138"/>
      <x:c r="F5" s="138"/>
      <x:c r="G5" s="138"/>
      <x:c r="H5" s="138"/>
      <x:c r="I5" s="138"/>
      <x:c r="J5" s="138"/>
    </x:row>
    <x:row r="6" ht="40" customHeight="1">
      <x:c r="A6" s="27" t="str">
        <x:v>รหัสสมมติ</x:v>
      </x:c>
      <x:c r="B6" s="27" t="str">
        <x:v>ผู้ติดต่อ</x:v>
      </x:c>
      <x:c r="C6" s="27" t="str">
        <x:v>งาน</x:v>
      </x:c>
      <x:c r="D6" s="27" t="str">
        <x:v>จำนวน</x:v>
      </x:c>
      <x:c r="E6" s="27" t="str">
        <x:v>สถานะขาย</x:v>
      </x:c>
      <x:c r="F6" s="27" t="str">
        <x:v>ผลคัดกรอง</x:v>
      </x:c>
      <x:c r="G6" s="27" t="str">
        <x:v>นัดติดตาม</x:v>
      </x:c>
      <x:c r="H6" s="27" t="str">
        <x:v>สิ่งที่ต้องทำต่อ</x:v>
      </x:c>
      <x:c r="I6" s="27" t="str">
        <x:v>ประเภท</x:v>
      </x:c>
      <x:c r="J6" s="27" t="str">
        <x:v>ข้อสังเกต</x:v>
      </x:c>
    </x:row>
    <x:row r="7" ht="59" customHeight="1">
      <x:c r="A7" s="131" t="str">
        <x:v>DEMO-001</x:v>
      </x:c>
      <x:c r="B7" s="131" t="str">
        <x:v>ผู้ติดต่อสมมติ A</x:v>
      </x:c>
      <x:c r="C7" s="131" t="str">
        <x:v>ขอคำแนะนำกล่อง</x:v>
      </x:c>
      <x:c r="D7" s="131"/>
      <x:c r="E7" s="131" t="str">
        <x:v>New Lead</x:v>
      </x:c>
      <x:c r="F7" s="131" t="str">
        <x:v>Pending</x:v>
      </x:c>
      <x:c r="G7" s="140" t="n">
        <x:v>46276.416666666664</x:v>
      </x:c>
      <x:c r="H7" s="131" t="str">
        <x:v>ติดต่อเพื่อเก็บโจทย์</x:v>
      </x:c>
      <x:c r="I7" s="131" t="str">
        <x:v>Test</x:v>
      </x:c>
      <x:c r="J7" s="131" t="str">
        <x:v>ยังไม่ทราบจำนวนให้เว้นว่าง</x:v>
      </x:c>
    </x:row>
    <x:row r="8" ht="59" customHeight="1">
      <x:c r="A8" s="131" t="str">
        <x:v>DEMO-002</x:v>
      </x:c>
      <x:c r="B8" s="131" t="str">
        <x:v>ผู้ติดต่อสมมติ B</x:v>
      </x:c>
      <x:c r="C8" s="131" t="str">
        <x:v>กล่องพิมพ์แบรนด์</x:v>
      </x:c>
      <x:c r="D8" s="131" t="n">
        <x:v>1000</x:v>
      </x:c>
      <x:c r="E8" s="131" t="str">
        <x:v>Quotation Sent</x:v>
      </x:c>
      <x:c r="F8" s="131" t="str">
        <x:v>Qualified</x:v>
      </x:c>
      <x:c r="G8" s="140" t="n">
        <x:v>46277.458333333336</x:v>
      </x:c>
      <x:c r="H8" s="131" t="str">
        <x:v>ติดตามใบราคา Q-DEMO-01</x:v>
      </x:c>
      <x:c r="I8" s="131" t="str">
        <x:v>Test</x:v>
      </x:c>
      <x:c r="J8" s="131" t="str">
        <x:v>มีเหตุผลและวัน Qualified เก็บใน Leads</x:v>
      </x:c>
    </x:row>
    <x:row r="9" ht="59" customHeight="1">
      <x:c r="A9" s="131" t="str">
        <x:v>DEMO-003</x:v>
      </x:c>
      <x:c r="B9" s="131" t="str">
        <x:v>ผู้ติดต่อสมมติ C</x:v>
      </x:c>
      <x:c r="C9" s="131" t="str">
        <x:v>กล่องลูกฟูก</x:v>
      </x:c>
      <x:c r="D9" s="131" t="n">
        <x:v>2000</x:v>
      </x:c>
      <x:c r="E9" s="131" t="str">
        <x:v>Won</x:v>
      </x:c>
      <x:c r="F9" s="131" t="str">
        <x:v>Qualified</x:v>
      </x:c>
      <x:c r="G9" s="140"/>
      <x:c r="H9" s="131" t="str"/>
      <x:c r="I9" s="131" t="str">
        <x:v>Test</x:v>
      </x:c>
      <x:c r="J9" s="131" t="str">
        <x:v>ต้องมี PO จริงก่อนใช้ Won ในงานจริง</x:v>
      </x:c>
    </x:row>
    <x:row r="10" ht="31" customHeight="1">
      <x:c r="A10" s="131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ht="31" customHeight="1">
      <x:c r="A11" s="36" t="str">
        <x:v>กรอก A:E / F:I ก่อน แล้วเลื่อนไป K:N เพื่อดูเบอร์หรือ LINE • O:AD เป็นข้อมูลคุย/เวลา/ผู้ดูแล • AE:AU เป็นข้อมูลระบบที่เปาดูแล
ทุกรอบที่คุย อัปเดต status + last_contact_at + นัด + next_action + updated_at/updated_by</x:v>
      </x:c>
      <x:c r="B11" s="36"/>
      <x:c r="C11" s="36"/>
      <x:c r="D11" s="36"/>
      <x:c r="E11" s="36"/>
      <x:c r="F11" s="36"/>
      <x:c r="G11" s="36"/>
      <x:c r="H11" s="36"/>
      <x:c r="I11" s="36"/>
      <x:c r="J11" s="36"/>
    </x:row>
    <x:row r="12" ht="31" customHeight="1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</x:row>
    <x:row r="13" ht="31" customHeight="1">
      <x:c r="A13" s="131"/>
      <x:c r="B13" s="131"/>
      <x:c r="C13" s="131"/>
      <x:c r="D13" s="131"/>
      <x:c r="E13" s="131"/>
      <x:c r="F13" s="131"/>
      <x:c r="G13" s="131"/>
      <x:c r="H13" s="131"/>
      <x:c r="I13" s="131"/>
      <x:c r="J13" s="131"/>
    </x:row>
    <x:row r="14" ht="31" customHeight="1">
      <x:c r="A14" s="131"/>
      <x:c r="B14" s="131"/>
      <x:c r="C14" s="131"/>
      <x:c r="D14" s="131"/>
      <x:c r="E14" s="131"/>
      <x:c r="F14" s="131"/>
      <x:c r="G14" s="131"/>
      <x:c r="H14" s="131"/>
      <x:c r="I14" s="131"/>
      <x:c r="J14" s="131"/>
    </x:row>
    <x:row r="15" ht="31" customHeight="1">
      <x:c r="A15" s="138" t="str">
        <x:v>02  Quotations — ฉบับแก้ไขไม่ใช่ Lead ใหม่</x:v>
      </x:c>
      <x:c r="B15" s="138"/>
      <x:c r="C15" s="138"/>
      <x:c r="D15" s="138"/>
      <x:c r="E15" s="138"/>
      <x:c r="F15" s="138"/>
      <x:c r="G15" s="138"/>
      <x:c r="H15" s="138"/>
      <x:c r="I15" s="138"/>
      <x:c r="J15" s="138"/>
    </x:row>
    <x:row r="16" ht="40" customHeight="1">
      <x:c r="A16" s="27" t="str">
        <x:v>Record ID</x:v>
      </x:c>
      <x:c r="B16" s="27" t="str">
        <x:v>Lead reference</x:v>
      </x:c>
      <x:c r="C16" s="27" t="str">
        <x:v>เลขใบราคา</x:v>
      </x:c>
      <x:c r="D16" s="27" t="str">
        <x:v>Revision</x:v>
      </x:c>
      <x:c r="E16" s="27" t="str">
        <x:v>วันที่ส่ง</x:v>
      </x:c>
      <x:c r="F16" s="27" t="str">
        <x:v>มูลค่าสมมติ</x:v>
      </x:c>
      <x:c r="G16" s="27" t="str">
        <x:v>Currency</x:v>
      </x:c>
      <x:c r="H16" s="27" t="str">
        <x:v>ฐานมูลค่า</x:v>
      </x:c>
      <x:c r="I16" s="27" t="str">
        <x:v>Current?</x:v>
      </x:c>
      <x:c r="J16" s="27" t="str">
        <x:v>หลักฐาน</x:v>
      </x:c>
    </x:row>
    <x:row r="17" ht="31" customHeight="1">
      <x:c r="A17" s="131" t="str">
        <x:v>Q-DEMO-01-R1</x:v>
      </x:c>
      <x:c r="B17" s="131" t="str">
        <x:v>DEMO-002</x:v>
      </x:c>
      <x:c r="C17" s="131" t="str">
        <x:v>Q-DEMO-01</x:v>
      </x:c>
      <x:c r="D17" s="131" t="n">
        <x:v>1</x:v>
      </x:c>
      <x:c r="E17" s="140" t="n">
        <x:v>46275.458333333336</x:v>
      </x:c>
      <x:c r="F17" s="142" t="n">
        <x:v>15000</x:v>
      </x:c>
      <x:c r="G17" s="131" t="str">
        <x:v>THB</x:v>
      </x:c>
      <x:c r="H17" s="131" t="str">
        <x:v>ไม่รวม VAT</x:v>
      </x:c>
      <x:c r="I17" s="131" t="str">
        <x:v>No</x:v>
      </x:c>
      <x:c r="J17" s="131" t="str">
        <x:v>ตัวอย่างเท่านั้น</x:v>
      </x:c>
    </x:row>
    <x:row r="18" ht="31" customHeight="1">
      <x:c r="A18" s="131" t="str">
        <x:v>Q-DEMO-01-R2</x:v>
      </x:c>
      <x:c r="B18" s="131" t="str">
        <x:v>DEMO-002</x:v>
      </x:c>
      <x:c r="C18" s="131" t="str">
        <x:v>Q-DEMO-01</x:v>
      </x:c>
      <x:c r="D18" s="131" t="n">
        <x:v>2</x:v>
      </x:c>
      <x:c r="E18" s="140" t="n">
        <x:v>46275.541666666664</x:v>
      </x:c>
      <x:c r="F18" s="142" t="n">
        <x:v>14500</x:v>
      </x:c>
      <x:c r="G18" s="131" t="str">
        <x:v>THB</x:v>
      </x:c>
      <x:c r="H18" s="131" t="str">
        <x:v>ไม่รวม VAT</x:v>
      </x:c>
      <x:c r="I18" s="131" t="str">
        <x:v>Yes</x:v>
      </x:c>
      <x:c r="J18" s="131" t="str">
        <x:v>ตัวอย่างเท่านั้น</x:v>
      </x:c>
    </x:row>
    <x:row r="19" ht="31" customHeight="1">
      <x:c r="A19" s="131"/>
      <x:c r="B19" s="131"/>
      <x:c r="C19" s="131"/>
      <x:c r="D19" s="131"/>
      <x:c r="E19" s="131"/>
      <x:c r="F19" s="131"/>
      <x:c r="G19" s="131"/>
      <x:c r="H19" s="131"/>
      <x:c r="I19" s="131"/>
      <x:c r="J19" s="131"/>
    </x:row>
    <x:row r="20" ht="31" customHeight="1">
      <x:c r="A20" s="36" t="str">
        <x:v>เพิ่มรุ่นใหม่เป็นอีกแถวและตั้งรุ่นเก่า No • รายงานฉบับปัจจุบันใช้เฉพาะ Yes ไม่บวก 15,000 + 14,500 รวมกัน
ในงานจริงกรอกเลขเอกสารและลิงก์/ที่เก็บที่ผู้มีสิทธิ์เปิดได้ ไม่ใช่คำว่า “ตัวอย่างเท่านั้น”</x:v>
      </x:c>
      <x:c r="B20" s="36"/>
      <x:c r="C20" s="36"/>
      <x:c r="D20" s="36"/>
      <x:c r="E20" s="36"/>
      <x:c r="F20" s="36"/>
      <x:c r="G20" s="36"/>
      <x:c r="H20" s="36"/>
      <x:c r="I20" s="36"/>
      <x:c r="J20" s="36"/>
    </x:row>
    <x:row r="21" ht="31" customHeight="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</x:row>
    <x:row r="22" ht="31" customHeight="1">
      <x:c r="A22" s="131"/>
      <x:c r="B22" s="131"/>
      <x:c r="C22" s="131"/>
      <x:c r="D22" s="131"/>
      <x:c r="E22" s="131"/>
      <x:c r="F22" s="131"/>
      <x:c r="G22" s="131"/>
      <x:c r="H22" s="131"/>
      <x:c r="I22" s="131"/>
      <x:c r="J22" s="131"/>
    </x:row>
    <x:row r="23" ht="31" customHeight="1">
      <x:c r="A23" s="131"/>
      <x:c r="B23" s="131"/>
      <x:c r="C23" s="131"/>
      <x:c r="D23" s="131"/>
      <x:c r="E23" s="131"/>
      <x:c r="F23" s="131"/>
      <x:c r="G23" s="131"/>
      <x:c r="H23" s="131"/>
      <x:c r="I23" s="131"/>
      <x:c r="J23" s="131"/>
    </x:row>
    <x:row r="24" ht="31" customHeight="1">
      <x:c r="A24" s="138" t="str">
        <x:v>03  Orders_PO — Won เมื่อได้รับ PO ไม่ใช่เมื่อส่งราคา</x:v>
      </x:c>
      <x:c r="B24" s="138"/>
      <x:c r="C24" s="138"/>
      <x:c r="D24" s="138"/>
      <x:c r="E24" s="138"/>
      <x:c r="F24" s="138"/>
      <x:c r="G24" s="138"/>
      <x:c r="H24" s="138"/>
      <x:c r="I24" s="138"/>
      <x:c r="J24" s="138"/>
    </x:row>
    <x:row r="25" ht="40" customHeight="1">
      <x:c r="A25" s="27" t="str">
        <x:v>Order ID</x:v>
      </x:c>
      <x:c r="B25" s="27" t="str">
        <x:v>Lead reference</x:v>
      </x:c>
      <x:c r="C25" s="27" t="str">
        <x:v>ผู้ออก PO</x:v>
      </x:c>
      <x:c r="D25" s="27" t="str">
        <x:v>เลข PO</x:v>
      </x:c>
      <x:c r="E25" s="27" t="str">
        <x:v>วันรับ</x:v>
      </x:c>
      <x:c r="F25" s="27" t="str">
        <x:v>มูลค่าสมมติ</x:v>
      </x:c>
      <x:c r="G25" s="27" t="str">
        <x:v>Currency</x:v>
      </x:c>
      <x:c r="H25" s="27" t="str">
        <x:v>ฐานมูลค่า</x:v>
      </x:c>
      <x:c r="I25" s="27" t="str">
        <x:v>สถานะ</x:v>
      </x:c>
      <x:c r="J25" s="27" t="str">
        <x:v>หลักฐาน</x:v>
      </x:c>
    </x:row>
    <x:row r="26" ht="48" customHeight="1">
      <x:c r="A26" s="131" t="str">
        <x:v>O-DEMO-01</x:v>
      </x:c>
      <x:c r="B26" s="131" t="str">
        <x:v>DEMO-003</x:v>
      </x:c>
      <x:c r="C26" s="131" t="str">
        <x:v>บริษัทสมมติ C</x:v>
      </x:c>
      <x:c r="D26" s="131" t="str">
        <x:v>PO-DEMO-01</x:v>
      </x:c>
      <x:c r="E26" s="140" t="n">
        <x:v>46275.583333333336</x:v>
      </x:c>
      <x:c r="F26" s="142" t="n">
        <x:v>28000</x:v>
      </x:c>
      <x:c r="G26" s="131" t="str">
        <x:v>THB</x:v>
      </x:c>
      <x:c r="H26" s="131" t="str">
        <x:v>รวม VAT</x:v>
      </x:c>
      <x:c r="I26" s="131" t="str">
        <x:v>Active</x:v>
      </x:c>
      <x:c r="J26" s="131" t="str">
        <x:v>ตัวอย่างเท่านั้น</x:v>
      </x:c>
    </x:row>
    <x:row r="27" ht="31" customHeight="1">
      <x:c r="A27" s="131"/>
      <x:c r="B27" s="131"/>
      <x:c r="C27" s="131"/>
      <x:c r="D27" s="131"/>
      <x:c r="E27" s="131"/>
      <x:c r="F27" s="131"/>
      <x:c r="G27" s="131"/>
      <x:c r="H27" s="131"/>
      <x:c r="I27" s="131"/>
      <x:c r="J27" s="131"/>
    </x:row>
    <x:row r="28" ht="27" customHeight="1">
      <x:c r="A28" s="36" t="str">
        <x:v>PO ยกเลิก: เปลี่ยนสถานะเป็น Cancelled และกรอกวัน/เหตุผลยกเลิก ไม่ลบประวัติ
ไม่มี PO: บันทึก Negotiation / รอ PO ตามหลักฐาน ไม่เลือก Won
ถ้า Lead เดียวมี 2 PO ให้ใช้ 2 Order ID ใน Orders_PO แต่คง Lead แถวเดียว</x:v>
      </x:c>
      <x:c r="B28" s="36"/>
      <x:c r="C28" s="36"/>
      <x:c r="D28" s="36"/>
      <x:c r="E28" s="36"/>
      <x:c r="F28" s="36"/>
      <x:c r="G28" s="36"/>
      <x:c r="H28" s="36"/>
      <x:c r="I28" s="36"/>
      <x:c r="J28" s="36"/>
    </x:row>
    <x:row r="29" ht="27" customHeight="1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</x:row>
    <x:row r="30" ht="27" customHeight="1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</x:row>
    <x:row r="31" ht="31" customHeight="1">
      <x:c r="A31" s="131"/>
      <x:c r="B31" s="131"/>
      <x:c r="C31" s="131"/>
      <x:c r="D31" s="131"/>
      <x:c r="E31" s="131"/>
      <x:c r="F31" s="131"/>
      <x:c r="G31" s="131"/>
      <x:c r="H31" s="131"/>
      <x:c r="I31" s="131"/>
      <x:c r="J31" s="131"/>
    </x:row>
    <x:row r="32" ht="31" customHeight="1">
      <x:c r="A32" s="131"/>
      <x:c r="B32" s="131"/>
      <x:c r="C32" s="131"/>
      <x:c r="D32" s="131"/>
      <x:c r="E32" s="131"/>
      <x:c r="F32" s="131"/>
      <x:c r="G32" s="131"/>
      <x:c r="H32" s="131"/>
      <x:c r="I32" s="131"/>
      <x:c r="J32" s="131"/>
    </x:row>
    <x:row r="33" ht="31" customHeight="1">
      <x:c r="A33" s="144" t="str">
        <x:v>เริ่มกรอกข้อมูลจริงที่แท็บ Leads ด้านล่าง</x:v>
      </x:c>
      <x:c r="B33" s="144"/>
      <x:c r="C33" s="144"/>
      <x:c r="D33" s="144"/>
      <x:c r="E33" s="144"/>
      <x:c r="F33" s="144"/>
      <x:c r="G33" s="144"/>
      <x:c r="H33" s="144"/>
      <x:c r="I33" s="144"/>
      <x:c r="J33" s="144"/>
    </x:row>
    <x:row r="34" ht="31" customHeight="1">
      <x:c r="A34" s="131"/>
      <x:c r="B34" s="131"/>
      <x:c r="C34" s="131"/>
      <x:c r="D34" s="131"/>
      <x:c r="E34" s="131"/>
      <x:c r="F34" s="131"/>
      <x:c r="G34" s="131"/>
      <x:c r="H34" s="131"/>
      <x:c r="I34" s="131"/>
      <x:c r="J34" s="131"/>
    </x:row>
    <x:row r="35" ht="31" customHeight="1">
      <x:c r="A35" s="131"/>
      <x:c r="B35" s="131"/>
      <x:c r="C35" s="131"/>
      <x:c r="D35" s="131"/>
      <x:c r="E35" s="131"/>
      <x:c r="F35" s="131"/>
      <x:c r="G35" s="131"/>
      <x:c r="H35" s="131"/>
      <x:c r="I35" s="131"/>
      <x:c r="J35" s="131"/>
    </x:row>
    <x:row r="36" ht="31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</x:row>
    <x:row r="37" ht="31" customHeight="1">
      <x:c r="A37" s="131"/>
      <x:c r="B37" s="131"/>
      <x:c r="C37" s="131"/>
      <x:c r="D37" s="131"/>
      <x:c r="E37" s="131"/>
      <x:c r="F37" s="131"/>
      <x:c r="G37" s="131"/>
      <x:c r="H37" s="131"/>
      <x:c r="I37" s="131"/>
      <x:c r="J37" s="131"/>
    </x:row>
    <x:row r="38" ht="31" customHeight="1">
      <x:c r="A38" s="131"/>
      <x:c r="B38" s="131"/>
      <x:c r="C38" s="131"/>
      <x:c r="D38" s="131"/>
      <x:c r="E38" s="131"/>
      <x:c r="F38" s="131"/>
      <x:c r="G38" s="131"/>
      <x:c r="H38" s="131"/>
      <x:c r="I38" s="131"/>
      <x:c r="J38" s="131"/>
    </x:row>
    <x:row r="39" ht="31" customHeight="1">
      <x:c r="A39" s="131"/>
      <x:c r="B39" s="131"/>
      <x:c r="C39" s="131"/>
      <x:c r="D39" s="131"/>
      <x:c r="E39" s="131"/>
      <x:c r="F39" s="131"/>
      <x:c r="G39" s="131"/>
      <x:c r="H39" s="131"/>
      <x:c r="I39" s="131"/>
      <x:c r="J39" s="131"/>
    </x:row>
  </x:sheetData>
  <x:mergeCells>
    <x:mergeCell ref="A1:J2"/>
    <x:mergeCell ref="A3:J3"/>
    <x:mergeCell ref="A5:J5"/>
    <x:mergeCell ref="A11:J12"/>
    <x:mergeCell ref="A15:J15"/>
    <x:mergeCell ref="A20:J21"/>
    <x:mergeCell ref="A24:J24"/>
    <x:mergeCell ref="A28:J30"/>
    <x:mergeCell ref="A33:J33"/>
  </x:mergeCells>
  <x:pageMargins left="0.7" right="0.7" top="0.75" bottom="0.75" header="0.3" footer="0.3"/>
</x:worksheet>
</file>